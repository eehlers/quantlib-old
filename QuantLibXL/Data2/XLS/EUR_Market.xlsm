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18915" windowHeight="7950" tabRatio="789" firstSheet="9" activeTab="19"/>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externalReferences>
    <externalReference r:id="rId43"/>
    <externalReference r:id="rId44"/>
  </externalReference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BasisSwap1MxM!$AF$5:$AH$9</definedName>
    <definedName name="Conventions" localSheetId="11">BasisSwap3M6M!$AF$5:$AH$9</definedName>
    <definedName name="Conventions" localSheetId="12">BasisSwapxM12M!$AF$5:$AH$9</definedName>
    <definedName name="Conventions" localSheetId="22">Swap3M!$AF$5:$AH$10</definedName>
    <definedName name="Conventions" localSheetId="23">Swap6M!$AF$5:$AH$9</definedName>
    <definedName name="Counter">Futures1M!$Z$4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Futures1M!$AC$6:$AD$10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 localSheetId="25">'1M'!$N$5:$N$9</definedName>
    <definedName name="Quote" localSheetId="28">'1Y'!$N$5:$N$20</definedName>
    <definedName name="Quote" localSheetId="26">'3M'!$N$5:$N$11</definedName>
    <definedName name="Quote" localSheetId="27">'6M'!$N$5:$N$14</definedName>
    <definedName name="Quote" localSheetId="10">BasisSwap1MxM!$AB$5:$AB$42</definedName>
    <definedName name="Quote" localSheetId="11">BasisSwap3M6M!$AB$5:$AB$42</definedName>
    <definedName name="Quote" localSheetId="12">BasisSwapxM12M!$AB$5:$AB$42</definedName>
    <definedName name="Quote" localSheetId="13">Deposits!$O$5:$O$22</definedName>
    <definedName name="Quote" localSheetId="14">FRA!$V$5:$V$33</definedName>
    <definedName name="Quote" localSheetId="15">Futures1M!$Y$6:$Y$17</definedName>
    <definedName name="Quote" localSheetId="16">Futures3M!$Y$7:$Y$48</definedName>
    <definedName name="Quote" localSheetId="18">FuturesHWConvAdj!$P$5:$P$6</definedName>
    <definedName name="Quote" localSheetId="17">'ImmFra6M '!$Y$6:$Y$9</definedName>
    <definedName name="Quote" localSheetId="19">OIS!$X$5:$X$40</definedName>
    <definedName name="Quote" localSheetId="22">Swap3M!$AB$5:$AB$42</definedName>
    <definedName name="Quote" localSheetId="23">Swap6M!$AB$5:$AB$42</definedName>
    <definedName name="Quote" localSheetId="20">Swaps1M!$X$5:$X$15</definedName>
    <definedName name="Quote" localSheetId="21">SwapsIMMDated!$X$5:$X$11</definedName>
    <definedName name="Quote2" localSheetId="28">'1Y'!$X$21:$X$64</definedName>
    <definedName name="Quote2" localSheetId="19">OIS!$X$50:$X$55</definedName>
    <definedName name="QuoteLive" localSheetId="25">'1M'!$J$5:$J$9</definedName>
    <definedName name="QuoteLive" localSheetId="28">'1Y'!$J$5:$J$20</definedName>
    <definedName name="QuoteLive" localSheetId="26">'3M'!$J$5:$J$11</definedName>
    <definedName name="QuoteLive" localSheetId="27">'6M'!$J$5:$J$14</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OIS!$T$5:$T$40</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28">'1Y'!$T$21:$T$64</definedName>
    <definedName name="QuoteLive2" localSheetId="19">OIS!$T$50:$T$55</definedName>
    <definedName name="QuoteStatic" localSheetId="25">'1M'!$L$5:$L$9</definedName>
    <definedName name="QuoteStatic" localSheetId="28">'1Y'!$L$5:$L$20</definedName>
    <definedName name="QuoteStatic" localSheetId="26">'3M'!$L$5:$L$11</definedName>
    <definedName name="QuoteStatic" localSheetId="27">'6M'!$L$5:$L$14</definedName>
    <definedName name="QuoteStatic" localSheetId="10">BasisSwap1MxM!$Z$5:$Z$42</definedName>
    <definedName name="QuoteStatic" localSheetId="11">BasisSwap3M6M!$Z$5:$Z$42</definedName>
    <definedName name="QuoteStatic" localSheetId="12">BasisSwapxM12M!$Z$5:$Z$42</definedName>
    <definedName name="QuoteStatic" localSheetId="13">Deposits!$M$5:$M$22</definedName>
    <definedName name="QuoteStatic" localSheetId="14">FRA!$T$5:$T$33</definedName>
    <definedName name="QuoteStatic" localSheetId="15">Futures1M!$W$6:$W$17</definedName>
    <definedName name="QuoteStatic" localSheetId="16">Futures3M!$W$7:$W$48</definedName>
    <definedName name="QuoteStatic" localSheetId="18">FuturesHWConvAdj!$N$5:$N$6</definedName>
    <definedName name="QuoteStatic" localSheetId="17">'ImmFra6M '!$W$6:$W$9</definedName>
    <definedName name="QuoteStatic" localSheetId="19">OIS!$V$5:$V$40</definedName>
    <definedName name="QuoteStatic" localSheetId="22">Swap3M!$Z$5:$Z$42</definedName>
    <definedName name="QuoteStatic" localSheetId="23">Swap6M!$Z$5:$Z$42</definedName>
    <definedName name="QuoteStatic" localSheetId="20">Swaps1M!$V$5:$V$15</definedName>
    <definedName name="QuoteStatic" localSheetId="21">SwapsIMMDated!$V$5:$V$11</definedName>
    <definedName name="QuoteStatic2" localSheetId="28">'1Y'!$V$21:$V$64</definedName>
    <definedName name="QuoteStatic2" localSheetId="19">OIS!$V$50:$V$55</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N5" i="38" l="1" a="1"/>
  <c r="N5" i="38"/>
  <c r="N6" i="38"/>
  <c r="N7" i="38"/>
  <c r="N8" i="38"/>
  <c r="N9" i="38"/>
  <c r="N14" i="38"/>
  <c r="N15" i="38"/>
  <c r="N16" i="38"/>
  <c r="N17" i="38"/>
  <c r="N20" i="38"/>
  <c r="N5" i="37" a="1"/>
  <c r="N11" i="37" s="1"/>
  <c r="N5" i="36" a="1"/>
  <c r="N5" i="36"/>
  <c r="N8" i="36"/>
  <c r="N9" i="36"/>
  <c r="N10" i="36"/>
  <c r="N11" i="36"/>
  <c r="N5" i="35" a="1"/>
  <c r="N5" i="35"/>
  <c r="AB5" i="32" a="1"/>
  <c r="AB5" i="32"/>
  <c r="AB6" i="32"/>
  <c r="AB7" i="32"/>
  <c r="AB10" i="32"/>
  <c r="AB11" i="32"/>
  <c r="AB14" i="32"/>
  <c r="AB15" i="32"/>
  <c r="AB18" i="32"/>
  <c r="AB19" i="32"/>
  <c r="AB20" i="32"/>
  <c r="AB21" i="32"/>
  <c r="AB26" i="32"/>
  <c r="AB27" i="32"/>
  <c r="AB28" i="32"/>
  <c r="AB29" i="32"/>
  <c r="AB30" i="32"/>
  <c r="AB31" i="32"/>
  <c r="AB36" i="32"/>
  <c r="AB37" i="32"/>
  <c r="AB38" i="32"/>
  <c r="AB39" i="32"/>
  <c r="AB42" i="32"/>
  <c r="AB5" i="31" a="1"/>
  <c r="AB5" i="31" s="1"/>
  <c r="X5" i="30" a="1"/>
  <c r="X8" i="30" s="1"/>
  <c r="X5" i="30"/>
  <c r="X6" i="30"/>
  <c r="X7" i="30"/>
  <c r="X5" i="29" a="1"/>
  <c r="X5" i="29"/>
  <c r="X6" i="29"/>
  <c r="X7" i="29"/>
  <c r="X8" i="29"/>
  <c r="X9" i="29"/>
  <c r="X14" i="29"/>
  <c r="X15" i="29"/>
  <c r="X5" i="28" a="1"/>
  <c r="X5" i="28"/>
  <c r="X8" i="28"/>
  <c r="X9" i="28"/>
  <c r="X17" i="28"/>
  <c r="X18" i="28"/>
  <c r="X19" i="28"/>
  <c r="X27" i="28"/>
  <c r="X28" i="28"/>
  <c r="X29" i="28"/>
  <c r="X37" i="28"/>
  <c r="X40" i="28"/>
  <c r="P5" i="26" a="1"/>
  <c r="P5" i="26" s="1"/>
  <c r="Y6" i="25" a="1"/>
  <c r="Y6" i="25"/>
  <c r="Y9" i="25"/>
  <c r="Y7" i="24" a="1"/>
  <c r="Y14" i="24" s="1"/>
  <c r="Y8" i="24"/>
  <c r="Y18" i="24"/>
  <c r="Y30" i="24"/>
  <c r="Y40" i="24"/>
  <c r="Y6" i="23" a="1"/>
  <c r="Y6" i="23"/>
  <c r="V5" i="22" a="1"/>
  <c r="O5" i="21" a="1"/>
  <c r="O11" i="21" s="1"/>
  <c r="O5" i="21"/>
  <c r="O6" i="21"/>
  <c r="O7" i="21"/>
  <c r="O8" i="21"/>
  <c r="O9" i="21"/>
  <c r="O10" i="21"/>
  <c r="O12" i="21"/>
  <c r="O13" i="21"/>
  <c r="O14" i="21"/>
  <c r="O15" i="21"/>
  <c r="O16" i="21"/>
  <c r="O17" i="21"/>
  <c r="O18" i="21"/>
  <c r="O20" i="21"/>
  <c r="O21" i="21"/>
  <c r="O22" i="21"/>
  <c r="AB5" i="19" a="1"/>
  <c r="AB10" i="19" s="1"/>
  <c r="AB5" i="18" a="1"/>
  <c r="AB5" i="18"/>
  <c r="AB6" i="18"/>
  <c r="AB7" i="18"/>
  <c r="AB8" i="18"/>
  <c r="AB10" i="18"/>
  <c r="AB11" i="18"/>
  <c r="AB12" i="18"/>
  <c r="AB13" i="18"/>
  <c r="AB14" i="18"/>
  <c r="AB15" i="18"/>
  <c r="AB16" i="18"/>
  <c r="AB18" i="18"/>
  <c r="AB19" i="18"/>
  <c r="AB20" i="18"/>
  <c r="AB21" i="18"/>
  <c r="AB22" i="18"/>
  <c r="AB23" i="18"/>
  <c r="AB24" i="18"/>
  <c r="AB26" i="18"/>
  <c r="AB27" i="18"/>
  <c r="AB28" i="18"/>
  <c r="AB29" i="18"/>
  <c r="AB30" i="18"/>
  <c r="AB31" i="18"/>
  <c r="AB32" i="18"/>
  <c r="AB34" i="18"/>
  <c r="AB35" i="18"/>
  <c r="AB36" i="18"/>
  <c r="AB37" i="18"/>
  <c r="AB38" i="18"/>
  <c r="AB39" i="18"/>
  <c r="AB40" i="18"/>
  <c r="AB42" i="18"/>
  <c r="AB5" i="17" a="1"/>
  <c r="AB5" i="17"/>
  <c r="AB6" i="17"/>
  <c r="AB7" i="17"/>
  <c r="AB8" i="17"/>
  <c r="AB9" i="17"/>
  <c r="AB13" i="17"/>
  <c r="AB14" i="17"/>
  <c r="AB15" i="17"/>
  <c r="AB16" i="17"/>
  <c r="AB17" i="17"/>
  <c r="AB19" i="17"/>
  <c r="AB22" i="17"/>
  <c r="AB23" i="17"/>
  <c r="AB24" i="17"/>
  <c r="AB25" i="17"/>
  <c r="AB27" i="17"/>
  <c r="AB28" i="17"/>
  <c r="AB31" i="17"/>
  <c r="AB32" i="17"/>
  <c r="AB33" i="17"/>
  <c r="AB35" i="17"/>
  <c r="AB36" i="17"/>
  <c r="AB37" i="17"/>
  <c r="AB40" i="17"/>
  <c r="AB41" i="17"/>
  <c r="V9" i="22" l="1"/>
  <c r="V17" i="22"/>
  <c r="V25" i="22"/>
  <c r="V33" i="22"/>
  <c r="V10" i="22"/>
  <c r="V18" i="22"/>
  <c r="V26" i="22"/>
  <c r="AB36" i="31"/>
  <c r="AB24" i="31"/>
  <c r="AB14" i="31"/>
  <c r="N14" i="37"/>
  <c r="Y7" i="23"/>
  <c r="Y15" i="23"/>
  <c r="Y8" i="23"/>
  <c r="Y16" i="23"/>
  <c r="Y29" i="24"/>
  <c r="N6" i="35"/>
  <c r="N7" i="35"/>
  <c r="AB30" i="19"/>
  <c r="V22" i="22"/>
  <c r="Y48" i="24"/>
  <c r="Y16" i="24"/>
  <c r="AB22" i="31"/>
  <c r="N12" i="37"/>
  <c r="X6" i="28"/>
  <c r="X14" i="28"/>
  <c r="X22" i="28"/>
  <c r="X30" i="28"/>
  <c r="X38" i="28"/>
  <c r="X7" i="28"/>
  <c r="X15" i="28"/>
  <c r="X23" i="28"/>
  <c r="X31" i="28"/>
  <c r="X39" i="28"/>
  <c r="AB31" i="31"/>
  <c r="AB10" i="17"/>
  <c r="AB18" i="17"/>
  <c r="AB26" i="17"/>
  <c r="AB34" i="17"/>
  <c r="AB42" i="17"/>
  <c r="AB36" i="19"/>
  <c r="AB27" i="19"/>
  <c r="AB18" i="19"/>
  <c r="AB7" i="19"/>
  <c r="V29" i="22"/>
  <c r="V19" i="22"/>
  <c r="V7" i="22"/>
  <c r="Y11" i="23"/>
  <c r="Y45" i="24"/>
  <c r="Y33" i="24"/>
  <c r="Y23" i="24"/>
  <c r="Y13" i="24"/>
  <c r="Y7" i="25"/>
  <c r="Y8" i="25"/>
  <c r="X34" i="28"/>
  <c r="X24" i="28"/>
  <c r="X12" i="28"/>
  <c r="X10" i="29"/>
  <c r="X11" i="29"/>
  <c r="AB39" i="31"/>
  <c r="AB29" i="31"/>
  <c r="AB19" i="31"/>
  <c r="AB7" i="31"/>
  <c r="AB8" i="32"/>
  <c r="AB16" i="32"/>
  <c r="AB24" i="32"/>
  <c r="AB32" i="32"/>
  <c r="AB40" i="32"/>
  <c r="AB9" i="32"/>
  <c r="AB17" i="32"/>
  <c r="AB25" i="32"/>
  <c r="AB33" i="32"/>
  <c r="AB41" i="32"/>
  <c r="N7" i="37"/>
  <c r="N10" i="38"/>
  <c r="N18" i="38"/>
  <c r="N11" i="38"/>
  <c r="N19" i="38"/>
  <c r="AB39" i="17"/>
  <c r="AB30" i="17"/>
  <c r="AB21" i="17"/>
  <c r="AB12" i="17"/>
  <c r="AB35" i="19"/>
  <c r="AB26" i="19"/>
  <c r="AB17" i="19"/>
  <c r="AB6" i="19"/>
  <c r="V28" i="22"/>
  <c r="V16" i="22"/>
  <c r="V6" i="22"/>
  <c r="Y10" i="23"/>
  <c r="Y42" i="24"/>
  <c r="Y32" i="24"/>
  <c r="Y22" i="24"/>
  <c r="Y10" i="24"/>
  <c r="P6" i="26"/>
  <c r="X33" i="28"/>
  <c r="X21" i="28"/>
  <c r="X11" i="28"/>
  <c r="X13" i="29"/>
  <c r="X9" i="30"/>
  <c r="AB38" i="31"/>
  <c r="AB28" i="31"/>
  <c r="AB16" i="31"/>
  <c r="AB6" i="31"/>
  <c r="AB35" i="32"/>
  <c r="AB23" i="32"/>
  <c r="AB13" i="32"/>
  <c r="N9" i="35"/>
  <c r="N6" i="37"/>
  <c r="N13" i="38"/>
  <c r="AB38" i="17"/>
  <c r="AB29" i="17"/>
  <c r="AB20" i="17"/>
  <c r="AB11" i="17"/>
  <c r="AB9" i="18"/>
  <c r="AB17" i="18"/>
  <c r="AB25" i="18"/>
  <c r="AB33" i="18"/>
  <c r="AB41" i="18"/>
  <c r="AB34" i="19"/>
  <c r="AB25" i="19"/>
  <c r="AB15" i="19"/>
  <c r="AB5" i="19"/>
  <c r="V27" i="22"/>
  <c r="V15" i="22"/>
  <c r="V5" i="22"/>
  <c r="Y9" i="23"/>
  <c r="Y41" i="24"/>
  <c r="Y31" i="24"/>
  <c r="Y21" i="24"/>
  <c r="Y9" i="24"/>
  <c r="X32" i="28"/>
  <c r="X20" i="28"/>
  <c r="X10" i="28"/>
  <c r="X12" i="29"/>
  <c r="AB37" i="31"/>
  <c r="AB27" i="31"/>
  <c r="AB15" i="31"/>
  <c r="AB34" i="32"/>
  <c r="AB22" i="32"/>
  <c r="AB12" i="32"/>
  <c r="N8" i="35"/>
  <c r="N6" i="36"/>
  <c r="N7" i="36"/>
  <c r="N5" i="37"/>
  <c r="N12" i="38"/>
  <c r="AB9" i="31"/>
  <c r="AB17" i="31"/>
  <c r="AB25" i="31"/>
  <c r="AB33" i="31"/>
  <c r="AB41" i="31"/>
  <c r="AB10" i="31"/>
  <c r="AB18" i="31"/>
  <c r="AB26" i="31"/>
  <c r="AB34" i="31"/>
  <c r="AB42" i="31"/>
  <c r="AB31" i="19"/>
  <c r="AB22" i="19"/>
  <c r="V23" i="22"/>
  <c r="V13" i="22"/>
  <c r="Y39" i="24"/>
  <c r="Y7" i="24"/>
  <c r="AB35" i="31"/>
  <c r="AB13" i="31"/>
  <c r="N13" i="37"/>
  <c r="AB39" i="19"/>
  <c r="AB12" i="19"/>
  <c r="V12" i="22"/>
  <c r="Y14" i="23"/>
  <c r="Y38" i="24"/>
  <c r="AB32" i="31"/>
  <c r="AB12" i="31"/>
  <c r="AB20" i="19"/>
  <c r="V11" i="22"/>
  <c r="Y47" i="24"/>
  <c r="Y37" i="24"/>
  <c r="Y25" i="24"/>
  <c r="Y15" i="24"/>
  <c r="X36" i="28"/>
  <c r="X26" i="28"/>
  <c r="AB11" i="31"/>
  <c r="AB42" i="19"/>
  <c r="AB33" i="19"/>
  <c r="AB23" i="19"/>
  <c r="AB14" i="19"/>
  <c r="V14" i="22"/>
  <c r="N9" i="37"/>
  <c r="N10" i="37"/>
  <c r="AB41" i="19"/>
  <c r="AB13" i="19"/>
  <c r="Y17" i="23"/>
  <c r="Y17" i="24"/>
  <c r="AB23" i="31"/>
  <c r="AB21" i="19"/>
  <c r="V32" i="22"/>
  <c r="Y26" i="24"/>
  <c r="X10" i="30"/>
  <c r="X11" i="30"/>
  <c r="AB21" i="31"/>
  <c r="AB37" i="19"/>
  <c r="AB28" i="19"/>
  <c r="AB19" i="19"/>
  <c r="V30" i="22"/>
  <c r="V20" i="22"/>
  <c r="V8" i="22"/>
  <c r="Y12" i="23"/>
  <c r="Y46" i="24"/>
  <c r="Y34" i="24"/>
  <c r="Y24" i="24"/>
  <c r="X35" i="28"/>
  <c r="X25" i="28"/>
  <c r="X13" i="28"/>
  <c r="AB40" i="31"/>
  <c r="AB30" i="31"/>
  <c r="AB20" i="31"/>
  <c r="AB8" i="31"/>
  <c r="N8" i="37"/>
  <c r="AB8" i="19"/>
  <c r="AB16" i="19"/>
  <c r="AB24" i="19"/>
  <c r="AB32" i="19"/>
  <c r="AB40" i="19"/>
  <c r="AB9" i="19"/>
  <c r="V24" i="22"/>
  <c r="Y11" i="24"/>
  <c r="Y19" i="24"/>
  <c r="Y27" i="24"/>
  <c r="Y35" i="24"/>
  <c r="Y43" i="24"/>
  <c r="Y12" i="24"/>
  <c r="Y20" i="24"/>
  <c r="Y28" i="24"/>
  <c r="Y36" i="24"/>
  <c r="Y44" i="24"/>
  <c r="AB38" i="19"/>
  <c r="AB29" i="19"/>
  <c r="AB11" i="19"/>
  <c r="V31" i="22"/>
  <c r="V21" i="22"/>
  <c r="Y13" i="23"/>
  <c r="X16" i="28"/>
  <c r="O19" i="21"/>
  <c r="AH3" i="28"/>
  <c r="AF1378" i="28"/>
  <c r="AF1284" i="28"/>
  <c r="AF1324" i="28"/>
  <c r="AF1325" i="28"/>
  <c r="AF1341" i="28"/>
  <c r="AF1348" i="28"/>
  <c r="AF1311" i="28"/>
  <c r="AF1356" i="28"/>
  <c r="AF1376" i="28"/>
  <c r="AF1342" i="28"/>
  <c r="AF1364" i="28"/>
  <c r="AF1360" i="28"/>
  <c r="AF1294" i="28"/>
  <c r="AF1291" i="28"/>
  <c r="AF1402" i="28"/>
  <c r="AF1415" i="28"/>
  <c r="AF1398" i="28"/>
  <c r="AF1411" i="28"/>
  <c r="AF1393" i="28"/>
  <c r="AF1621" i="28"/>
  <c r="AF1671" i="28"/>
  <c r="AF1678" i="28"/>
  <c r="AF1683" i="28"/>
  <c r="AF1655" i="28"/>
  <c r="AF1646" i="28"/>
  <c r="AF1667" i="28"/>
  <c r="AF1651" i="28"/>
  <c r="AF1608" i="28"/>
  <c r="AF1567" i="28"/>
  <c r="AF1580" i="28"/>
  <c r="AF1562" i="28"/>
  <c r="AF1596" i="28"/>
  <c r="AF1574" i="28"/>
  <c r="AF1490" i="28"/>
  <c r="AF1513" i="28"/>
  <c r="AF1507" i="28"/>
  <c r="AF1480" i="28"/>
  <c r="AF1495" i="28"/>
  <c r="AF1518" i="28"/>
  <c r="AF1540" i="28"/>
  <c r="AF1553" i="28"/>
  <c r="AF1543" i="28"/>
  <c r="AF1530" i="28"/>
  <c r="AF1560" i="28"/>
  <c r="AF1533" i="28"/>
  <c r="AF1791" i="28"/>
  <c r="AF1789" i="28"/>
  <c r="AF1784" i="28"/>
  <c r="AF1757" i="28"/>
  <c r="AF1771" i="28"/>
  <c r="AF1754" i="28"/>
  <c r="AF1724" i="28"/>
  <c r="AF1695" i="28"/>
  <c r="AF1718" i="28"/>
  <c r="AF1730" i="28"/>
  <c r="AF1706" i="28"/>
  <c r="AF1723" i="28"/>
  <c r="AF1697" i="28"/>
  <c r="AF1441" i="28"/>
  <c r="AF1439" i="28"/>
  <c r="AF1451" i="28"/>
  <c r="AF1463" i="28"/>
  <c r="AF1446" i="28"/>
  <c r="AF1450" i="28"/>
  <c r="AF1458" i="28"/>
  <c r="AF112" i="28"/>
  <c r="AF88" i="28"/>
  <c r="AF305" i="28"/>
  <c r="AF56" i="28"/>
  <c r="AF3" i="28"/>
  <c r="AF957" i="28"/>
  <c r="AF1420" i="28"/>
  <c r="AF1292" i="28"/>
  <c r="AF1303" i="28"/>
  <c r="AF1323" i="28"/>
  <c r="AF1331" i="28"/>
  <c r="AF1315" i="28"/>
  <c r="AF1298" i="28"/>
  <c r="AF1335" i="28"/>
  <c r="AF1369" i="28"/>
  <c r="AF1372" i="28"/>
  <c r="AF1353" i="28"/>
  <c r="AF1375" i="28"/>
  <c r="AF1282" i="28"/>
  <c r="AF1296" i="28"/>
  <c r="AF1388" i="28"/>
  <c r="AF1409" i="28"/>
  <c r="AF1387" i="28"/>
  <c r="AF1389" i="28"/>
  <c r="AF1403" i="28"/>
  <c r="AF1681" i="28"/>
  <c r="AF1663" i="28"/>
  <c r="AF1629" i="28"/>
  <c r="AF1677" i="28"/>
  <c r="AF1648" i="28"/>
  <c r="AF1679" i="28"/>
  <c r="AF1640" i="28"/>
  <c r="AF1638" i="28"/>
  <c r="AF1610" i="28"/>
  <c r="AF1599" i="28"/>
  <c r="AF1586" i="28"/>
  <c r="AF1602" i="28"/>
  <c r="AF1575" i="28"/>
  <c r="AF1592" i="28"/>
  <c r="AF1489" i="28"/>
  <c r="AF1484" i="28"/>
  <c r="AF1506" i="28"/>
  <c r="AF1500" i="28"/>
  <c r="AF1494" i="28"/>
  <c r="AF1526" i="28"/>
  <c r="AF1532" i="28"/>
  <c r="AF1554" i="28"/>
  <c r="AF1527" i="28"/>
  <c r="AF1528" i="28"/>
  <c r="AF1615" i="28"/>
  <c r="AF1542" i="28"/>
  <c r="AF1690" i="28"/>
  <c r="AF1760" i="28"/>
  <c r="AF1783" i="28"/>
  <c r="AF1776" i="28"/>
  <c r="AF1753" i="28"/>
  <c r="AF1727" i="28"/>
  <c r="AF1715" i="28"/>
  <c r="AF1726" i="28"/>
  <c r="AF1749" i="28"/>
  <c r="AF1717" i="28"/>
  <c r="AF1725" i="28"/>
  <c r="AF1739" i="28"/>
  <c r="AF1745" i="28"/>
  <c r="AF1429" i="28"/>
  <c r="AF1462" i="28"/>
  <c r="AF1448" i="28"/>
  <c r="AF1428" i="28"/>
  <c r="AF1444" i="28"/>
  <c r="AF1452" i="28"/>
  <c r="AF1470" i="28"/>
  <c r="AF82" i="28"/>
  <c r="AF99" i="28"/>
  <c r="AF89" i="28"/>
  <c r="AF107" i="28"/>
  <c r="AF1" i="28"/>
  <c r="AF934" i="28"/>
  <c r="AF902" i="28"/>
  <c r="AF1689" i="28"/>
  <c r="AF1377" i="28"/>
  <c r="AF1349" i="28"/>
  <c r="AF1328" i="28"/>
  <c r="AF1321" i="28"/>
  <c r="AF1308" i="28"/>
  <c r="AF1312" i="28"/>
  <c r="AF1362" i="28"/>
  <c r="AF1339" i="28"/>
  <c r="AF1327" i="28"/>
  <c r="AF1365" i="28"/>
  <c r="AF1374" i="28"/>
  <c r="AF1295" i="28"/>
  <c r="AF1416" i="28"/>
  <c r="AF1407" i="28"/>
  <c r="AF1395" i="28"/>
  <c r="AF1382" i="28"/>
  <c r="AF1392" i="28"/>
  <c r="AF1399" i="28"/>
  <c r="AF1642" i="28"/>
  <c r="AF1669" i="28"/>
  <c r="AF1675" i="28"/>
  <c r="AF1661" i="28"/>
  <c r="AF1687" i="28"/>
  <c r="AF1673" i="28"/>
  <c r="AF1662" i="28"/>
  <c r="AF1654" i="28"/>
  <c r="AF1612" i="28"/>
  <c r="AF1579" i="28"/>
  <c r="AF1572" i="28"/>
  <c r="AF1570" i="28"/>
  <c r="AF1578" i="28"/>
  <c r="AF1591" i="28"/>
  <c r="AF1488" i="28"/>
  <c r="AF1512" i="28"/>
  <c r="AF1505" i="28"/>
  <c r="AF1499" i="28"/>
  <c r="AF1493" i="28"/>
  <c r="AF1558" i="28"/>
  <c r="AF1523" i="28"/>
  <c r="AF1550" i="28"/>
  <c r="AF1545" i="28"/>
  <c r="AF1606" i="28"/>
  <c r="AF1607" i="28"/>
  <c r="AF1547" i="28"/>
  <c r="AF1765" i="28"/>
  <c r="AF1788" i="28"/>
  <c r="AF1782" i="28"/>
  <c r="AF1691" i="28"/>
  <c r="AF1770" i="28"/>
  <c r="AF1737" i="28"/>
  <c r="AF1734" i="28"/>
  <c r="AF1696" i="28"/>
  <c r="AF1744" i="28"/>
  <c r="AF1738" i="28"/>
  <c r="AF1748" i="28"/>
  <c r="AF1750" i="28"/>
  <c r="AF1442" i="28"/>
  <c r="AF1457" i="28"/>
  <c r="AF1447" i="28"/>
  <c r="AF1436" i="28"/>
  <c r="AF1425" i="28"/>
  <c r="AF1426" i="28"/>
  <c r="AF1464" i="28"/>
  <c r="AF16" i="28"/>
  <c r="AF100" i="28"/>
  <c r="AF34" i="28"/>
  <c r="AF97" i="28"/>
  <c r="AF271" i="28"/>
  <c r="AF9" i="28"/>
  <c r="AF886" i="28"/>
  <c r="AF796" i="28"/>
  <c r="AF763" i="28"/>
  <c r="AF860" i="28"/>
  <c r="AF827" i="28"/>
  <c r="AF888" i="28"/>
  <c r="AF896" i="28"/>
  <c r="AF937" i="28"/>
  <c r="AF870" i="28"/>
  <c r="AF895" i="28"/>
  <c r="AF944" i="28"/>
  <c r="AF861" i="28"/>
  <c r="AF846" i="28"/>
  <c r="AF956" i="28"/>
  <c r="AF806" i="28"/>
  <c r="AF916" i="28"/>
  <c r="AF947" i="28"/>
  <c r="AF877" i="28"/>
  <c r="AF767" i="28"/>
  <c r="AF804" i="28"/>
  <c r="AF892" i="28"/>
  <c r="AF863" i="28"/>
  <c r="AF856" i="28"/>
  <c r="AF862" i="28"/>
  <c r="AF360" i="28"/>
  <c r="AF397" i="28"/>
  <c r="AF486" i="28"/>
  <c r="AF542" i="28"/>
  <c r="AF416" i="28"/>
  <c r="AF309" i="28"/>
  <c r="AF477" i="28"/>
  <c r="AF418" i="28"/>
  <c r="AF339" i="28"/>
  <c r="AF437" i="28"/>
  <c r="AF538" i="28"/>
  <c r="AF343" i="28"/>
  <c r="AF501" i="28"/>
  <c r="AF379" i="28"/>
  <c r="AF414" i="28"/>
  <c r="AF13" i="28"/>
  <c r="AF1186" i="28"/>
  <c r="AF987" i="28"/>
  <c r="AF1013" i="28"/>
  <c r="AF1135" i="28"/>
  <c r="AF1076" i="28"/>
  <c r="AF967" i="28"/>
  <c r="AF995" i="28"/>
  <c r="AF1170" i="28"/>
  <c r="AF1108" i="28"/>
  <c r="AF1049" i="28"/>
  <c r="AF1148" i="28"/>
  <c r="AF1022" i="28"/>
  <c r="AF986" i="28"/>
  <c r="AF975" i="28"/>
  <c r="AF1078" i="28"/>
  <c r="AF1007" i="28"/>
  <c r="AF1111" i="28"/>
  <c r="AF1619" i="28"/>
  <c r="AF1288" i="28"/>
  <c r="AF1300" i="28"/>
  <c r="AF1347" i="28"/>
  <c r="AF1310" i="28"/>
  <c r="AF1319" i="28"/>
  <c r="AF1320" i="28"/>
  <c r="AF1361" i="28"/>
  <c r="AF1350" i="28"/>
  <c r="AF1373" i="28"/>
  <c r="AF1355" i="28"/>
  <c r="AF1371" i="28"/>
  <c r="AF1280" i="28"/>
  <c r="AF1417" i="28"/>
  <c r="AF1386" i="28"/>
  <c r="AF1381" i="28"/>
  <c r="AF1401" i="28"/>
  <c r="AF1394" i="28"/>
  <c r="AF1625" i="28"/>
  <c r="AF1641" i="28"/>
  <c r="AF1627" i="28"/>
  <c r="AF1631" i="28"/>
  <c r="AF1626" i="28"/>
  <c r="AF1628" i="28"/>
  <c r="AF1633" i="28"/>
  <c r="AF1653" i="28"/>
  <c r="AF1643" i="28"/>
  <c r="AF1614" i="28"/>
  <c r="AF1566" i="28"/>
  <c r="AF1595" i="28"/>
  <c r="AF1583" i="28"/>
  <c r="AF1590" i="28"/>
  <c r="AF1600" i="28"/>
  <c r="AF1487" i="28"/>
  <c r="AF1511" i="28"/>
  <c r="AF1504" i="28"/>
  <c r="AF1481" i="28"/>
  <c r="AF1492" i="28"/>
  <c r="AF1556" i="28"/>
  <c r="AF1529" i="28"/>
  <c r="AF1541" i="28"/>
  <c r="AF1557" i="28"/>
  <c r="AF1609" i="28"/>
  <c r="AF1617" i="28"/>
  <c r="AF1613" i="28"/>
  <c r="AF1764" i="28"/>
  <c r="AF1759" i="28"/>
  <c r="AF1781" i="28"/>
  <c r="AF1775" i="28"/>
  <c r="AF1769" i="28"/>
  <c r="AF1705" i="28"/>
  <c r="AF1698" i="28"/>
  <c r="AF1755" i="28"/>
  <c r="AF1711" i="28"/>
  <c r="AF1719" i="28"/>
  <c r="AF1703" i="28"/>
  <c r="AF1694" i="28"/>
  <c r="AF1473" i="28"/>
  <c r="AF1445" i="28"/>
  <c r="AF1455" i="28"/>
  <c r="AF1454" i="28"/>
  <c r="AF1456" i="28"/>
  <c r="AF1460" i="28"/>
  <c r="AF1474" i="28"/>
  <c r="AF8" i="28"/>
  <c r="AF116" i="28"/>
  <c r="AF111" i="28"/>
  <c r="AF40" i="28"/>
  <c r="AF94" i="28"/>
  <c r="AF14" i="28"/>
  <c r="AF925" i="28"/>
  <c r="AF825" i="28"/>
  <c r="AF840" i="28"/>
  <c r="AF765" i="28"/>
  <c r="AF921" i="28"/>
  <c r="AF777" i="28"/>
  <c r="AF1618" i="28"/>
  <c r="AF1317" i="28"/>
  <c r="AF1301" i="28"/>
  <c r="AF1326" i="28"/>
  <c r="AF1367" i="28"/>
  <c r="AF1332" i="28"/>
  <c r="AF1285" i="28"/>
  <c r="AF1412" i="28"/>
  <c r="AF1410" i="28"/>
  <c r="AF1658" i="28"/>
  <c r="AF1632" i="28"/>
  <c r="AF1686" i="28"/>
  <c r="AF1668" i="28"/>
  <c r="AF1660" i="28"/>
  <c r="AF1564" i="28"/>
  <c r="AF1577" i="28"/>
  <c r="AF1516" i="28"/>
  <c r="AF1509" i="28"/>
  <c r="AF1496" i="28"/>
  <c r="AF1536" i="28"/>
  <c r="AF1559" i="28"/>
  <c r="AF1605" i="28"/>
  <c r="AF1693" i="28"/>
  <c r="AF1758" i="28"/>
  <c r="AF1773" i="28"/>
  <c r="AF1752" i="28"/>
  <c r="AF1700" i="28"/>
  <c r="AF1716" i="28"/>
  <c r="AF1742" i="28"/>
  <c r="AF1434" i="28"/>
  <c r="AF1422" i="28"/>
  <c r="AF1469" i="28"/>
  <c r="AF98" i="28"/>
  <c r="AF268" i="28"/>
  <c r="AF117" i="28"/>
  <c r="AF810" i="28"/>
  <c r="AF802" i="28"/>
  <c r="AF822" i="28"/>
  <c r="AF883" i="28"/>
  <c r="AF811" i="28"/>
  <c r="AF918" i="28"/>
  <c r="AF813" i="28"/>
  <c r="AF901" i="28"/>
  <c r="AF794" i="28"/>
  <c r="AF880" i="28"/>
  <c r="AF959" i="28"/>
  <c r="AF963" i="28"/>
  <c r="AF778" i="28"/>
  <c r="AF900" i="28"/>
  <c r="AF801" i="28"/>
  <c r="AF842" i="28"/>
  <c r="AF817" i="28"/>
  <c r="AF826" i="28"/>
  <c r="AF783" i="28"/>
  <c r="AF887" i="28"/>
  <c r="AF519" i="28"/>
  <c r="AF325" i="28"/>
  <c r="AF546" i="28"/>
  <c r="AF408" i="28"/>
  <c r="AF480" i="28"/>
  <c r="AF318" i="28"/>
  <c r="AF364" i="28"/>
  <c r="AF377" i="28"/>
  <c r="AF476" i="28"/>
  <c r="AF421" i="28"/>
  <c r="AF388" i="28"/>
  <c r="AF545" i="28"/>
  <c r="AF368" i="28"/>
  <c r="AF4" i="28"/>
  <c r="AF1141" i="28"/>
  <c r="AF1009" i="28"/>
  <c r="AF1080" i="28"/>
  <c r="AF1006" i="28"/>
  <c r="AF1100" i="28"/>
  <c r="AF1011" i="28"/>
  <c r="AF1066" i="28"/>
  <c r="AF1047" i="28"/>
  <c r="AF1054" i="28"/>
  <c r="AF1035" i="28"/>
  <c r="AF984" i="28"/>
  <c r="AF1075" i="28"/>
  <c r="AF1046" i="28"/>
  <c r="AF1142" i="28"/>
  <c r="AF1158" i="28"/>
  <c r="AF1037" i="28"/>
  <c r="AF1168" i="28"/>
  <c r="AF1102" i="28"/>
  <c r="AF1041" i="28"/>
  <c r="AF1174" i="28"/>
  <c r="AF1073" i="28"/>
  <c r="AF1192" i="28"/>
  <c r="AF1191" i="28"/>
  <c r="AF973" i="28"/>
  <c r="AF1016" i="28"/>
  <c r="AF1094" i="28"/>
  <c r="AF259" i="28"/>
  <c r="AF1248" i="28"/>
  <c r="AF1277" i="28"/>
  <c r="AF1242" i="28"/>
  <c r="AF1267" i="28"/>
  <c r="AF1241" i="28"/>
  <c r="AF1244" i="28"/>
  <c r="AF1273" i="28"/>
  <c r="AF1262" i="28"/>
  <c r="AF1261" i="28"/>
  <c r="AF1260" i="28"/>
  <c r="AF375" i="28"/>
  <c r="AF351" i="28"/>
  <c r="AF524" i="28"/>
  <c r="AF383" i="28"/>
  <c r="AF415" i="28"/>
  <c r="AF533" i="28"/>
  <c r="AF539" i="28"/>
  <c r="AF484" i="28"/>
  <c r="AF505" i="28"/>
  <c r="AF435" i="28"/>
  <c r="AF433" i="28"/>
  <c r="AF494" i="28"/>
  <c r="AF356" i="28"/>
  <c r="AF335" i="28"/>
  <c r="AF357" i="28"/>
  <c r="AF159" i="28"/>
  <c r="AF148" i="28"/>
  <c r="AF145" i="28"/>
  <c r="AF122" i="28"/>
  <c r="AF170" i="28"/>
  <c r="AF255" i="28"/>
  <c r="AF192" i="28"/>
  <c r="AF212" i="28"/>
  <c r="AF213" i="28"/>
  <c r="AF227" i="28"/>
  <c r="AF619" i="28"/>
  <c r="AF758" i="28"/>
  <c r="AF719" i="28"/>
  <c r="AF554" i="28"/>
  <c r="AF650" i="28"/>
  <c r="AF229" i="28"/>
  <c r="AF188" i="28"/>
  <c r="AF221" i="28"/>
  <c r="AF238" i="28"/>
  <c r="AF180" i="28"/>
  <c r="AF1114" i="28"/>
  <c r="AF738" i="28"/>
  <c r="AF580" i="28"/>
  <c r="AF662" i="28"/>
  <c r="AF620" i="28"/>
  <c r="AF592" i="28"/>
  <c r="AF721" i="28"/>
  <c r="AF683" i="28"/>
  <c r="AF647" i="28"/>
  <c r="AF292" i="28"/>
  <c r="AF281" i="28"/>
  <c r="AF68" i="28"/>
  <c r="AF598" i="28"/>
  <c r="AF739" i="28"/>
  <c r="AF691" i="28"/>
  <c r="AF663" i="28"/>
  <c r="AF275" i="28"/>
  <c r="AF154" i="28"/>
  <c r="AF36" i="28"/>
  <c r="AF282" i="28"/>
  <c r="AF133" i="28"/>
  <c r="AF595" i="28"/>
  <c r="AF746" i="28"/>
  <c r="AF706" i="28"/>
  <c r="AF668" i="28"/>
  <c r="AF633" i="28"/>
  <c r="AF60" i="28"/>
  <c r="AF90" i="28"/>
  <c r="AF103" i="28"/>
  <c r="AF30" i="28"/>
  <c r="AF72" i="28"/>
  <c r="AF293" i="28"/>
  <c r="AF953" i="28"/>
  <c r="AF734" i="28"/>
  <c r="AF569" i="28"/>
  <c r="AF657" i="28"/>
  <c r="AF69" i="28"/>
  <c r="AF59" i="28"/>
  <c r="AF125" i="28"/>
  <c r="AF266" i="28"/>
  <c r="AF1283" i="28"/>
  <c r="AF1337" i="28"/>
  <c r="AF1346" i="28"/>
  <c r="AF1357" i="28"/>
  <c r="AF1354" i="28"/>
  <c r="AF1370" i="28"/>
  <c r="AF1281" i="28"/>
  <c r="AF1385" i="28"/>
  <c r="AF1404" i="28"/>
  <c r="AF1688" i="28"/>
  <c r="AF1649" i="28"/>
  <c r="AF1684" i="28"/>
  <c r="AF1620" i="28"/>
  <c r="AF1674" i="28"/>
  <c r="AF1569" i="28"/>
  <c r="AF1581" i="28"/>
  <c r="AF1478" i="28"/>
  <c r="AF1508" i="28"/>
  <c r="AF1479" i="28"/>
  <c r="AF1549" i="28"/>
  <c r="AF1544" i="28"/>
  <c r="AF1616" i="28"/>
  <c r="AF1732" i="28"/>
  <c r="AF1785" i="28"/>
  <c r="AF1772" i="28"/>
  <c r="AF1720" i="28"/>
  <c r="AF1728" i="28"/>
  <c r="AF1704" i="28"/>
  <c r="AF1741" i="28"/>
  <c r="AF1438" i="28"/>
  <c r="AF1430" i="28"/>
  <c r="AF1467" i="28"/>
  <c r="AF110" i="28"/>
  <c r="AF284" i="28"/>
  <c r="AF276" i="28"/>
  <c r="AF814" i="28"/>
  <c r="AF774" i="28"/>
  <c r="AF834" i="28"/>
  <c r="AF799" i="28"/>
  <c r="AF904" i="28"/>
  <c r="AF943" i="28"/>
  <c r="AF878" i="28"/>
  <c r="AF881" i="28"/>
  <c r="AF789" i="28"/>
  <c r="AF854" i="28"/>
  <c r="AF875" i="28"/>
  <c r="AF784" i="28"/>
  <c r="AF964" i="28"/>
  <c r="AF798" i="28"/>
  <c r="AF786" i="28"/>
  <c r="AF935" i="28"/>
  <c r="AF961" i="28"/>
  <c r="AF923" i="28"/>
  <c r="AF803" i="28"/>
  <c r="AF915" i="28"/>
  <c r="AF365" i="28"/>
  <c r="AF409" i="28"/>
  <c r="AF452" i="28"/>
  <c r="AF459" i="28"/>
  <c r="AF429" i="28"/>
  <c r="AF426" i="28"/>
  <c r="AF313" i="28"/>
  <c r="AF337" i="28"/>
  <c r="AF431" i="28"/>
  <c r="AF548" i="28"/>
  <c r="AF344" i="28"/>
  <c r="AF350" i="28"/>
  <c r="AF389" i="28"/>
  <c r="AF12" i="28"/>
  <c r="AF1018" i="28"/>
  <c r="AF982" i="28"/>
  <c r="AF1178" i="28"/>
  <c r="AF1169" i="28"/>
  <c r="AF1107" i="28"/>
  <c r="AF974" i="28"/>
  <c r="AF1077" i="28"/>
  <c r="AF1132" i="28"/>
  <c r="AF1140" i="28"/>
  <c r="AF1177" i="28"/>
  <c r="AF971" i="28"/>
  <c r="AF1101" i="28"/>
  <c r="AF977" i="28"/>
  <c r="AF1159" i="28"/>
  <c r="AF1027" i="28"/>
  <c r="AF1145" i="28"/>
  <c r="AF1051" i="28"/>
  <c r="AF970" i="28"/>
  <c r="AF1092" i="28"/>
  <c r="AF1143" i="28"/>
  <c r="AF1134" i="28"/>
  <c r="AF1040" i="28"/>
  <c r="AF1044" i="28"/>
  <c r="AF1062" i="28"/>
  <c r="AF1154" i="28"/>
  <c r="AF1182" i="28"/>
  <c r="AF1210" i="28"/>
  <c r="AF1205" i="28"/>
  <c r="AF1232" i="28"/>
  <c r="AF1220" i="28"/>
  <c r="AF1219" i="28"/>
  <c r="AF1209" i="28"/>
  <c r="AF1236" i="28"/>
  <c r="AF1212" i="28"/>
  <c r="AF1235" i="28"/>
  <c r="AF1201" i="28"/>
  <c r="AF1197" i="28"/>
  <c r="AF447" i="28"/>
  <c r="AF336" i="28"/>
  <c r="AF489" i="28"/>
  <c r="AF446" i="28"/>
  <c r="AF527" i="28"/>
  <c r="AF403" i="28"/>
  <c r="AF422" i="28"/>
  <c r="AF497" i="28"/>
  <c r="AF1318" i="28"/>
  <c r="AF1330" i="28"/>
  <c r="AF1313" i="28"/>
  <c r="AF1336" i="28"/>
  <c r="AF1340" i="28"/>
  <c r="AF1279" i="28"/>
  <c r="AF1419" i="28"/>
  <c r="AF1406" i="28"/>
  <c r="AF1408" i="28"/>
  <c r="AF1635" i="28"/>
  <c r="AF1637" i="28"/>
  <c r="AF1656" i="28"/>
  <c r="AF1636" i="28"/>
  <c r="AF1594" i="28"/>
  <c r="AF1573" i="28"/>
  <c r="AF1587" i="28"/>
  <c r="AF1515" i="28"/>
  <c r="AF1503" i="28"/>
  <c r="AF1491" i="28"/>
  <c r="AF1538" i="28"/>
  <c r="AF1551" i="28"/>
  <c r="AF1531" i="28"/>
  <c r="AF1763" i="28"/>
  <c r="AF1780" i="28"/>
  <c r="AF1768" i="28"/>
  <c r="AF1722" i="28"/>
  <c r="AF1751" i="28"/>
  <c r="AF1712" i="28"/>
  <c r="AF1475" i="28"/>
  <c r="AF1453" i="28"/>
  <c r="AF1449" i="28"/>
  <c r="AF1459" i="28"/>
  <c r="AF256" i="28"/>
  <c r="AF114" i="28"/>
  <c r="AF10" i="28"/>
  <c r="AF807" i="28"/>
  <c r="AF942" i="28"/>
  <c r="AF945" i="28"/>
  <c r="AF946" i="28"/>
  <c r="AF788" i="28"/>
  <c r="AF780" i="28"/>
  <c r="AF897" i="28"/>
  <c r="AF855" i="28"/>
  <c r="AF779" i="28"/>
  <c r="AF857" i="28"/>
  <c r="AF917" i="28"/>
  <c r="AF809" i="28"/>
  <c r="AF766" i="28"/>
  <c r="AF962" i="28"/>
  <c r="AF793" i="28"/>
  <c r="AF903" i="28"/>
  <c r="AF773" i="28"/>
  <c r="AF847" i="28"/>
  <c r="AF839" i="28"/>
  <c r="AF815" i="28"/>
  <c r="AF396" i="28"/>
  <c r="AF399" i="28"/>
  <c r="AF441" i="28"/>
  <c r="AF332" i="28"/>
  <c r="AF443" i="28"/>
  <c r="AF537" i="28"/>
  <c r="AF328" i="28"/>
  <c r="AF420" i="28"/>
  <c r="AF374" i="28"/>
  <c r="AF482" i="28"/>
  <c r="AF512" i="28"/>
  <c r="AF352" i="28"/>
  <c r="AF319" i="28"/>
  <c r="AF2" i="28"/>
  <c r="AF1164" i="28"/>
  <c r="AF1028" i="28"/>
  <c r="AF1039" i="28"/>
  <c r="AF1045" i="28"/>
  <c r="AF1121" i="28"/>
  <c r="AF1105" i="28"/>
  <c r="AF991" i="28"/>
  <c r="AF1012" i="28"/>
  <c r="AF1139" i="28"/>
  <c r="AF993" i="28"/>
  <c r="AF1153" i="28"/>
  <c r="AF996" i="28"/>
  <c r="AF1043" i="28"/>
  <c r="AF1131" i="28"/>
  <c r="AF1136" i="28"/>
  <c r="AF1026" i="28"/>
  <c r="AF1087" i="28"/>
  <c r="AF985" i="28"/>
  <c r="AF1161" i="28"/>
  <c r="AF1052" i="28"/>
  <c r="AF1163" i="28"/>
  <c r="AF1193" i="28"/>
  <c r="AF1184" i="28"/>
  <c r="AF1061" i="28"/>
  <c r="AF1167" i="28"/>
  <c r="AF1059" i="28"/>
  <c r="AF1266" i="28"/>
  <c r="AF1250" i="28"/>
  <c r="AF1239" i="28"/>
  <c r="AF1272" i="28"/>
  <c r="AF1276" i="28"/>
  <c r="AF1237" i="28"/>
  <c r="AF1255" i="28"/>
  <c r="AF1257" i="28"/>
  <c r="AF1275" i="28"/>
  <c r="AF1249" i="28"/>
  <c r="AF1247" i="28"/>
  <c r="AF490" i="28"/>
  <c r="AF398" i="28"/>
  <c r="AF541" i="28"/>
  <c r="AF387" i="28"/>
  <c r="AF411" i="28"/>
  <c r="AF434" i="28"/>
  <c r="AF523" i="28"/>
  <c r="AF468" i="28"/>
  <c r="AF314" i="28"/>
  <c r="AF1306" i="28"/>
  <c r="AF1338" i="28"/>
  <c r="AF1304" i="28"/>
  <c r="AF1329" i="28"/>
  <c r="AF1333" i="28"/>
  <c r="AF1287" i="28"/>
  <c r="AF1384" i="28"/>
  <c r="AF1413" i="28"/>
  <c r="AF1400" i="28"/>
  <c r="AF1652" i="28"/>
  <c r="AF1634" i="28"/>
  <c r="AF1645" i="28"/>
  <c r="AF1639" i="28"/>
  <c r="AF1601" i="28"/>
  <c r="AF1561" i="28"/>
  <c r="AF1597" i="28"/>
  <c r="AF1485" i="28"/>
  <c r="AF1501" i="28"/>
  <c r="AF1548" i="28"/>
  <c r="AF1534" i="28"/>
  <c r="AF1539" i="28"/>
  <c r="AF1603" i="28"/>
  <c r="AF1761" i="28"/>
  <c r="AF1777" i="28"/>
  <c r="AF1743" i="28"/>
  <c r="AF1707" i="28"/>
  <c r="AF1710" i="28"/>
  <c r="AF1701" i="28"/>
  <c r="AF1431" i="28"/>
  <c r="AF1433" i="28"/>
  <c r="AF1440" i="28"/>
  <c r="AF1468" i="28"/>
  <c r="AF260" i="28"/>
  <c r="AF102" i="28"/>
  <c r="AF770" i="28"/>
  <c r="AF882" i="28"/>
  <c r="AF938" i="28"/>
  <c r="AF859" i="28"/>
  <c r="AF909" i="28"/>
  <c r="AF812" i="28"/>
  <c r="AF775" i="28"/>
  <c r="AF853" i="28"/>
  <c r="AF958" i="28"/>
  <c r="AF849" i="28"/>
  <c r="AF838" i="28"/>
  <c r="AF858" i="28"/>
  <c r="AF936" i="28"/>
  <c r="AF951" i="28"/>
  <c r="AF837" i="28"/>
  <c r="AF819" i="28"/>
  <c r="AF898" i="28"/>
  <c r="AF894" i="28"/>
  <c r="AF848" i="28"/>
  <c r="AF907" i="28"/>
  <c r="AF407" i="28"/>
  <c r="AF502" i="28"/>
  <c r="AF329" i="28"/>
  <c r="AF419" i="28"/>
  <c r="AF499" i="28"/>
  <c r="AF400" i="28"/>
  <c r="AF363" i="28"/>
  <c r="AF327" i="28"/>
  <c r="AF513" i="28"/>
  <c r="AF449" i="28"/>
  <c r="AF532" i="28"/>
  <c r="AF493" i="28"/>
  <c r="AF457" i="28"/>
  <c r="AF543" i="28"/>
  <c r="AF17" i="28"/>
  <c r="AF1113" i="28"/>
  <c r="AF1015" i="28"/>
  <c r="AF1109" i="28"/>
  <c r="AF1171" i="28"/>
  <c r="AF1175" i="28"/>
  <c r="AF1086" i="28"/>
  <c r="AF1112" i="28"/>
  <c r="AF1096" i="28"/>
  <c r="AF981" i="28"/>
  <c r="AF1023" i="28"/>
  <c r="AF1162" i="28"/>
  <c r="AF1014" i="28"/>
  <c r="AF1133" i="28"/>
  <c r="AF1095" i="28"/>
  <c r="AF1106" i="28"/>
  <c r="AF1032" i="28"/>
  <c r="AF1130" i="28"/>
  <c r="AF1147" i="28"/>
  <c r="AF983" i="28"/>
  <c r="AF1110" i="28"/>
  <c r="AF1068" i="28"/>
  <c r="AF994" i="28"/>
  <c r="AF1146" i="28"/>
  <c r="AF1070" i="28"/>
  <c r="AF1185" i="28"/>
  <c r="AF1183" i="28"/>
  <c r="AF1211" i="28"/>
  <c r="AF1204" i="28"/>
  <c r="AF1233" i="28"/>
  <c r="AF1200" i="28"/>
  <c r="AF1227" i="28"/>
  <c r="AF1198" i="28"/>
  <c r="AF1234" i="28"/>
  <c r="AF1208" i="28"/>
  <c r="AF1203" i="28"/>
  <c r="AF1228" i="28"/>
  <c r="AF521" i="28"/>
  <c r="AF373" i="28"/>
  <c r="AF483" i="28"/>
  <c r="AF515" i="28"/>
  <c r="AF450" i="28"/>
  <c r="AF342" i="28"/>
  <c r="AF514" i="28"/>
  <c r="AF367" i="28"/>
  <c r="AF448" i="28"/>
  <c r="AF516" i="28"/>
  <c r="AF517" i="28"/>
  <c r="AF380" i="28"/>
  <c r="AF526" i="28"/>
  <c r="AF498" i="28"/>
  <c r="AF413" i="28"/>
  <c r="AF127" i="28"/>
  <c r="AF168" i="28"/>
  <c r="AF129" i="28"/>
  <c r="AF169" i="28"/>
  <c r="AF140" i="28"/>
  <c r="AF176" i="28"/>
  <c r="AF237" i="28"/>
  <c r="AF1316" i="28"/>
  <c r="AF1299" i="28"/>
  <c r="AF1343" i="28"/>
  <c r="AF1418" i="28"/>
  <c r="AF1391" i="28"/>
  <c r="AF1622" i="28"/>
  <c r="AF1623" i="28"/>
  <c r="AF1576" i="28"/>
  <c r="AF1486" i="28"/>
  <c r="AF1517" i="28"/>
  <c r="AF1524" i="28"/>
  <c r="AF1762" i="28"/>
  <c r="AF1767" i="28"/>
  <c r="AF1713" i="28"/>
  <c r="AF1476" i="28"/>
  <c r="AF1437" i="28"/>
  <c r="AF295" i="28"/>
  <c r="AF864" i="28"/>
  <c r="AF950" i="28"/>
  <c r="AF893" i="28"/>
  <c r="AF808" i="28"/>
  <c r="AF926" i="28"/>
  <c r="AF772" i="28"/>
  <c r="AF913" i="28"/>
  <c r="AF790" i="28"/>
  <c r="AF776" i="28"/>
  <c r="AF922" i="28"/>
  <c r="AF831" i="28"/>
  <c r="AF348" i="28"/>
  <c r="AF311" i="28"/>
  <c r="AF333" i="28"/>
  <c r="AF428" i="28"/>
  <c r="AF362" i="28"/>
  <c r="AF410" i="28"/>
  <c r="AF6" i="28"/>
  <c r="AF1048" i="28"/>
  <c r="AF1050" i="28"/>
  <c r="AF1038" i="28"/>
  <c r="AF1137" i="28"/>
  <c r="AF1064" i="28"/>
  <c r="AF1103" i="28"/>
  <c r="AF1166" i="28"/>
  <c r="AF1152" i="28"/>
  <c r="AF1000" i="28"/>
  <c r="AF997" i="28"/>
  <c r="AF966" i="28"/>
  <c r="AF1090" i="28"/>
  <c r="AF1190" i="28"/>
  <c r="AF1229" i="28"/>
  <c r="AF1202" i="28"/>
  <c r="AF1206" i="28"/>
  <c r="AF1222" i="28"/>
  <c r="AF1199" i="28"/>
  <c r="AF472" i="28"/>
  <c r="AF442" i="28"/>
  <c r="AF507" i="28"/>
  <c r="AF440" i="28"/>
  <c r="AF491" i="28"/>
  <c r="AF439" i="28"/>
  <c r="AF522" i="28"/>
  <c r="AF436" i="28"/>
  <c r="AF393" i="28"/>
  <c r="AF164" i="28"/>
  <c r="AF118" i="28"/>
  <c r="AF147" i="28"/>
  <c r="AF123" i="28"/>
  <c r="AF235" i="28"/>
  <c r="AF187" i="28"/>
  <c r="AF222" i="28"/>
  <c r="AF203" i="28"/>
  <c r="AF193" i="28"/>
  <c r="AF584" i="28"/>
  <c r="AF710" i="28"/>
  <c r="AF568" i="28"/>
  <c r="AF624" i="28"/>
  <c r="AF232" i="28"/>
  <c r="AF196" i="28"/>
  <c r="AF191" i="28"/>
  <c r="AF208" i="28"/>
  <c r="AF884" i="28"/>
  <c r="AF724" i="28"/>
  <c r="AF682" i="28"/>
  <c r="AF636" i="28"/>
  <c r="AF593" i="28"/>
  <c r="AF728" i="28"/>
  <c r="AF677" i="28"/>
  <c r="AF638" i="28"/>
  <c r="AF297" i="28"/>
  <c r="AF150" i="28"/>
  <c r="AF599" i="28"/>
  <c r="AF747" i="28"/>
  <c r="AF696" i="28"/>
  <c r="AF656" i="28"/>
  <c r="AF79" i="28"/>
  <c r="AF162" i="28"/>
  <c r="AF38" i="28"/>
  <c r="AF64" i="28"/>
  <c r="AF610" i="28"/>
  <c r="AF576" i="28"/>
  <c r="AF698" i="28"/>
  <c r="AF660" i="28"/>
  <c r="AF55" i="28"/>
  <c r="AF303" i="28"/>
  <c r="AF132" i="28"/>
  <c r="AF42" i="28"/>
  <c r="AF274" i="28"/>
  <c r="AF621" i="28"/>
  <c r="AF756" i="28"/>
  <c r="AF718" i="28"/>
  <c r="AF672" i="28"/>
  <c r="AF631" i="28"/>
  <c r="AF63" i="28"/>
  <c r="AF22" i="28"/>
  <c r="AF1180" i="28"/>
  <c r="AF1058" i="28"/>
  <c r="AF1155" i="28"/>
  <c r="AF1084" i="28"/>
  <c r="AF1240" i="28"/>
  <c r="AF1258" i="28"/>
  <c r="AF1251" i="28"/>
  <c r="AF508" i="28"/>
  <c r="AF385" i="28"/>
  <c r="AF536" i="28"/>
  <c r="AF509" i="28"/>
  <c r="AF445" i="28"/>
  <c r="AF405" i="28"/>
  <c r="AF142" i="28"/>
  <c r="AF252" i="28"/>
  <c r="AF224" i="28"/>
  <c r="AF195" i="28"/>
  <c r="AF615" i="28"/>
  <c r="AF751" i="28"/>
  <c r="AF665" i="28"/>
  <c r="AF219" i="28"/>
  <c r="AF183" i="28"/>
  <c r="AF627" i="28"/>
  <c r="AF717" i="28"/>
  <c r="AF630" i="28"/>
  <c r="AF841" i="28"/>
  <c r="AF570" i="28"/>
  <c r="AF31" i="28"/>
  <c r="AF552" i="28"/>
  <c r="AF574" i="28"/>
  <c r="AF290" i="28"/>
  <c r="AF21" i="28"/>
  <c r="AF115" i="28"/>
  <c r="AF737" i="28"/>
  <c r="AF654" i="28"/>
  <c r="AF47" i="28"/>
  <c r="AF121" i="28"/>
  <c r="AF151" i="28"/>
  <c r="AF582" i="28"/>
  <c r="AF567" i="28"/>
  <c r="AF285" i="28"/>
  <c r="AF263" i="28"/>
  <c r="AF296" i="28"/>
  <c r="AF649" i="28"/>
  <c r="AF28" i="28"/>
  <c r="AF572" i="28"/>
  <c r="AF70" i="28"/>
  <c r="AF52" i="28"/>
  <c r="AF753" i="28"/>
  <c r="AF669" i="28"/>
  <c r="AF58" i="28"/>
  <c r="AF1307" i="28"/>
  <c r="AF1672" i="28"/>
  <c r="AF1519" i="28"/>
  <c r="AF1702" i="28"/>
  <c r="AF269" i="28"/>
  <c r="AF960" i="28"/>
  <c r="AF800" i="28"/>
  <c r="AF890" i="28"/>
  <c r="AF423" i="28"/>
  <c r="AF349" i="28"/>
  <c r="AF425" i="28"/>
  <c r="AF1116" i="28"/>
  <c r="AF1160" i="28"/>
  <c r="AF1021" i="28"/>
  <c r="AF1020" i="28"/>
  <c r="AF1221" i="28"/>
  <c r="AF1213" i="28"/>
  <c r="AF1216" i="28"/>
  <c r="AF470" i="28"/>
  <c r="AF330" i="28"/>
  <c r="AF321" i="28"/>
  <c r="AF171" i="28"/>
  <c r="AF216" i="28"/>
  <c r="AF603" i="28"/>
  <c r="AF655" i="28"/>
  <c r="AF247" i="28"/>
  <c r="AF702" i="28"/>
  <c r="AF752" i="28"/>
  <c r="AF156" i="28"/>
  <c r="AF843" i="28"/>
  <c r="AF1309" i="28"/>
  <c r="AF1297" i="28"/>
  <c r="AF1358" i="28"/>
  <c r="AF1379" i="28"/>
  <c r="AF1414" i="28"/>
  <c r="AF1666" i="28"/>
  <c r="AF1647" i="28"/>
  <c r="AF1585" i="28"/>
  <c r="AF1514" i="28"/>
  <c r="AF1535" i="28"/>
  <c r="AF1521" i="28"/>
  <c r="AF1790" i="28"/>
  <c r="AF1766" i="28"/>
  <c r="AF1746" i="28"/>
  <c r="AF1421" i="28"/>
  <c r="AF1461" i="28"/>
  <c r="AF304" i="28"/>
  <c r="AF828" i="28"/>
  <c r="AF872" i="28"/>
  <c r="AF932" i="28"/>
  <c r="AF914" i="28"/>
  <c r="AF924" i="28"/>
  <c r="AF891" i="28"/>
  <c r="AF867" i="28"/>
  <c r="AF899" i="28"/>
  <c r="AF845" i="28"/>
  <c r="AF885" i="28"/>
  <c r="AF835" i="28"/>
  <c r="AF347" i="28"/>
  <c r="AF381" i="28"/>
  <c r="AF520" i="28"/>
  <c r="AF473" i="28"/>
  <c r="AF510" i="28"/>
  <c r="AF463" i="28"/>
  <c r="AF7" i="28"/>
  <c r="AF1042" i="28"/>
  <c r="AF1128" i="28"/>
  <c r="AF998" i="28"/>
  <c r="AF1072" i="28"/>
  <c r="AF1104" i="28"/>
  <c r="AF1097" i="28"/>
  <c r="AF968" i="28"/>
  <c r="AF1024" i="28"/>
  <c r="AF1189" i="28"/>
  <c r="AF1127" i="28"/>
  <c r="AF1245" i="28"/>
  <c r="AF1269" i="28"/>
  <c r="AF323" i="28"/>
  <c r="AF458" i="28"/>
  <c r="AF462" i="28"/>
  <c r="AF163" i="28"/>
  <c r="AF155" i="28"/>
  <c r="AF244" i="28"/>
  <c r="AF206" i="28"/>
  <c r="AF705" i="28"/>
  <c r="AF223" i="28"/>
  <c r="AF204" i="28"/>
  <c r="AF589" i="28"/>
  <c r="AF571" i="28"/>
  <c r="AF714" i="28"/>
  <c r="AF629" i="28"/>
  <c r="AF39" i="28"/>
  <c r="AF578" i="28"/>
  <c r="AF558" i="28"/>
  <c r="AF95" i="28"/>
  <c r="AF602" i="28"/>
  <c r="AF693" i="28"/>
  <c r="AF258" i="28"/>
  <c r="AF54" i="28"/>
  <c r="AF614" i="28"/>
  <c r="AF712" i="28"/>
  <c r="AF628" i="28"/>
  <c r="AF18" i="28"/>
  <c r="AF824" i="28"/>
  <c r="AF41" i="28"/>
  <c r="AF549" i="28"/>
  <c r="AF652" i="28"/>
  <c r="AF83" i="28"/>
  <c r="AF607" i="28"/>
  <c r="AF61" i="28"/>
  <c r="AF1302" i="28"/>
  <c r="AF1664" i="28"/>
  <c r="AF1593" i="28"/>
  <c r="AF1537" i="28"/>
  <c r="AF1740" i="28"/>
  <c r="AF1465" i="28"/>
  <c r="AF912" i="28"/>
  <c r="AF879" i="28"/>
  <c r="AF949" i="28"/>
  <c r="AF531" i="28"/>
  <c r="AF386" i="28"/>
  <c r="AF1025" i="28"/>
  <c r="AF1165" i="28"/>
  <c r="AF1088" i="28"/>
  <c r="AF1120" i="28"/>
  <c r="AF294" i="28"/>
  <c r="AF1215" i="28"/>
  <c r="AF430" i="28"/>
  <c r="AF320" i="28"/>
  <c r="AF475" i="28"/>
  <c r="AF136" i="28"/>
  <c r="AF254" i="28"/>
  <c r="AF241" i="28"/>
  <c r="AF575" i="28"/>
  <c r="AF199" i="28"/>
  <c r="AF210" i="28"/>
  <c r="AF750" i="28"/>
  <c r="AF613" i="28"/>
  <c r="AF670" i="28"/>
  <c r="AF86" i="28"/>
  <c r="AF1314" i="28"/>
  <c r="AF1334" i="28"/>
  <c r="AF1363" i="28"/>
  <c r="AF1405" i="28"/>
  <c r="AF1682" i="28"/>
  <c r="AF1670" i="28"/>
  <c r="AF1676" i="28"/>
  <c r="AF1582" i="28"/>
  <c r="AF1483" i="28"/>
  <c r="AF1546" i="28"/>
  <c r="AF1604" i="28"/>
  <c r="AF1787" i="28"/>
  <c r="AF1747" i="28"/>
  <c r="AF1708" i="28"/>
  <c r="AF1423" i="28"/>
  <c r="AF1466" i="28"/>
  <c r="AF286" i="28"/>
  <c r="AF791" i="28"/>
  <c r="AF820" i="28"/>
  <c r="AF941" i="28"/>
  <c r="AF910" i="28"/>
  <c r="AF852" i="28"/>
  <c r="AF908" i="28"/>
  <c r="AF836" i="28"/>
  <c r="AF874" i="28"/>
  <c r="AF928" i="28"/>
  <c r="AF818" i="28"/>
  <c r="AF529" i="28"/>
  <c r="AF528" i="28"/>
  <c r="AF469" i="28"/>
  <c r="AF454" i="28"/>
  <c r="AF353" i="28"/>
  <c r="AF424" i="28"/>
  <c r="AF310" i="28"/>
  <c r="AF15" i="28"/>
  <c r="AF1085" i="28"/>
  <c r="AF976" i="28"/>
  <c r="AF1036" i="28"/>
  <c r="AF1057" i="28"/>
  <c r="AF1029" i="28"/>
  <c r="AF1157" i="28"/>
  <c r="AF1126" i="28"/>
  <c r="AF1176" i="28"/>
  <c r="AF1125" i="28"/>
  <c r="AF989" i="28"/>
  <c r="AF1194" i="28"/>
  <c r="AF990" i="28"/>
  <c r="AF1118" i="28"/>
  <c r="AF1256" i="28"/>
  <c r="AF1254" i="28"/>
  <c r="AF1271" i="28"/>
  <c r="AF1268" i="28"/>
  <c r="AF1252" i="28"/>
  <c r="AF488" i="28"/>
  <c r="AF455" i="28"/>
  <c r="AF354" i="28"/>
  <c r="AF341" i="28"/>
  <c r="AF467" i="28"/>
  <c r="AF401" i="28"/>
  <c r="AF478" i="28"/>
  <c r="AF511" i="28"/>
  <c r="AF504" i="28"/>
  <c r="AF146" i="28"/>
  <c r="AF166" i="28"/>
  <c r="AF143" i="28"/>
  <c r="AF253" i="28"/>
  <c r="AF201" i="28"/>
  <c r="AF173" i="28"/>
  <c r="AF179" i="28"/>
  <c r="AF243" i="28"/>
  <c r="AF606" i="28"/>
  <c r="AF743" i="28"/>
  <c r="AF697" i="28"/>
  <c r="AF664" i="28"/>
  <c r="AF182" i="28"/>
  <c r="AF233" i="28"/>
  <c r="AF184" i="28"/>
  <c r="AF177" i="28"/>
  <c r="AF622" i="28"/>
  <c r="AF761" i="28"/>
  <c r="AF709" i="28"/>
  <c r="AF671" i="28"/>
  <c r="AF625" i="28"/>
  <c r="AF760" i="28"/>
  <c r="AF711" i="28"/>
  <c r="AF675" i="28"/>
  <c r="AF76" i="28"/>
  <c r="AF289" i="28"/>
  <c r="AF732" i="28"/>
  <c r="AF686" i="28"/>
  <c r="AF84" i="28"/>
  <c r="AF279" i="28"/>
  <c r="AF685" i="28"/>
  <c r="AF152" i="28"/>
  <c r="AF160" i="28"/>
  <c r="AF703" i="28"/>
  <c r="AF288" i="28"/>
  <c r="AF1351" i="28"/>
  <c r="AF1397" i="28"/>
  <c r="AF1630" i="28"/>
  <c r="AF1510" i="28"/>
  <c r="AF1786" i="28"/>
  <c r="AF1443" i="28"/>
  <c r="AF952" i="28"/>
  <c r="AF871" i="28"/>
  <c r="AF832" i="28"/>
  <c r="AF930" i="28"/>
  <c r="AF492" i="28"/>
  <c r="AF460" i="28"/>
  <c r="AF978" i="28"/>
  <c r="AF1030" i="28"/>
  <c r="AF1017" i="28"/>
  <c r="AF969" i="28"/>
  <c r="AF992" i="28"/>
  <c r="AF1231" i="28"/>
  <c r="AF345" i="28"/>
  <c r="AF456" i="28"/>
  <c r="AF324" i="28"/>
  <c r="AF134" i="28"/>
  <c r="AF197" i="28"/>
  <c r="AF231" i="28"/>
  <c r="AF694" i="28"/>
  <c r="AF220" i="28"/>
  <c r="AF612" i="28"/>
  <c r="AF666" i="28"/>
  <c r="AF704" i="28"/>
  <c r="AF128" i="28"/>
  <c r="AF1345" i="28"/>
  <c r="AF1352" i="28"/>
  <c r="AF1286" i="28"/>
  <c r="AF1380" i="28"/>
  <c r="AF1680" i="28"/>
  <c r="AF1685" i="28"/>
  <c r="AF1571" i="28"/>
  <c r="AF1598" i="28"/>
  <c r="AF1482" i="28"/>
  <c r="AF1520" i="28"/>
  <c r="AF1611" i="28"/>
  <c r="AF1778" i="28"/>
  <c r="AF1731" i="28"/>
  <c r="AF1736" i="28"/>
  <c r="AF1427" i="28"/>
  <c r="AF1472" i="28"/>
  <c r="AF91" i="28"/>
  <c r="AF906" i="28"/>
  <c r="AF792" i="28"/>
  <c r="AF955" i="28"/>
  <c r="AF948" i="28"/>
  <c r="AF829" i="28"/>
  <c r="AF929" i="28"/>
  <c r="AF833" i="28"/>
  <c r="AF873" i="28"/>
  <c r="AF850" i="28"/>
  <c r="AF781" i="28"/>
  <c r="AF495" i="28"/>
  <c r="AF465" i="28"/>
  <c r="AF427" i="28"/>
  <c r="AF394" i="28"/>
  <c r="AF395" i="28"/>
  <c r="AF406" i="28"/>
  <c r="AF496" i="28"/>
  <c r="AF1069" i="28"/>
  <c r="AF1033" i="28"/>
  <c r="AF1071" i="28"/>
  <c r="AF1117" i="28"/>
  <c r="AF1144" i="28"/>
  <c r="AF1149" i="28"/>
  <c r="AF1172" i="28"/>
  <c r="AF1001" i="28"/>
  <c r="AF1122" i="28"/>
  <c r="AF1034" i="28"/>
  <c r="AF1181" i="28"/>
  <c r="AF980" i="28"/>
  <c r="AF1003" i="28"/>
  <c r="AF1263" i="28"/>
  <c r="AF1246" i="28"/>
  <c r="AF1253" i="28"/>
  <c r="AF1265" i="28"/>
  <c r="AF1264" i="28"/>
  <c r="AF1259" i="28"/>
  <c r="AF544" i="28"/>
  <c r="AF334" i="28"/>
  <c r="AF540" i="28"/>
  <c r="AF500" i="28"/>
  <c r="AF331" i="28"/>
  <c r="AF340" i="28"/>
  <c r="AF361" i="28"/>
  <c r="AF518" i="28"/>
  <c r="AF474" i="28"/>
  <c r="AF126" i="28"/>
  <c r="AF124" i="28"/>
  <c r="AF139" i="28"/>
  <c r="AF249" i="28"/>
  <c r="AF207" i="28"/>
  <c r="AF174" i="28"/>
  <c r="AF190" i="28"/>
  <c r="AF226" i="28"/>
  <c r="AF597" i="28"/>
  <c r="AF735" i="28"/>
  <c r="AF687" i="28"/>
  <c r="AF645" i="28"/>
  <c r="AF194" i="28"/>
  <c r="AF246" i="28"/>
  <c r="AF205" i="28"/>
  <c r="AF181" i="28"/>
  <c r="AF1098" i="28"/>
  <c r="AF748" i="28"/>
  <c r="AF690" i="28"/>
  <c r="AF653" i="28"/>
  <c r="AF1074" i="28"/>
  <c r="AF745" i="28"/>
  <c r="AF577" i="28"/>
  <c r="AF564" i="28"/>
  <c r="AF48" i="28"/>
  <c r="AF73" i="28"/>
  <c r="AF618" i="28"/>
  <c r="AF759" i="28"/>
  <c r="AF716" i="28"/>
  <c r="AF673" i="28"/>
  <c r="AF632" i="28"/>
  <c r="AF267" i="28"/>
  <c r="AF37" i="28"/>
  <c r="AF51" i="28"/>
  <c r="AF35" i="28"/>
  <c r="AF757" i="28"/>
  <c r="AF722" i="28"/>
  <c r="AF551" i="28"/>
  <c r="AF635" i="28"/>
  <c r="AF71" i="28"/>
  <c r="AF26" i="28"/>
  <c r="AF27" i="28"/>
  <c r="AF53" i="28"/>
  <c r="AF101" i="28"/>
  <c r="AF764" i="28"/>
  <c r="AF741" i="28"/>
  <c r="AF688" i="28"/>
  <c r="AF651" i="28"/>
  <c r="AF280" i="28"/>
  <c r="AF306" i="28"/>
  <c r="AF131" i="28"/>
  <c r="AF1792" i="28"/>
  <c r="AF1305" i="28"/>
  <c r="AF1359" i="28"/>
  <c r="AF1289" i="28"/>
  <c r="AF1383" i="28"/>
  <c r="AF1644" i="28"/>
  <c r="AF1624" i="28"/>
  <c r="AF1589" i="28"/>
  <c r="AF1563" i="28"/>
  <c r="AF1498" i="28"/>
  <c r="AF1525" i="28"/>
  <c r="AF1729" i="28"/>
  <c r="AF1774" i="28"/>
  <c r="AF1721" i="28"/>
  <c r="AF1692" i="28"/>
  <c r="AF1424" i="28"/>
  <c r="AF109" i="28"/>
  <c r="AF104" i="28"/>
  <c r="AF762" i="28"/>
  <c r="AF768" i="28"/>
  <c r="AF919" i="28"/>
  <c r="AF821" i="28"/>
  <c r="AF782" i="28"/>
  <c r="AF851" i="28"/>
  <c r="AF905" i="28"/>
  <c r="AF865" i="28"/>
  <c r="AF844" i="28"/>
  <c r="AF920" i="28"/>
  <c r="AF372" i="28"/>
  <c r="AF404" i="28"/>
  <c r="AF390" i="28"/>
  <c r="AF315" i="28"/>
  <c r="AF481" i="28"/>
  <c r="AF382" i="28"/>
  <c r="AF5" i="28"/>
  <c r="AF1060" i="28"/>
  <c r="AF999" i="28"/>
  <c r="AF1322" i="28"/>
  <c r="AF1650" i="28"/>
  <c r="AF1497" i="28"/>
  <c r="AF1709" i="28"/>
  <c r="AF44" i="28"/>
  <c r="AF823" i="28"/>
  <c r="AF933" i="28"/>
  <c r="AF485" i="28"/>
  <c r="AF346" i="28"/>
  <c r="AF1019" i="28"/>
  <c r="AF1093" i="28"/>
  <c r="AF988" i="28"/>
  <c r="AF1187" i="28"/>
  <c r="AF1223" i="28"/>
  <c r="AF1214" i="28"/>
  <c r="AF322" i="28"/>
  <c r="AF369" i="28"/>
  <c r="AF438" i="28"/>
  <c r="AF384" i="28"/>
  <c r="AF158" i="28"/>
  <c r="AF251" i="28"/>
  <c r="AF178" i="28"/>
  <c r="AF742" i="28"/>
  <c r="AF634" i="28"/>
  <c r="AF230" i="28"/>
  <c r="AF586" i="28"/>
  <c r="AF646" i="28"/>
  <c r="AF689" i="28"/>
  <c r="AF45" i="28"/>
  <c r="AF754" i="28"/>
  <c r="AF667" i="28"/>
  <c r="AF257" i="28"/>
  <c r="AF106" i="28"/>
  <c r="AF749" i="28"/>
  <c r="AF557" i="28"/>
  <c r="AF77" i="28"/>
  <c r="AF29" i="28"/>
  <c r="AF108" i="28"/>
  <c r="AF723" i="28"/>
  <c r="AF637" i="28"/>
  <c r="AF301" i="28"/>
  <c r="AF299" i="28"/>
  <c r="AF715" i="28"/>
  <c r="AF272" i="28"/>
  <c r="AF594" i="28"/>
  <c r="AF291" i="28"/>
  <c r="AF1565" i="28"/>
  <c r="AF1005" i="28"/>
  <c r="AF1224" i="28"/>
  <c r="AF359" i="28"/>
  <c r="AF245" i="28"/>
  <c r="AF239" i="28"/>
  <c r="AF641" i="28"/>
  <c r="AF62" i="28"/>
  <c r="AF617" i="28"/>
  <c r="AF587" i="28"/>
  <c r="AF75" i="28"/>
  <c r="AF590" i="28"/>
  <c r="AF265" i="28"/>
  <c r="AF562" i="28"/>
  <c r="AF1344" i="28"/>
  <c r="AF1119" i="28"/>
  <c r="AF1274" i="28"/>
  <c r="AF417" i="28"/>
  <c r="AF588" i="28"/>
  <c r="AF648" i="28"/>
  <c r="AF1366" i="28"/>
  <c r="AF1665" i="28"/>
  <c r="AF1555" i="28"/>
  <c r="AF1733" i="28"/>
  <c r="AF954" i="28"/>
  <c r="AF830" i="28"/>
  <c r="AF769" i="28"/>
  <c r="AF464" i="28"/>
  <c r="AF338" i="28"/>
  <c r="AF1031" i="28"/>
  <c r="AF1079" i="28"/>
  <c r="AF1099" i="28"/>
  <c r="AF1115" i="28"/>
  <c r="AF1270" i="28"/>
  <c r="AF1196" i="28"/>
  <c r="AF371" i="28"/>
  <c r="AF466" i="28"/>
  <c r="AF506" i="28"/>
  <c r="AF503" i="28"/>
  <c r="AF149" i="28"/>
  <c r="AF189" i="28"/>
  <c r="AF217" i="28"/>
  <c r="AF729" i="28"/>
  <c r="AF240" i="28"/>
  <c r="AF172" i="28"/>
  <c r="AF731" i="28"/>
  <c r="AF609" i="28"/>
  <c r="AF559" i="28"/>
  <c r="AF287" i="28"/>
  <c r="AF726" i="28"/>
  <c r="AF642" i="28"/>
  <c r="AF262" i="28"/>
  <c r="AF85" i="28"/>
  <c r="AF733" i="28"/>
  <c r="AF553" i="28"/>
  <c r="AF25" i="28"/>
  <c r="AF46" i="28"/>
  <c r="AF600" i="28"/>
  <c r="AF700" i="28"/>
  <c r="AF277" i="28"/>
  <c r="AF308" i="28"/>
  <c r="AF1657" i="28"/>
  <c r="AF1522" i="28"/>
  <c r="AF1735" i="28"/>
  <c r="AF869" i="28"/>
  <c r="AF940" i="28"/>
  <c r="AF911" i="28"/>
  <c r="AF366" i="28"/>
  <c r="AF11" i="28"/>
  <c r="AF1053" i="28"/>
  <c r="AF1010" i="28"/>
  <c r="AF1067" i="28"/>
  <c r="AF1124" i="28"/>
  <c r="AF1225" i="28"/>
  <c r="AF1243" i="28"/>
  <c r="AF453" i="28"/>
  <c r="AF444" i="28"/>
  <c r="AF451" i="28"/>
  <c r="AF141" i="28"/>
  <c r="AF225" i="28"/>
  <c r="AF185" i="28"/>
  <c r="AF713" i="28"/>
  <c r="AF214" i="28"/>
  <c r="AF202" i="28"/>
  <c r="AF730" i="28"/>
  <c r="AF604" i="28"/>
  <c r="AF661" i="28"/>
  <c r="AF298" i="28"/>
  <c r="AF640" i="28"/>
  <c r="AF65" i="28"/>
  <c r="AF105" i="28"/>
  <c r="AF725" i="28"/>
  <c r="AF643" i="28"/>
  <c r="AF96" i="28"/>
  <c r="AF80" i="28"/>
  <c r="AF550" i="28"/>
  <c r="AF49" i="28"/>
  <c r="AF24" i="28"/>
  <c r="AF1290" i="28"/>
  <c r="AF1552" i="28"/>
  <c r="AF1432" i="28"/>
  <c r="AF816" i="28"/>
  <c r="AF795" i="28"/>
  <c r="AF797" i="28"/>
  <c r="AF1004" i="28"/>
  <c r="AF1156" i="28"/>
  <c r="AF1056" i="28"/>
  <c r="AF1230" i="28"/>
  <c r="AF378" i="28"/>
  <c r="AF535" i="28"/>
  <c r="AF138" i="28"/>
  <c r="AF209" i="28"/>
  <c r="AF218" i="28"/>
  <c r="AF699" i="28"/>
  <c r="AF658" i="28"/>
  <c r="AF626" i="28"/>
  <c r="AF278" i="28"/>
  <c r="AF113" i="28"/>
  <c r="AF67" i="28"/>
  <c r="AF1714" i="28"/>
  <c r="AF1435" i="28"/>
  <c r="AF931" i="28"/>
  <c r="AF889" i="28"/>
  <c r="AF355" i="28"/>
  <c r="AF1063" i="28"/>
  <c r="AF1065" i="28"/>
  <c r="AF370" i="28"/>
  <c r="AF167" i="28"/>
  <c r="AF175" i="28"/>
  <c r="AF211" i="28"/>
  <c r="AF561" i="28"/>
  <c r="AF616" i="28"/>
  <c r="AF130" i="28"/>
  <c r="AF708" i="28"/>
  <c r="AF273" i="28"/>
  <c r="AF302" i="28"/>
  <c r="AF283" i="28"/>
  <c r="AF20" i="28"/>
  <c r="AF270" i="28"/>
  <c r="AF1699" i="28"/>
  <c r="AF787" i="28"/>
  <c r="AF1008" i="28"/>
  <c r="AF1188" i="28"/>
  <c r="AF461" i="28"/>
  <c r="AF198" i="28"/>
  <c r="AF596" i="28"/>
  <c r="AF157" i="28"/>
  <c r="AF1368" i="28"/>
  <c r="AF487" i="28"/>
  <c r="AF720" i="28"/>
  <c r="AF692" i="28"/>
  <c r="AF1584" i="28"/>
  <c r="AF317" i="28"/>
  <c r="AF972" i="28"/>
  <c r="AF1089" i="28"/>
  <c r="AF1195" i="28"/>
  <c r="AF392" i="28"/>
  <c r="AF471" i="28"/>
  <c r="AF242" i="28"/>
  <c r="AF573" i="28"/>
  <c r="AF234" i="28"/>
  <c r="AF979" i="28"/>
  <c r="AF707" i="28"/>
  <c r="AF50" i="28"/>
  <c r="AF623" i="28"/>
  <c r="AF556" i="28"/>
  <c r="AF1293" i="28"/>
  <c r="AF927" i="28"/>
  <c r="AF1091" i="28"/>
  <c r="AF1055" i="28"/>
  <c r="AF1278" i="28"/>
  <c r="AF547" i="28"/>
  <c r="AF144" i="28"/>
  <c r="AF678" i="28"/>
  <c r="AF583" i="28"/>
  <c r="AF701" i="28"/>
  <c r="AF611" i="28"/>
  <c r="AF261" i="28"/>
  <c r="AF679" i="28"/>
  <c r="AF681" i="28"/>
  <c r="AF87" i="28"/>
  <c r="AF1502" i="28"/>
  <c r="AF358" i="28"/>
  <c r="AF1083" i="28"/>
  <c r="AF1218" i="28"/>
  <c r="AF161" i="28"/>
  <c r="AF639" i="28"/>
  <c r="AF695" i="28"/>
  <c r="AF1390" i="28"/>
  <c r="AF1588" i="28"/>
  <c r="AF1779" i="28"/>
  <c r="AF1471" i="28"/>
  <c r="AF876" i="28"/>
  <c r="AF805" i="28"/>
  <c r="AF376" i="28"/>
  <c r="AF316" i="28"/>
  <c r="AF1082" i="28"/>
  <c r="AF1081" i="28"/>
  <c r="AF1173" i="28"/>
  <c r="AF1129" i="28"/>
  <c r="AF1179" i="28"/>
  <c r="AF1226" i="28"/>
  <c r="AF1238" i="28"/>
  <c r="AF312" i="28"/>
  <c r="AF326" i="28"/>
  <c r="AF412" i="28"/>
  <c r="AF119" i="28"/>
  <c r="AF153" i="28"/>
  <c r="AF236" i="28"/>
  <c r="AF771" i="28"/>
  <c r="AF674" i="28"/>
  <c r="AF186" i="28"/>
  <c r="AF605" i="28"/>
  <c r="AF684" i="28"/>
  <c r="AF740" i="28"/>
  <c r="AF307" i="28"/>
  <c r="AF608" i="28"/>
  <c r="AF555" i="28"/>
  <c r="AF57" i="28"/>
  <c r="AF300" i="28"/>
  <c r="AF755" i="28"/>
  <c r="AF566" i="28"/>
  <c r="AF74" i="28"/>
  <c r="AF23" i="28"/>
  <c r="AF120" i="28"/>
  <c r="AF744" i="28"/>
  <c r="AF659" i="28"/>
  <c r="AF43" i="28"/>
  <c r="AF1477" i="28"/>
  <c r="AF1396" i="28"/>
  <c r="AF1568" i="28"/>
  <c r="AF1756" i="28"/>
  <c r="AF92" i="28"/>
  <c r="AF866" i="28"/>
  <c r="AF868" i="28"/>
  <c r="AF534" i="28"/>
  <c r="AF525" i="28"/>
  <c r="AF1151" i="28"/>
  <c r="AF1002" i="28"/>
  <c r="AF1123" i="28"/>
  <c r="AF965" i="28"/>
  <c r="AF1138" i="28"/>
  <c r="AF1207" i="28"/>
  <c r="AF1217" i="28"/>
  <c r="AF530" i="28"/>
  <c r="AF432" i="28"/>
  <c r="AF391" i="28"/>
  <c r="AF135" i="28"/>
  <c r="AF248" i="28"/>
  <c r="AF200" i="28"/>
  <c r="AF785" i="28"/>
  <c r="AF560" i="28"/>
  <c r="AF215" i="28"/>
  <c r="AF601" i="28"/>
  <c r="AF565" i="28"/>
  <c r="AF736" i="28"/>
  <c r="AF81" i="28"/>
  <c r="AF591" i="28"/>
  <c r="AF165" i="28"/>
  <c r="AF680" i="28"/>
  <c r="AF579" i="28"/>
  <c r="AF1659" i="28"/>
  <c r="AF264" i="28"/>
  <c r="AF939" i="28"/>
  <c r="AF479" i="28"/>
  <c r="AF1150" i="28"/>
  <c r="AF402" i="28"/>
  <c r="AF250" i="28"/>
  <c r="AF228" i="28"/>
  <c r="AF93" i="28"/>
  <c r="AF137" i="28"/>
  <c r="AF585" i="28"/>
  <c r="AF676" i="28"/>
  <c r="AF78" i="28"/>
  <c r="AF66" i="28"/>
  <c r="AF581" i="28"/>
  <c r="AF32" i="28"/>
  <c r="AF563" i="28"/>
  <c r="AF727" i="28"/>
  <c r="AF33" i="28"/>
  <c r="AF644" i="28"/>
  <c r="AF19" i="28"/>
  <c r="AD1" i="28" l="1" a="1"/>
  <c r="AB10" i="28"/>
  <c r="AD3" i="28" l="1"/>
  <c r="AD11" i="28"/>
  <c r="AD19" i="28"/>
  <c r="AD27" i="28"/>
  <c r="AD35" i="28"/>
  <c r="AD43" i="28"/>
  <c r="AD51" i="28"/>
  <c r="AD59" i="28"/>
  <c r="AD67" i="28"/>
  <c r="AD75" i="28"/>
  <c r="AD83" i="28"/>
  <c r="AD91" i="28"/>
  <c r="AD99" i="28"/>
  <c r="AD107" i="28"/>
  <c r="AD115" i="28"/>
  <c r="AD123" i="28"/>
  <c r="AD131" i="28"/>
  <c r="AD139" i="28"/>
  <c r="AD147" i="28"/>
  <c r="AD155" i="28"/>
  <c r="AD163" i="28"/>
  <c r="AD171" i="28"/>
  <c r="AD179" i="28"/>
  <c r="AD187" i="28"/>
  <c r="AD195" i="28"/>
  <c r="AD203" i="28"/>
  <c r="AD211" i="28"/>
  <c r="AD219" i="28"/>
  <c r="AD227" i="28"/>
  <c r="AD235" i="28"/>
  <c r="AD243" i="28"/>
  <c r="AD251" i="28"/>
  <c r="AD259" i="28"/>
  <c r="AD267" i="28"/>
  <c r="AD275" i="28"/>
  <c r="AD283" i="28"/>
  <c r="AD291" i="28"/>
  <c r="AD299" i="28"/>
  <c r="AD307" i="28"/>
  <c r="AD315" i="28"/>
  <c r="AD323" i="28"/>
  <c r="AD331" i="28"/>
  <c r="AD339" i="28"/>
  <c r="AD347" i="28"/>
  <c r="AD355" i="28"/>
  <c r="AD363" i="28"/>
  <c r="AD371" i="28"/>
  <c r="AD379" i="28"/>
  <c r="AD387" i="28"/>
  <c r="AD395" i="28"/>
  <c r="AD403" i="28"/>
  <c r="AD411" i="28"/>
  <c r="AD419" i="28"/>
  <c r="AD427" i="28"/>
  <c r="AD435" i="28"/>
  <c r="AD443" i="28"/>
  <c r="AD451" i="28"/>
  <c r="AD459" i="28"/>
  <c r="AD467" i="28"/>
  <c r="AD475" i="28"/>
  <c r="AD483" i="28"/>
  <c r="AD491" i="28"/>
  <c r="AD499" i="28"/>
  <c r="AD507" i="28"/>
  <c r="AD515" i="28"/>
  <c r="AD523" i="28"/>
  <c r="AD531" i="28"/>
  <c r="AD539" i="28"/>
  <c r="AD547" i="28"/>
  <c r="AD555" i="28"/>
  <c r="AD563" i="28"/>
  <c r="AD571" i="28"/>
  <c r="AD579" i="28"/>
  <c r="AD587" i="28"/>
  <c r="AD595" i="28"/>
  <c r="AD603" i="28"/>
  <c r="AD611" i="28"/>
  <c r="AD619" i="28"/>
  <c r="AD627" i="28"/>
  <c r="AD635" i="28"/>
  <c r="AD643" i="28"/>
  <c r="AD651" i="28"/>
  <c r="AD659" i="28"/>
  <c r="AD667" i="28"/>
  <c r="AD675" i="28"/>
  <c r="AD2" i="28"/>
  <c r="AD6" i="28"/>
  <c r="AD15" i="28"/>
  <c r="AD24" i="28"/>
  <c r="AD33" i="28"/>
  <c r="AD42" i="28"/>
  <c r="AD52" i="28"/>
  <c r="AD61" i="28"/>
  <c r="AD70" i="28"/>
  <c r="AD79" i="28"/>
  <c r="AD88" i="28"/>
  <c r="AD97" i="28"/>
  <c r="AD106" i="28"/>
  <c r="AD116" i="28"/>
  <c r="AD125" i="28"/>
  <c r="AD134" i="28"/>
  <c r="AD143" i="28"/>
  <c r="AD152" i="28"/>
  <c r="AD161" i="28"/>
  <c r="AD170" i="28"/>
  <c r="AD180" i="28"/>
  <c r="AD189" i="28"/>
  <c r="AD198" i="28"/>
  <c r="AD207" i="28"/>
  <c r="AD216" i="28"/>
  <c r="AD225" i="28"/>
  <c r="AD234" i="28"/>
  <c r="AD244" i="28"/>
  <c r="AD253" i="28"/>
  <c r="AD262" i="28"/>
  <c r="AD271" i="28"/>
  <c r="AD280" i="28"/>
  <c r="AD289" i="28"/>
  <c r="AD298" i="28"/>
  <c r="AD308" i="28"/>
  <c r="AD317" i="28"/>
  <c r="AD326" i="28"/>
  <c r="AD335" i="28"/>
  <c r="AD344" i="28"/>
  <c r="AD353" i="28"/>
  <c r="AD362" i="28"/>
  <c r="AD372" i="28"/>
  <c r="AD381" i="28"/>
  <c r="AD390" i="28"/>
  <c r="AD399" i="28"/>
  <c r="AD408" i="28"/>
  <c r="AD417" i="28"/>
  <c r="AD426" i="28"/>
  <c r="AD436" i="28"/>
  <c r="AD445" i="28"/>
  <c r="AD454" i="28"/>
  <c r="AD463" i="28"/>
  <c r="AD472" i="28"/>
  <c r="AD481" i="28"/>
  <c r="AD490" i="28"/>
  <c r="AD500" i="28"/>
  <c r="AD509" i="28"/>
  <c r="AD518" i="28"/>
  <c r="AD527" i="28"/>
  <c r="AD536" i="28"/>
  <c r="AD545" i="28"/>
  <c r="AD554" i="28"/>
  <c r="AD564" i="28"/>
  <c r="AD573" i="28"/>
  <c r="AD582" i="28"/>
  <c r="AD591" i="28"/>
  <c r="AD600" i="28"/>
  <c r="AD609" i="28"/>
  <c r="AD618" i="28"/>
  <c r="AD628" i="28"/>
  <c r="AD637" i="28"/>
  <c r="AD646" i="28"/>
  <c r="AD655" i="28"/>
  <c r="AD664" i="28"/>
  <c r="AD673" i="28"/>
  <c r="AD682" i="28"/>
  <c r="AD690" i="28"/>
  <c r="AD698" i="28"/>
  <c r="AD706" i="28"/>
  <c r="AD714" i="28"/>
  <c r="AD722" i="28"/>
  <c r="AD730" i="28"/>
  <c r="AD738" i="28"/>
  <c r="AD746" i="28"/>
  <c r="AD754" i="28"/>
  <c r="AD762" i="28"/>
  <c r="AD12" i="28"/>
  <c r="AD22" i="28"/>
  <c r="AD32" i="28"/>
  <c r="AD44" i="28"/>
  <c r="AD54" i="28"/>
  <c r="AD64" i="28"/>
  <c r="AD74" i="28"/>
  <c r="AD85" i="28"/>
  <c r="AD95" i="28"/>
  <c r="AD105" i="28"/>
  <c r="AD117" i="28"/>
  <c r="AD127" i="28"/>
  <c r="AD137" i="28"/>
  <c r="AD148" i="28"/>
  <c r="AD158" i="28"/>
  <c r="AD168" i="28"/>
  <c r="AD178" i="28"/>
  <c r="AD190" i="28"/>
  <c r="AD200" i="28"/>
  <c r="AD210" i="28"/>
  <c r="AD221" i="28"/>
  <c r="AD231" i="28"/>
  <c r="AD241" i="28"/>
  <c r="AD252" i="28"/>
  <c r="AD263" i="28"/>
  <c r="AD273" i="28"/>
  <c r="AD284" i="28"/>
  <c r="AD294" i="28"/>
  <c r="AD304" i="28"/>
  <c r="AD314" i="28"/>
  <c r="AD325" i="28"/>
  <c r="AD336" i="28"/>
  <c r="AD346" i="28"/>
  <c r="AD357" i="28"/>
  <c r="AD367" i="28"/>
  <c r="AD377" i="28"/>
  <c r="AD388" i="28"/>
  <c r="AD398" i="28"/>
  <c r="AD409" i="28"/>
  <c r="AD420" i="28"/>
  <c r="AD430" i="28"/>
  <c r="AD440" i="28"/>
  <c r="AD450" i="28"/>
  <c r="AD461" i="28"/>
  <c r="AD471" i="28"/>
  <c r="AD482" i="28"/>
  <c r="AD493" i="28"/>
  <c r="AD503" i="28"/>
  <c r="AD513" i="28"/>
  <c r="AD524" i="28"/>
  <c r="AD534" i="28"/>
  <c r="AD544" i="28"/>
  <c r="AD556" i="28"/>
  <c r="AD566" i="28"/>
  <c r="AD576" i="28"/>
  <c r="AD586" i="28"/>
  <c r="AD597" i="28"/>
  <c r="AD607" i="28"/>
  <c r="AD617" i="28"/>
  <c r="AD4" i="28"/>
  <c r="AD14" i="28"/>
  <c r="AD25" i="28"/>
  <c r="AD36" i="28"/>
  <c r="AD46" i="28"/>
  <c r="AD56" i="28"/>
  <c r="AD66" i="28"/>
  <c r="AD77" i="28"/>
  <c r="AD87" i="28"/>
  <c r="AD98" i="28"/>
  <c r="AD109" i="28"/>
  <c r="AD119" i="28"/>
  <c r="AD129" i="28"/>
  <c r="AD140" i="28"/>
  <c r="AD150" i="28"/>
  <c r="AD160" i="28"/>
  <c r="AD172" i="28"/>
  <c r="AD182" i="28"/>
  <c r="AD192" i="28"/>
  <c r="AD202" i="28"/>
  <c r="AD213" i="28"/>
  <c r="AD223" i="28"/>
  <c r="AD233" i="28"/>
  <c r="AD245" i="28"/>
  <c r="AD255" i="28"/>
  <c r="AD265" i="28"/>
  <c r="AD276" i="28"/>
  <c r="AD286" i="28"/>
  <c r="AD296" i="28"/>
  <c r="AD306" i="28"/>
  <c r="AD318" i="28"/>
  <c r="AD328" i="28"/>
  <c r="AD338" i="28"/>
  <c r="AD349" i="28"/>
  <c r="AD359" i="28"/>
  <c r="AD369" i="28"/>
  <c r="AD380" i="28"/>
  <c r="AD391" i="28"/>
  <c r="AD401" i="28"/>
  <c r="AD412" i="28"/>
  <c r="AD422" i="28"/>
  <c r="AD432" i="28"/>
  <c r="AD442" i="28"/>
  <c r="AD453" i="28"/>
  <c r="AD464" i="28"/>
  <c r="AD474" i="28"/>
  <c r="AD485" i="28"/>
  <c r="AD495" i="28"/>
  <c r="AD505" i="28"/>
  <c r="AD516" i="28"/>
  <c r="AD526" i="28"/>
  <c r="AD537" i="28"/>
  <c r="AD548" i="28"/>
  <c r="AD558" i="28"/>
  <c r="AD568" i="28"/>
  <c r="AD578" i="28"/>
  <c r="AD589" i="28"/>
  <c r="AD599" i="28"/>
  <c r="AD610" i="28"/>
  <c r="AD621" i="28"/>
  <c r="AD631" i="28"/>
  <c r="AD641" i="28"/>
  <c r="AD652" i="28"/>
  <c r="AD662" i="28"/>
  <c r="AD672" i="28"/>
  <c r="AD683" i="28"/>
  <c r="AD692" i="28"/>
  <c r="AD701" i="28"/>
  <c r="AD710" i="28"/>
  <c r="AD719" i="28"/>
  <c r="AD728" i="28"/>
  <c r="AD737" i="28"/>
  <c r="AD747" i="28"/>
  <c r="AD756" i="28"/>
  <c r="AD765" i="28"/>
  <c r="AD7" i="28"/>
  <c r="AD8" i="28"/>
  <c r="AD18" i="28"/>
  <c r="AD29" i="28"/>
  <c r="AD39" i="28"/>
  <c r="AD49" i="28"/>
  <c r="AD60" i="28"/>
  <c r="AD71" i="28"/>
  <c r="AD81" i="28"/>
  <c r="AD92" i="28"/>
  <c r="AD102" i="28"/>
  <c r="AD112" i="28"/>
  <c r="AD122" i="28"/>
  <c r="AD133" i="28"/>
  <c r="AD144" i="28"/>
  <c r="AD154" i="28"/>
  <c r="AD165" i="28"/>
  <c r="AD175" i="28"/>
  <c r="AD185" i="28"/>
  <c r="AD196" i="28"/>
  <c r="AD206" i="28"/>
  <c r="AD217" i="28"/>
  <c r="AD228" i="28"/>
  <c r="AD238" i="28"/>
  <c r="AD248" i="28"/>
  <c r="AD258" i="28"/>
  <c r="AD269" i="28"/>
  <c r="AD279" i="28"/>
  <c r="AD290" i="28"/>
  <c r="AD301" i="28"/>
  <c r="AD311" i="28"/>
  <c r="AD321" i="28"/>
  <c r="AD332" i="28"/>
  <c r="AD342" i="28"/>
  <c r="AD352" i="28"/>
  <c r="AD364" i="28"/>
  <c r="AD374" i="28"/>
  <c r="AD384" i="28"/>
  <c r="AD394" i="28"/>
  <c r="AD405" i="28"/>
  <c r="AD415" i="28"/>
  <c r="AD425" i="28"/>
  <c r="AD437" i="28"/>
  <c r="AD447" i="28"/>
  <c r="AD457" i="28"/>
  <c r="AD468" i="28"/>
  <c r="AD478" i="28"/>
  <c r="AD488" i="28"/>
  <c r="AD498" i="28"/>
  <c r="AD510" i="28"/>
  <c r="AD520" i="28"/>
  <c r="AD530" i="28"/>
  <c r="AD541" i="28"/>
  <c r="AD551" i="28"/>
  <c r="AD561" i="28"/>
  <c r="AD572" i="28"/>
  <c r="AD583" i="28"/>
  <c r="AD593" i="28"/>
  <c r="AD604" i="28"/>
  <c r="AD614" i="28"/>
  <c r="AD624" i="28"/>
  <c r="AD634" i="28"/>
  <c r="AD645" i="28"/>
  <c r="AD656" i="28"/>
  <c r="AD666" i="28"/>
  <c r="AD677" i="28"/>
  <c r="AD686" i="28"/>
  <c r="AD695" i="28"/>
  <c r="AD704" i="28"/>
  <c r="AD713" i="28"/>
  <c r="AD723" i="28"/>
  <c r="AD732" i="28"/>
  <c r="AD741" i="28"/>
  <c r="AD750" i="28"/>
  <c r="AD759" i="28"/>
  <c r="AD768" i="28"/>
  <c r="AD776" i="28"/>
  <c r="AD784" i="28"/>
  <c r="AD792" i="28"/>
  <c r="AD800" i="28"/>
  <c r="AD808" i="28"/>
  <c r="AD816" i="28"/>
  <c r="AD824" i="28"/>
  <c r="AD832" i="28"/>
  <c r="AD840" i="28"/>
  <c r="AD848" i="28"/>
  <c r="AD856" i="28"/>
  <c r="AD864" i="28"/>
  <c r="AD872" i="28"/>
  <c r="AD880" i="28"/>
  <c r="AD888" i="28"/>
  <c r="AD896" i="28"/>
  <c r="AD904" i="28"/>
  <c r="AD912" i="28"/>
  <c r="AD920" i="28"/>
  <c r="AD928" i="28"/>
  <c r="AD936" i="28"/>
  <c r="AD944" i="28"/>
  <c r="AD952" i="28"/>
  <c r="AD960" i="28"/>
  <c r="AD968" i="28"/>
  <c r="AD976" i="28"/>
  <c r="AD984" i="28"/>
  <c r="AD992" i="28"/>
  <c r="AD1000" i="28"/>
  <c r="AD1008" i="28"/>
  <c r="AD1016" i="28"/>
  <c r="AD1024" i="28"/>
  <c r="AD1032" i="28"/>
  <c r="AD1040" i="28"/>
  <c r="AD1048" i="28"/>
  <c r="AD1056" i="28"/>
  <c r="AD1064" i="28"/>
  <c r="AD1072" i="28"/>
  <c r="AD1080" i="28"/>
  <c r="AD1088" i="28"/>
  <c r="AD1096" i="28"/>
  <c r="AD1104" i="28"/>
  <c r="AD1112" i="28"/>
  <c r="AD1120" i="28"/>
  <c r="AD1128" i="28"/>
  <c r="AD1136" i="28"/>
  <c r="AD1144" i="28"/>
  <c r="AD1152" i="28"/>
  <c r="AD1160" i="28"/>
  <c r="AD1168" i="28"/>
  <c r="AD1176" i="28"/>
  <c r="AD1184" i="28"/>
  <c r="AD1192" i="28"/>
  <c r="AD1200" i="28"/>
  <c r="AD1208" i="28"/>
  <c r="AD1216" i="28"/>
  <c r="AD1224" i="28"/>
  <c r="AD1232" i="28"/>
  <c r="AD1240" i="28"/>
  <c r="AD1248" i="28"/>
  <c r="AD1256" i="28"/>
  <c r="AD1264" i="28"/>
  <c r="AD1272" i="28"/>
  <c r="AD1280" i="28"/>
  <c r="AD1288" i="28"/>
  <c r="AD1296" i="28"/>
  <c r="AD1304" i="28"/>
  <c r="AD1312" i="28"/>
  <c r="AD1320" i="28"/>
  <c r="AD1328" i="28"/>
  <c r="AD1336" i="28"/>
  <c r="AD1344" i="28"/>
  <c r="AD1352" i="28"/>
  <c r="AD1360" i="28"/>
  <c r="AD1368" i="28"/>
  <c r="AD1376" i="28"/>
  <c r="AD1384" i="28"/>
  <c r="AD1392" i="28"/>
  <c r="AD1400" i="28"/>
  <c r="AD1408" i="28"/>
  <c r="AD1416" i="28"/>
  <c r="AD1424" i="28"/>
  <c r="AD1432" i="28"/>
  <c r="AD1440" i="28"/>
  <c r="AD1448" i="28"/>
  <c r="AD1456" i="28"/>
  <c r="AD1464" i="28"/>
  <c r="AD1472" i="28"/>
  <c r="AD1480" i="28"/>
  <c r="AD1488" i="28"/>
  <c r="AD1496" i="28"/>
  <c r="AD1504" i="28"/>
  <c r="AD1512" i="28"/>
  <c r="AD1520" i="28"/>
  <c r="AD1528" i="28"/>
  <c r="AD1" i="28"/>
  <c r="AD21" i="28"/>
  <c r="AD38" i="28"/>
  <c r="AD55" i="28"/>
  <c r="AD72" i="28"/>
  <c r="AD89" i="28"/>
  <c r="AD104" i="28"/>
  <c r="AD121" i="28"/>
  <c r="AD138" i="28"/>
  <c r="AD156" i="28"/>
  <c r="AD173" i="28"/>
  <c r="AD188" i="28"/>
  <c r="AD205" i="28"/>
  <c r="AD222" i="28"/>
  <c r="AD239" i="28"/>
  <c r="AD256" i="28"/>
  <c r="AD272" i="28"/>
  <c r="AD288" i="28"/>
  <c r="AD305" i="28"/>
  <c r="AD322" i="28"/>
  <c r="AD340" i="28"/>
  <c r="AD356" i="28"/>
  <c r="AD373" i="28"/>
  <c r="AD389" i="28"/>
  <c r="AD406" i="28"/>
  <c r="AD423" i="28"/>
  <c r="AD439" i="28"/>
  <c r="AD456" i="28"/>
  <c r="AD473" i="28"/>
  <c r="AD489" i="28"/>
  <c r="AD506" i="28"/>
  <c r="AD522" i="28"/>
  <c r="AD540" i="28"/>
  <c r="AD557" i="28"/>
  <c r="AD574" i="28"/>
  <c r="AD590" i="28"/>
  <c r="AD606" i="28"/>
  <c r="AD623" i="28"/>
  <c r="AD638" i="28"/>
  <c r="AD650" i="28"/>
  <c r="AD665" i="28"/>
  <c r="AD679" i="28"/>
  <c r="AD691" i="28"/>
  <c r="AD703" i="28"/>
  <c r="AD716" i="28"/>
  <c r="AD727" i="28"/>
  <c r="AD740" i="28"/>
  <c r="AD752" i="28"/>
  <c r="AD764" i="28"/>
  <c r="AD774" i="28"/>
  <c r="AD783" i="28"/>
  <c r="AD793" i="28"/>
  <c r="AD802" i="28"/>
  <c r="AD811" i="28"/>
  <c r="AD820" i="28"/>
  <c r="AD829" i="28"/>
  <c r="AD838" i="28"/>
  <c r="AD847" i="28"/>
  <c r="AD857" i="28"/>
  <c r="AD866" i="28"/>
  <c r="AD875" i="28"/>
  <c r="AD884" i="28"/>
  <c r="AD893" i="28"/>
  <c r="AD902" i="28"/>
  <c r="AD911" i="28"/>
  <c r="AD921" i="28"/>
  <c r="AD930" i="28"/>
  <c r="AD939" i="28"/>
  <c r="AD948" i="28"/>
  <c r="AD957" i="28"/>
  <c r="AD966" i="28"/>
  <c r="AD975" i="28"/>
  <c r="AD985" i="28"/>
  <c r="AD994" i="28"/>
  <c r="AD1003" i="28"/>
  <c r="AD1012" i="28"/>
  <c r="AD1021" i="28"/>
  <c r="AD1030" i="28"/>
  <c r="AD1039" i="28"/>
  <c r="AD1049" i="28"/>
  <c r="AD1058" i="28"/>
  <c r="AD1067" i="28"/>
  <c r="AD1076" i="28"/>
  <c r="AD1085" i="28"/>
  <c r="AD1094" i="28"/>
  <c r="AD9" i="28"/>
  <c r="AD20" i="28"/>
  <c r="AD37" i="28"/>
  <c r="AD53" i="28"/>
  <c r="AD69" i="28"/>
  <c r="AD86" i="28"/>
  <c r="AD103" i="28"/>
  <c r="AD120" i="28"/>
  <c r="AD136" i="28"/>
  <c r="AD153" i="28"/>
  <c r="AD169" i="28"/>
  <c r="AD186" i="28"/>
  <c r="AD204" i="28"/>
  <c r="AD220" i="28"/>
  <c r="AD237" i="28"/>
  <c r="AD254" i="28"/>
  <c r="AD270" i="28"/>
  <c r="AD287" i="28"/>
  <c r="AD303" i="28"/>
  <c r="AD320" i="28"/>
  <c r="AD337" i="28"/>
  <c r="AD354" i="28"/>
  <c r="AD370" i="28"/>
  <c r="AD386" i="28"/>
  <c r="AD404" i="28"/>
  <c r="AD421" i="28"/>
  <c r="AD438" i="28"/>
  <c r="AD455" i="28"/>
  <c r="AD470" i="28"/>
  <c r="AD487" i="28"/>
  <c r="AD504" i="28"/>
  <c r="AD521" i="28"/>
  <c r="AD538" i="28"/>
  <c r="AD553" i="28"/>
  <c r="AD570" i="28"/>
  <c r="AD588" i="28"/>
  <c r="AD605" i="28"/>
  <c r="AD5" i="28"/>
  <c r="AD30" i="28"/>
  <c r="AD50" i="28"/>
  <c r="AD76" i="28"/>
  <c r="AD96" i="28"/>
  <c r="AD118" i="28"/>
  <c r="AD142" i="28"/>
  <c r="AD164" i="28"/>
  <c r="AD184" i="28"/>
  <c r="AD209" i="28"/>
  <c r="AD230" i="28"/>
  <c r="AD10" i="28"/>
  <c r="AD31" i="28"/>
  <c r="AD57" i="28"/>
  <c r="AD78" i="28"/>
  <c r="AD100" i="28"/>
  <c r="AD124" i="28"/>
  <c r="AD145" i="28"/>
  <c r="AD166" i="28"/>
  <c r="AD191" i="28"/>
  <c r="AD212" i="28"/>
  <c r="AD232" i="28"/>
  <c r="AD257" i="28"/>
  <c r="AD278" i="28"/>
  <c r="AD16" i="28"/>
  <c r="AD40" i="28"/>
  <c r="AD62" i="28"/>
  <c r="AD82" i="28"/>
  <c r="AD108" i="28"/>
  <c r="AD128" i="28"/>
  <c r="AD149" i="28"/>
  <c r="AD174" i="28"/>
  <c r="AD194" i="28"/>
  <c r="AD215" i="28"/>
  <c r="AD240" i="28"/>
  <c r="AD261" i="28"/>
  <c r="AD282" i="28"/>
  <c r="AD309" i="28"/>
  <c r="AD329" i="28"/>
  <c r="AD350" i="28"/>
  <c r="AD375" i="28"/>
  <c r="AD396" i="28"/>
  <c r="AD416" i="28"/>
  <c r="AD441" i="28"/>
  <c r="AD462" i="28"/>
  <c r="AD484" i="28"/>
  <c r="AD508" i="28"/>
  <c r="AD529" i="28"/>
  <c r="AD550" i="28"/>
  <c r="AD575" i="28"/>
  <c r="AD596" i="28"/>
  <c r="AD616" i="28"/>
  <c r="AD633" i="28"/>
  <c r="AD649" i="28"/>
  <c r="AD668" i="28"/>
  <c r="AD681" i="28"/>
  <c r="AD696" i="28"/>
  <c r="AD709" i="28"/>
  <c r="AD724" i="28"/>
  <c r="AD736" i="28"/>
  <c r="AD751" i="28"/>
  <c r="AD766" i="28"/>
  <c r="AD777" i="28"/>
  <c r="AD787" i="28"/>
  <c r="AD797" i="28"/>
  <c r="AD807" i="28"/>
  <c r="AD818" i="28"/>
  <c r="AD828" i="28"/>
  <c r="AD839" i="28"/>
  <c r="AD850" i="28"/>
  <c r="AD860" i="28"/>
  <c r="AD870" i="28"/>
  <c r="AD881" i="28"/>
  <c r="AD891" i="28"/>
  <c r="AD901" i="28"/>
  <c r="AD913" i="28"/>
  <c r="AD923" i="28"/>
  <c r="AD933" i="28"/>
  <c r="AD943" i="28"/>
  <c r="AD954" i="28"/>
  <c r="AD964" i="28"/>
  <c r="AD974" i="28"/>
  <c r="AD986" i="28"/>
  <c r="AD996" i="28"/>
  <c r="AD1006" i="28"/>
  <c r="AD1017" i="28"/>
  <c r="AD1027" i="28"/>
  <c r="AD1037" i="28"/>
  <c r="AD1047" i="28"/>
  <c r="AD1059" i="28"/>
  <c r="AD1069" i="28"/>
  <c r="AD1079" i="28"/>
  <c r="AD1090" i="28"/>
  <c r="AD1100" i="28"/>
  <c r="AD1109" i="28"/>
  <c r="AD1118" i="28"/>
  <c r="AD1127" i="28"/>
  <c r="AD1137" i="28"/>
  <c r="AD1146" i="28"/>
  <c r="AD1155" i="28"/>
  <c r="AD1164" i="28"/>
  <c r="AD1173" i="28"/>
  <c r="AD1182" i="28"/>
  <c r="AD1191" i="28"/>
  <c r="AD1201" i="28"/>
  <c r="AD1210" i="28"/>
  <c r="AD1219" i="28"/>
  <c r="AD1228" i="28"/>
  <c r="AD1237" i="28"/>
  <c r="AD1246" i="28"/>
  <c r="AD1255" i="28"/>
  <c r="AD1265" i="28"/>
  <c r="AD1274" i="28"/>
  <c r="AD1283" i="28"/>
  <c r="AD1292" i="28"/>
  <c r="AD1301" i="28"/>
  <c r="AD1310" i="28"/>
  <c r="AD1319" i="28"/>
  <c r="AD1329" i="28"/>
  <c r="AD1338" i="28"/>
  <c r="AD1347" i="28"/>
  <c r="AD1356" i="28"/>
  <c r="AD1365" i="28"/>
  <c r="AD1374" i="28"/>
  <c r="AD1383" i="28"/>
  <c r="AD1393" i="28"/>
  <c r="AD1402" i="28"/>
  <c r="AD1411" i="28"/>
  <c r="AD1420" i="28"/>
  <c r="AD1429" i="28"/>
  <c r="AD1438" i="28"/>
  <c r="AD1447" i="28"/>
  <c r="AD1457" i="28"/>
  <c r="AD1466" i="28"/>
  <c r="AD1475" i="28"/>
  <c r="AD1484" i="28"/>
  <c r="AD1493" i="28"/>
  <c r="AD1502" i="28"/>
  <c r="AD1511" i="28"/>
  <c r="AD1521" i="28"/>
  <c r="AD1530" i="28"/>
  <c r="AD1538" i="28"/>
  <c r="AD1546" i="28"/>
  <c r="AD1554" i="28"/>
  <c r="AD1562" i="28"/>
  <c r="AD1570" i="28"/>
  <c r="AD1578" i="28"/>
  <c r="AD1586" i="28"/>
  <c r="AD1594" i="28"/>
  <c r="AD1602" i="28"/>
  <c r="AD1610" i="28"/>
  <c r="AD1618" i="28"/>
  <c r="AD1626" i="28"/>
  <c r="AD1634" i="28"/>
  <c r="AD1642" i="28"/>
  <c r="AD1650" i="28"/>
  <c r="AD1658" i="28"/>
  <c r="AD1666" i="28"/>
  <c r="AD1674" i="28"/>
  <c r="AD1682" i="28"/>
  <c r="AD1690" i="28"/>
  <c r="AD1698" i="28"/>
  <c r="AD1706" i="28"/>
  <c r="AD1714" i="28"/>
  <c r="AD1722" i="28"/>
  <c r="AD1730" i="28"/>
  <c r="AD1738" i="28"/>
  <c r="AD1746" i="28"/>
  <c r="AD1754" i="28"/>
  <c r="AD1762" i="28"/>
  <c r="AD1770" i="28"/>
  <c r="AD1778" i="28"/>
  <c r="AD1786" i="28"/>
  <c r="AD1794" i="28"/>
  <c r="AD1802" i="28"/>
  <c r="AD1810" i="28"/>
  <c r="AD1818" i="28"/>
  <c r="AD1826" i="28"/>
  <c r="AD1834" i="28"/>
  <c r="AD1842" i="28"/>
  <c r="AD1850" i="28"/>
  <c r="AD1858" i="28"/>
  <c r="AD1866" i="28"/>
  <c r="AD1874" i="28"/>
  <c r="AD1882" i="28"/>
  <c r="AD1890" i="28"/>
  <c r="AD1898" i="28"/>
  <c r="AD1906" i="28"/>
  <c r="AD1914" i="28"/>
  <c r="AD1922" i="28"/>
  <c r="AD1930" i="28"/>
  <c r="AD1938" i="28"/>
  <c r="AD1946" i="28"/>
  <c r="AD1954" i="28"/>
  <c r="AD13" i="28"/>
  <c r="AD47" i="28"/>
  <c r="AD84" i="28"/>
  <c r="AD114" i="28"/>
  <c r="AD157" i="28"/>
  <c r="AD193" i="28"/>
  <c r="AD226" i="28"/>
  <c r="AD260" i="28"/>
  <c r="AD292" i="28"/>
  <c r="AD313" i="28"/>
  <c r="AD341" i="28"/>
  <c r="AD365" i="28"/>
  <c r="AD392" i="28"/>
  <c r="AD414" i="28"/>
  <c r="AD444" i="28"/>
  <c r="AD466" i="28"/>
  <c r="AD494" i="28"/>
  <c r="AD517" i="28"/>
  <c r="AD543" i="28"/>
  <c r="AD567" i="28"/>
  <c r="AD594" i="28"/>
  <c r="AD620" i="28"/>
  <c r="AD639" i="28"/>
  <c r="AD657" i="28"/>
  <c r="AD674" i="28"/>
  <c r="AD689" i="28"/>
  <c r="AD707" i="28"/>
  <c r="AD721" i="28"/>
  <c r="AD739" i="28"/>
  <c r="AD755" i="28"/>
  <c r="AD770" i="28"/>
  <c r="AD781" i="28"/>
  <c r="AD794" i="28"/>
  <c r="AD805" i="28"/>
  <c r="AD817" i="28"/>
  <c r="AD830" i="28"/>
  <c r="AD842" i="28"/>
  <c r="AD853" i="28"/>
  <c r="AD865" i="28"/>
  <c r="AD877" i="28"/>
  <c r="AD889" i="28"/>
  <c r="AD900" i="28"/>
  <c r="AD914" i="28"/>
  <c r="AD925" i="28"/>
  <c r="AD937" i="28"/>
  <c r="AD949" i="28"/>
  <c r="AD961" i="28"/>
  <c r="AD972" i="28"/>
  <c r="AD983" i="28"/>
  <c r="AD997" i="28"/>
  <c r="AD1009" i="28"/>
  <c r="AD1020" i="28"/>
  <c r="AD1033" i="28"/>
  <c r="AD1044" i="28"/>
  <c r="AD1055" i="28"/>
  <c r="AD1068" i="28"/>
  <c r="AD1081" i="28"/>
  <c r="AD1092" i="28"/>
  <c r="AD1103" i="28"/>
  <c r="AD1114" i="28"/>
  <c r="AD1124" i="28"/>
  <c r="AD1134" i="28"/>
  <c r="AD1145" i="28"/>
  <c r="AD1156" i="28"/>
  <c r="AD1166" i="28"/>
  <c r="AD1177" i="28"/>
  <c r="AD1187" i="28"/>
  <c r="AD1197" i="28"/>
  <c r="AD1207" i="28"/>
  <c r="AD1218" i="28"/>
  <c r="AD1229" i="28"/>
  <c r="AD1239" i="28"/>
  <c r="AD1250" i="28"/>
  <c r="AD1260" i="28"/>
  <c r="AD1270" i="28"/>
  <c r="AD1281" i="28"/>
  <c r="AD1291" i="28"/>
  <c r="AD1302" i="28"/>
  <c r="AD1313" i="28"/>
  <c r="AD1323" i="28"/>
  <c r="AD1333" i="28"/>
  <c r="AD1343" i="28"/>
  <c r="AD1354" i="28"/>
  <c r="AD1364" i="28"/>
  <c r="AD1375" i="28"/>
  <c r="AD1386" i="28"/>
  <c r="AD1396" i="28"/>
  <c r="AD1406" i="28"/>
  <c r="AD1417" i="28"/>
  <c r="AD1427" i="28"/>
  <c r="AD1437" i="28"/>
  <c r="AD1449" i="28"/>
  <c r="AD1459" i="28"/>
  <c r="AD1469" i="28"/>
  <c r="AD1479" i="28"/>
  <c r="AD1490" i="28"/>
  <c r="AD1500" i="28"/>
  <c r="AD1510" i="28"/>
  <c r="AD1522" i="28"/>
  <c r="AD1532" i="28"/>
  <c r="AD1541" i="28"/>
  <c r="AD1550" i="28"/>
  <c r="AD1559" i="28"/>
  <c r="AD1568" i="28"/>
  <c r="AD1577" i="28"/>
  <c r="AD1587" i="28"/>
  <c r="AD1596" i="28"/>
  <c r="AD1605" i="28"/>
  <c r="AD1614" i="28"/>
  <c r="AD1623" i="28"/>
  <c r="AD1632" i="28"/>
  <c r="AD1641" i="28"/>
  <c r="AD1651" i="28"/>
  <c r="AD1660" i="28"/>
  <c r="AD1669" i="28"/>
  <c r="AD1678" i="28"/>
  <c r="AD1687" i="28"/>
  <c r="AD1696" i="28"/>
  <c r="AD1705" i="28"/>
  <c r="AD1715" i="28"/>
  <c r="AD1724" i="28"/>
  <c r="AD1733" i="28"/>
  <c r="AD1742" i="28"/>
  <c r="AD1751" i="28"/>
  <c r="AD1760" i="28"/>
  <c r="AD1769" i="28"/>
  <c r="AD1779" i="28"/>
  <c r="AD1788" i="28"/>
  <c r="AD1797" i="28"/>
  <c r="AD1806" i="28"/>
  <c r="AD1815" i="28"/>
  <c r="AD1824" i="28"/>
  <c r="AD1833" i="28"/>
  <c r="AD1843" i="28"/>
  <c r="AD1852" i="28"/>
  <c r="AD1861" i="28"/>
  <c r="AD1870" i="28"/>
  <c r="AD1879" i="28"/>
  <c r="AD1888" i="28"/>
  <c r="AD1897" i="28"/>
  <c r="AD1907" i="28"/>
  <c r="AD1916" i="28"/>
  <c r="AD1925" i="28"/>
  <c r="AD1934" i="28"/>
  <c r="AD1943" i="28"/>
  <c r="AD1952" i="28"/>
  <c r="AD1961" i="28"/>
  <c r="AD1969" i="28"/>
  <c r="AD1977" i="28"/>
  <c r="AD1985" i="28"/>
  <c r="AD1993" i="28"/>
  <c r="AD17" i="28"/>
  <c r="AD48" i="28"/>
  <c r="AD90" i="28"/>
  <c r="AD126" i="28"/>
  <c r="AD159" i="28"/>
  <c r="AD197" i="28"/>
  <c r="AD229" i="28"/>
  <c r="AD264" i="28"/>
  <c r="AD293" i="28"/>
  <c r="AD316" i="28"/>
  <c r="AD343" i="28"/>
  <c r="AD366" i="28"/>
  <c r="AD393" i="28"/>
  <c r="AD418" i="28"/>
  <c r="AD446" i="28"/>
  <c r="AD469" i="28"/>
  <c r="AD496" i="28"/>
  <c r="AD519" i="28"/>
  <c r="AD546" i="28"/>
  <c r="AD569" i="28"/>
  <c r="AD598" i="28"/>
  <c r="AD622" i="28"/>
  <c r="AD640" i="28"/>
  <c r="AD658" i="28"/>
  <c r="AD676" i="28"/>
  <c r="AD693" i="28"/>
  <c r="AD708" i="28"/>
  <c r="AD725" i="28"/>
  <c r="AD742" i="28"/>
  <c r="AD757" i="28"/>
  <c r="AD771" i="28"/>
  <c r="AD782" i="28"/>
  <c r="AD795" i="28"/>
  <c r="AD806" i="28"/>
  <c r="AD819" i="28"/>
  <c r="AD831" i="28"/>
  <c r="AD843" i="28"/>
  <c r="AD854" i="28"/>
  <c r="AD867" i="28"/>
  <c r="AD878" i="28"/>
  <c r="AD890" i="28"/>
  <c r="AD903" i="28"/>
  <c r="AD915" i="28"/>
  <c r="AD926" i="28"/>
  <c r="AD938" i="28"/>
  <c r="AD950" i="28"/>
  <c r="AD962" i="28"/>
  <c r="AD973" i="28"/>
  <c r="AD987" i="28"/>
  <c r="AD998" i="28"/>
  <c r="AD1010" i="28"/>
  <c r="AD1022" i="28"/>
  <c r="AD1034" i="28"/>
  <c r="AD1045" i="28"/>
  <c r="AD1057" i="28"/>
  <c r="AD1070" i="28"/>
  <c r="AD1082" i="28"/>
  <c r="AD1093" i="28"/>
  <c r="AD1105" i="28"/>
  <c r="AD1115" i="28"/>
  <c r="AD1125" i="28"/>
  <c r="AD1135" i="28"/>
  <c r="AD1147" i="28"/>
  <c r="AD1157" i="28"/>
  <c r="AD1167" i="28"/>
  <c r="AD1178" i="28"/>
  <c r="AD1188" i="28"/>
  <c r="AD1198" i="28"/>
  <c r="AD1209" i="28"/>
  <c r="AD1220" i="28"/>
  <c r="AD1230" i="28"/>
  <c r="AD1241" i="28"/>
  <c r="AD1251" i="28"/>
  <c r="AD1261" i="28"/>
  <c r="AD1271" i="28"/>
  <c r="AD1282" i="28"/>
  <c r="AD1293" i="28"/>
  <c r="AD1303" i="28"/>
  <c r="AD1314" i="28"/>
  <c r="AD1324" i="28"/>
  <c r="AD1334" i="28"/>
  <c r="AD1345" i="28"/>
  <c r="AD1355" i="28"/>
  <c r="AD1366" i="28"/>
  <c r="AD1377" i="28"/>
  <c r="AD26" i="28"/>
  <c r="AD63" i="28"/>
  <c r="AD94" i="28"/>
  <c r="AD132" i="28"/>
  <c r="AD167" i="28"/>
  <c r="AD201" i="28"/>
  <c r="AD242" i="28"/>
  <c r="AD268" i="28"/>
  <c r="AD297" i="28"/>
  <c r="AD324" i="28"/>
  <c r="AD348" i="28"/>
  <c r="AD376" i="28"/>
  <c r="AD400" i="28"/>
  <c r="AD428" i="28"/>
  <c r="AD449" i="28"/>
  <c r="AD477" i="28"/>
  <c r="AD501" i="28"/>
  <c r="AD528" i="28"/>
  <c r="AD552" i="28"/>
  <c r="AD580" i="28"/>
  <c r="AD602" i="28"/>
  <c r="AD626" i="28"/>
  <c r="AD644" i="28"/>
  <c r="AD661" i="28"/>
  <c r="AD680" i="28"/>
  <c r="AD697" i="28"/>
  <c r="AD712" i="28"/>
  <c r="AD729" i="28"/>
  <c r="AD744" i="28"/>
  <c r="AD760" i="28"/>
  <c r="AD773" i="28"/>
  <c r="AD786" i="28"/>
  <c r="AD798" i="28"/>
  <c r="AD810" i="28"/>
  <c r="AD822" i="28"/>
  <c r="AD834" i="28"/>
  <c r="AD845" i="28"/>
  <c r="AD858" i="28"/>
  <c r="AD869" i="28"/>
  <c r="AD882" i="28"/>
  <c r="AD894" i="28"/>
  <c r="AD906" i="28"/>
  <c r="AD917" i="28"/>
  <c r="AD929" i="28"/>
  <c r="AD941" i="28"/>
  <c r="AD953" i="28"/>
  <c r="AD965" i="28"/>
  <c r="AD978" i="28"/>
  <c r="AD989" i="28"/>
  <c r="AD1001" i="28"/>
  <c r="AD1013" i="28"/>
  <c r="AD1025" i="28"/>
  <c r="AD1036" i="28"/>
  <c r="AD1050" i="28"/>
  <c r="AD1061" i="28"/>
  <c r="AD1073" i="28"/>
  <c r="AD1084" i="28"/>
  <c r="AD1097" i="28"/>
  <c r="AD1107" i="28"/>
  <c r="AD1117" i="28"/>
  <c r="AD1129" i="28"/>
  <c r="AD1139" i="28"/>
  <c r="AD1149" i="28"/>
  <c r="AD1159" i="28"/>
  <c r="AD1170" i="28"/>
  <c r="AD1180" i="28"/>
  <c r="AD1190" i="28"/>
  <c r="AD1202" i="28"/>
  <c r="AD1212" i="28"/>
  <c r="AD1222" i="28"/>
  <c r="AD1233" i="28"/>
  <c r="AD1243" i="28"/>
  <c r="AD1253" i="28"/>
  <c r="AD1263" i="28"/>
  <c r="AD1275" i="28"/>
  <c r="AD1285" i="28"/>
  <c r="AD1295" i="28"/>
  <c r="AD1306" i="28"/>
  <c r="AD1316" i="28"/>
  <c r="AD1326" i="28"/>
  <c r="AD1337" i="28"/>
  <c r="AD1348" i="28"/>
  <c r="AD1358" i="28"/>
  <c r="AD1369" i="28"/>
  <c r="AD1379" i="28"/>
  <c r="AD1389" i="28"/>
  <c r="AD1399" i="28"/>
  <c r="AD1410" i="28"/>
  <c r="AD1421" i="28"/>
  <c r="AD1431" i="28"/>
  <c r="AD1442" i="28"/>
  <c r="AD1452" i="28"/>
  <c r="AD1462" i="28"/>
  <c r="AD1473" i="28"/>
  <c r="AD1483" i="28"/>
  <c r="AD1494" i="28"/>
  <c r="AD1505" i="28"/>
  <c r="AD1515" i="28"/>
  <c r="AD1525" i="28"/>
  <c r="AD1535" i="28"/>
  <c r="AD1544" i="28"/>
  <c r="AD1553" i="28"/>
  <c r="AD1563" i="28"/>
  <c r="AD1572" i="28"/>
  <c r="AD1581" i="28"/>
  <c r="AD1590" i="28"/>
  <c r="AD1599" i="28"/>
  <c r="AD1608" i="28"/>
  <c r="AD1617" i="28"/>
  <c r="AD1627" i="28"/>
  <c r="AD1636" i="28"/>
  <c r="AD1645" i="28"/>
  <c r="AD1654" i="28"/>
  <c r="AD1663" i="28"/>
  <c r="AD1672" i="28"/>
  <c r="AD1681" i="28"/>
  <c r="AD1691" i="28"/>
  <c r="AD1700" i="28"/>
  <c r="AD1709" i="28"/>
  <c r="AD1718" i="28"/>
  <c r="AD1727" i="28"/>
  <c r="AD1736" i="28"/>
  <c r="AD1745" i="28"/>
  <c r="AD1755" i="28"/>
  <c r="AD1764" i="28"/>
  <c r="AD1773" i="28"/>
  <c r="AD1782" i="28"/>
  <c r="AD1791" i="28"/>
  <c r="AD1800" i="28"/>
  <c r="AD1809" i="28"/>
  <c r="AD1819" i="28"/>
  <c r="AD1828" i="28"/>
  <c r="AD1837" i="28"/>
  <c r="AD1846" i="28"/>
  <c r="AD1855" i="28"/>
  <c r="AD1864" i="28"/>
  <c r="AD1873" i="28"/>
  <c r="AD1883" i="28"/>
  <c r="AD1892" i="28"/>
  <c r="AD1901" i="28"/>
  <c r="AD1910" i="28"/>
  <c r="AD1919" i="28"/>
  <c r="AD1928" i="28"/>
  <c r="AD1937" i="28"/>
  <c r="AD1947" i="28"/>
  <c r="AD1956" i="28"/>
  <c r="AD1964" i="28"/>
  <c r="AD1972" i="28"/>
  <c r="AD1980" i="28"/>
  <c r="AD1988" i="28"/>
  <c r="AD1996" i="28"/>
  <c r="AD23" i="28"/>
  <c r="AD73" i="28"/>
  <c r="AD135" i="28"/>
  <c r="AD183" i="28"/>
  <c r="AD247" i="28"/>
  <c r="AD295" i="28"/>
  <c r="AD333" i="28"/>
  <c r="AD378" i="28"/>
  <c r="AD413" i="28"/>
  <c r="AD458" i="28"/>
  <c r="AD497" i="28"/>
  <c r="AD535" i="28"/>
  <c r="AD581" i="28"/>
  <c r="AD615" i="28"/>
  <c r="AD28" i="28"/>
  <c r="AD80" i="28"/>
  <c r="AD141" i="28"/>
  <c r="AD199" i="28"/>
  <c r="AD249" i="28"/>
  <c r="AD300" i="28"/>
  <c r="AD334" i="28"/>
  <c r="AD382" i="28"/>
  <c r="AD424" i="28"/>
  <c r="AD460" i="28"/>
  <c r="AD502" i="28"/>
  <c r="AD542" i="28"/>
  <c r="AD584" i="28"/>
  <c r="AD625" i="28"/>
  <c r="AD34" i="28"/>
  <c r="AD93" i="28"/>
  <c r="AD146" i="28"/>
  <c r="AD208" i="28"/>
  <c r="AD250" i="28"/>
  <c r="AD302" i="28"/>
  <c r="AD345" i="28"/>
  <c r="AD383" i="28"/>
  <c r="AD429" i="28"/>
  <c r="AD465" i="28"/>
  <c r="AD511" i="28"/>
  <c r="AD549" i="28"/>
  <c r="AD585" i="28"/>
  <c r="AD629" i="28"/>
  <c r="AD654" i="28"/>
  <c r="AD685" i="28"/>
  <c r="AD711" i="28"/>
  <c r="AD734" i="28"/>
  <c r="AD761" i="28"/>
  <c r="AD780" i="28"/>
  <c r="AD801" i="28"/>
  <c r="AD821" i="28"/>
  <c r="AD837" i="28"/>
  <c r="AD859" i="28"/>
  <c r="AD876" i="28"/>
  <c r="AD897" i="28"/>
  <c r="AD916" i="28"/>
  <c r="AD934" i="28"/>
  <c r="AD955" i="28"/>
  <c r="AD971" i="28"/>
  <c r="AD991" i="28"/>
  <c r="AD1011" i="28"/>
  <c r="AD1029" i="28"/>
  <c r="AD1051" i="28"/>
  <c r="AD1066" i="28"/>
  <c r="AD1087" i="28"/>
  <c r="AD1106" i="28"/>
  <c r="AD1122" i="28"/>
  <c r="AD1140" i="28"/>
  <c r="AD1154" i="28"/>
  <c r="AD1172" i="28"/>
  <c r="AD1189" i="28"/>
  <c r="AD1205" i="28"/>
  <c r="AD1223" i="28"/>
  <c r="AD1238" i="28"/>
  <c r="AD1257" i="28"/>
  <c r="AD1273" i="28"/>
  <c r="AD1289" i="28"/>
  <c r="AD1307" i="28"/>
  <c r="AD1322" i="28"/>
  <c r="AD1340" i="28"/>
  <c r="AD1357" i="28"/>
  <c r="AD1372" i="28"/>
  <c r="AD1388" i="28"/>
  <c r="AD1403" i="28"/>
  <c r="AD1415" i="28"/>
  <c r="AD1430" i="28"/>
  <c r="AD1444" i="28"/>
  <c r="AD1458" i="28"/>
  <c r="AD1471" i="28"/>
  <c r="AD1486" i="28"/>
  <c r="AD1499" i="28"/>
  <c r="AD1514" i="28"/>
  <c r="AD1527" i="28"/>
  <c r="AD1540" i="28"/>
  <c r="AD1552" i="28"/>
  <c r="AD1565" i="28"/>
  <c r="AD1576" i="28"/>
  <c r="AD1589" i="28"/>
  <c r="AD1601" i="28"/>
  <c r="AD1613" i="28"/>
  <c r="AD1625" i="28"/>
  <c r="AD1638" i="28"/>
  <c r="AD1649" i="28"/>
  <c r="AD1662" i="28"/>
  <c r="AD1675" i="28"/>
  <c r="AD1686" i="28"/>
  <c r="AD1699" i="28"/>
  <c r="AD1711" i="28"/>
  <c r="AD1723" i="28"/>
  <c r="AD1735" i="28"/>
  <c r="AD1748" i="28"/>
  <c r="AD1759" i="28"/>
  <c r="AD1772" i="28"/>
  <c r="AD1784" i="28"/>
  <c r="AD41" i="28"/>
  <c r="AD113" i="28"/>
  <c r="AD218" i="28"/>
  <c r="AD285" i="28"/>
  <c r="AD360" i="28"/>
  <c r="AD431" i="28"/>
  <c r="AD486" i="28"/>
  <c r="AD560" i="28"/>
  <c r="AD613" i="28"/>
  <c r="AD660" i="28"/>
  <c r="AD688" i="28"/>
  <c r="AD718" i="28"/>
  <c r="AD748" i="28"/>
  <c r="AD775" i="28"/>
  <c r="AD796" i="28"/>
  <c r="AD815" i="28"/>
  <c r="AD841" i="28"/>
  <c r="AD862" i="28"/>
  <c r="AD885" i="28"/>
  <c r="AD907" i="28"/>
  <c r="AD927" i="28"/>
  <c r="AD947" i="28"/>
  <c r="AD970" i="28"/>
  <c r="AD993" i="28"/>
  <c r="AD1015" i="28"/>
  <c r="AD1038" i="28"/>
  <c r="AD1060" i="28"/>
  <c r="AD1078" i="28"/>
  <c r="AD1101" i="28"/>
  <c r="AD1121" i="28"/>
  <c r="AD1141" i="28"/>
  <c r="AD1161" i="28"/>
  <c r="AD1179" i="28"/>
  <c r="AD1196" i="28"/>
  <c r="AD1215" i="28"/>
  <c r="AD1235" i="28"/>
  <c r="AD1254" i="28"/>
  <c r="AD1276" i="28"/>
  <c r="AD1294" i="28"/>
  <c r="AD1311" i="28"/>
  <c r="AD1331" i="28"/>
  <c r="AD1350" i="28"/>
  <c r="AD1370" i="28"/>
  <c r="AD1387" i="28"/>
  <c r="AD1404" i="28"/>
  <c r="AD1419" i="28"/>
  <c r="AD1435" i="28"/>
  <c r="AD1451" i="28"/>
  <c r="AD1467" i="28"/>
  <c r="AD1482" i="28"/>
  <c r="AD1498" i="28"/>
  <c r="AD1516" i="28"/>
  <c r="AD1531" i="28"/>
  <c r="AD1545" i="28"/>
  <c r="AD1558" i="28"/>
  <c r="AD1573" i="28"/>
  <c r="AD1585" i="28"/>
  <c r="AD1600" i="28"/>
  <c r="AD1615" i="28"/>
  <c r="AD1629" i="28"/>
  <c r="AD1643" i="28"/>
  <c r="AD1656" i="28"/>
  <c r="AD1670" i="28"/>
  <c r="AD1684" i="28"/>
  <c r="AD1697" i="28"/>
  <c r="AD1712" i="28"/>
  <c r="AD1726" i="28"/>
  <c r="AD1740" i="28"/>
  <c r="AD1753" i="28"/>
  <c r="AD1767" i="28"/>
  <c r="AD1781" i="28"/>
  <c r="AD1795" i="28"/>
  <c r="AD1807" i="28"/>
  <c r="AD1820" i="28"/>
  <c r="AD1831" i="28"/>
  <c r="AD1844" i="28"/>
  <c r="AD1856" i="28"/>
  <c r="AD1868" i="28"/>
  <c r="AD1880" i="28"/>
  <c r="AD1893" i="28"/>
  <c r="AD1904" i="28"/>
  <c r="AD1917" i="28"/>
  <c r="AD1929" i="28"/>
  <c r="AD1941" i="28"/>
  <c r="AD1953" i="28"/>
  <c r="AD1965" i="28"/>
  <c r="AD1975" i="28"/>
  <c r="AD1986" i="28"/>
  <c r="AD1997" i="28"/>
  <c r="AD1885" i="28"/>
  <c r="AD1921" i="28"/>
  <c r="AD1958" i="28"/>
  <c r="AD1990" i="28"/>
  <c r="AD45" i="28"/>
  <c r="AD130" i="28"/>
  <c r="AD224" i="28"/>
  <c r="AD310" i="28"/>
  <c r="AD361" i="28"/>
  <c r="AD433" i="28"/>
  <c r="AD492" i="28"/>
  <c r="AD562" i="28"/>
  <c r="AD630" i="28"/>
  <c r="AD663" i="28"/>
  <c r="AD694" i="28"/>
  <c r="AD720" i="28"/>
  <c r="AD749" i="28"/>
  <c r="AD778" i="28"/>
  <c r="AD799" i="28"/>
  <c r="AD823" i="28"/>
  <c r="AD844" i="28"/>
  <c r="AD863" i="28"/>
  <c r="AD886" i="28"/>
  <c r="AD908" i="28"/>
  <c r="AD931" i="28"/>
  <c r="AD951" i="28"/>
  <c r="AD977" i="28"/>
  <c r="AD995" i="28"/>
  <c r="AD1018" i="28"/>
  <c r="AD1041" i="28"/>
  <c r="AD1062" i="28"/>
  <c r="AD1083" i="28"/>
  <c r="AD1102" i="28"/>
  <c r="AD1123" i="28"/>
  <c r="AD1142" i="28"/>
  <c r="AD1162" i="28"/>
  <c r="AD1181" i="28"/>
  <c r="AD1199" i="28"/>
  <c r="AD1217" i="28"/>
  <c r="AD1236" i="28"/>
  <c r="AD1258" i="28"/>
  <c r="AD1277" i="28"/>
  <c r="AD1297" i="28"/>
  <c r="AD1315" i="28"/>
  <c r="AD1332" i="28"/>
  <c r="AD1351" i="28"/>
  <c r="AD1371" i="28"/>
  <c r="AD1390" i="28"/>
  <c r="AD1405" i="28"/>
  <c r="AD1422" i="28"/>
  <c r="AD1436" i="28"/>
  <c r="AD1453" i="28"/>
  <c r="AD1468" i="28"/>
  <c r="AD1485" i="28"/>
  <c r="AD1501" i="28"/>
  <c r="AD1517" i="28"/>
  <c r="AD1533" i="28"/>
  <c r="AD1547" i="28"/>
  <c r="AD1560" i="28"/>
  <c r="AD1574" i="28"/>
  <c r="AD1588" i="28"/>
  <c r="AD1603" i="28"/>
  <c r="AD1616" i="28"/>
  <c r="AD1630" i="28"/>
  <c r="AD1644" i="28"/>
  <c r="AD1657" i="28"/>
  <c r="AD1671" i="28"/>
  <c r="AD1685" i="28"/>
  <c r="AD1701" i="28"/>
  <c r="AD1713" i="28"/>
  <c r="AD1728" i="28"/>
  <c r="AD1741" i="28"/>
  <c r="AD1756" i="28"/>
  <c r="AD1768" i="28"/>
  <c r="AD1783" i="28"/>
  <c r="AD1796" i="28"/>
  <c r="AD1808" i="28"/>
  <c r="AD1821" i="28"/>
  <c r="AD1832" i="28"/>
  <c r="AD1845" i="28"/>
  <c r="AD1857" i="28"/>
  <c r="AD1869" i="28"/>
  <c r="AD1881" i="28"/>
  <c r="AD1894" i="28"/>
  <c r="AD1905" i="28"/>
  <c r="AD1918" i="28"/>
  <c r="AD1931" i="28"/>
  <c r="AD1942" i="28"/>
  <c r="AD1955" i="28"/>
  <c r="AD1966" i="28"/>
  <c r="AD1976" i="28"/>
  <c r="AD1987" i="28"/>
  <c r="AD1998" i="28"/>
  <c r="AD1872" i="28"/>
  <c r="AD1909" i="28"/>
  <c r="AD1945" i="28"/>
  <c r="AD1968" i="28"/>
  <c r="AD2000" i="28"/>
  <c r="AD58" i="28"/>
  <c r="AD151" i="28"/>
  <c r="AD236" i="28"/>
  <c r="AD312" i="28"/>
  <c r="AD368" i="28"/>
  <c r="AD434" i="28"/>
  <c r="AD512" i="28"/>
  <c r="AD565" i="28"/>
  <c r="AD632" i="28"/>
  <c r="AD669" i="28"/>
  <c r="AD699" i="28"/>
  <c r="AD726" i="28"/>
  <c r="AD753" i="28"/>
  <c r="AD779" i="28"/>
  <c r="AD803" i="28"/>
  <c r="AD825" i="28"/>
  <c r="AD846" i="28"/>
  <c r="AD868" i="28"/>
  <c r="AD887" i="28"/>
  <c r="AD909" i="28"/>
  <c r="AD932" i="28"/>
  <c r="AD956" i="28"/>
  <c r="AD979" i="28"/>
  <c r="AD999" i="28"/>
  <c r="AD1019" i="28"/>
  <c r="AD1042" i="28"/>
  <c r="AD1063" i="28"/>
  <c r="AD1086" i="28"/>
  <c r="AD1108" i="28"/>
  <c r="AD1126" i="28"/>
  <c r="AD1143" i="28"/>
  <c r="AD1163" i="28"/>
  <c r="AD1183" i="28"/>
  <c r="AD1203" i="28"/>
  <c r="AD1221" i="28"/>
  <c r="AD1242" i="28"/>
  <c r="AD1259" i="28"/>
  <c r="AD1278" i="28"/>
  <c r="AD1298" i="28"/>
  <c r="AD1317" i="28"/>
  <c r="AD1335" i="28"/>
  <c r="AD1353" i="28"/>
  <c r="AD1373" i="28"/>
  <c r="AD1391" i="28"/>
  <c r="AD1407" i="28"/>
  <c r="AD1423" i="28"/>
  <c r="AD1439" i="28"/>
  <c r="AD1454" i="28"/>
  <c r="AD1470" i="28"/>
  <c r="AD1487" i="28"/>
  <c r="AD1503" i="28"/>
  <c r="AD1518" i="28"/>
  <c r="AD1534" i="28"/>
  <c r="AD1548" i="28"/>
  <c r="AD1561" i="28"/>
  <c r="AD1575" i="28"/>
  <c r="AD1591" i="28"/>
  <c r="AD1604" i="28"/>
  <c r="AD1619" i="28"/>
  <c r="AD1631" i="28"/>
  <c r="AD1646" i="28"/>
  <c r="AD1659" i="28"/>
  <c r="AD1673" i="28"/>
  <c r="AD1688" i="28"/>
  <c r="AD1702" i="28"/>
  <c r="AD1716" i="28"/>
  <c r="AD1729" i="28"/>
  <c r="AD1743" i="28"/>
  <c r="AD1757" i="28"/>
  <c r="AD1771" i="28"/>
  <c r="AD1785" i="28"/>
  <c r="AD1798" i="28"/>
  <c r="AD1811" i="28"/>
  <c r="AD1822" i="28"/>
  <c r="AD1835" i="28"/>
  <c r="AD1847" i="28"/>
  <c r="AD1859" i="28"/>
  <c r="AD1871" i="28"/>
  <c r="AD1884" i="28"/>
  <c r="AD1895" i="28"/>
  <c r="AD1908" i="28"/>
  <c r="AD1920" i="28"/>
  <c r="AD1932" i="28"/>
  <c r="AD1944" i="28"/>
  <c r="AD1957" i="28"/>
  <c r="AD1967" i="28"/>
  <c r="AD1978" i="28"/>
  <c r="AD1989" i="28"/>
  <c r="AD1999" i="28"/>
  <c r="AD65" i="28"/>
  <c r="AD162" i="28"/>
  <c r="AD246" i="28"/>
  <c r="AD319" i="28"/>
  <c r="AD385" i="28"/>
  <c r="AD448" i="28"/>
  <c r="AD514" i="28"/>
  <c r="AD577" i="28"/>
  <c r="AD636" i="28"/>
  <c r="AD670" i="28"/>
  <c r="AD700" i="28"/>
  <c r="AD731" i="28"/>
  <c r="AD758" i="28"/>
  <c r="AD785" i="28"/>
  <c r="AD804" i="28"/>
  <c r="AD826" i="28"/>
  <c r="AD849" i="28"/>
  <c r="AD871" i="28"/>
  <c r="AD892" i="28"/>
  <c r="AD910" i="28"/>
  <c r="AD935" i="28"/>
  <c r="AD958" i="28"/>
  <c r="AD980" i="28"/>
  <c r="AD1002" i="28"/>
  <c r="AD1023" i="28"/>
  <c r="AD1043" i="28"/>
  <c r="AD1065" i="28"/>
  <c r="AD1089" i="28"/>
  <c r="AD1110" i="28"/>
  <c r="AD1130" i="28"/>
  <c r="AD1148" i="28"/>
  <c r="AD1165" i="28"/>
  <c r="AD1185" i="28"/>
  <c r="AD1204" i="28"/>
  <c r="AD1225" i="28"/>
  <c r="AD1244" i="28"/>
  <c r="AD1262" i="28"/>
  <c r="AD1279" i="28"/>
  <c r="AD1299" i="28"/>
  <c r="AD1318" i="28"/>
  <c r="AD1339" i="28"/>
  <c r="AD1359" i="28"/>
  <c r="AD1378" i="28"/>
  <c r="AD1394" i="28"/>
  <c r="AD1409" i="28"/>
  <c r="AD1425" i="28"/>
  <c r="AD1441" i="28"/>
  <c r="AD1455" i="28"/>
  <c r="AD1474" i="28"/>
  <c r="AD1489" i="28"/>
  <c r="AD1506" i="28"/>
  <c r="AD1519" i="28"/>
  <c r="AD1536" i="28"/>
  <c r="AD1549" i="28"/>
  <c r="AD1564" i="28"/>
  <c r="AD1579" i="28"/>
  <c r="AD1592" i="28"/>
  <c r="AD1606" i="28"/>
  <c r="AD1620" i="28"/>
  <c r="AD1633" i="28"/>
  <c r="AD1647" i="28"/>
  <c r="AD1661" i="28"/>
  <c r="AD1676" i="28"/>
  <c r="AD1689" i="28"/>
  <c r="AD1703" i="28"/>
  <c r="AD1717" i="28"/>
  <c r="AD1731" i="28"/>
  <c r="AD1744" i="28"/>
  <c r="AD1758" i="28"/>
  <c r="AD1774" i="28"/>
  <c r="AD1787" i="28"/>
  <c r="AD1799" i="28"/>
  <c r="AD1812" i="28"/>
  <c r="AD1823" i="28"/>
  <c r="AD1836" i="28"/>
  <c r="AD1848" i="28"/>
  <c r="AD1860" i="28"/>
  <c r="AD1896" i="28"/>
  <c r="AD1933" i="28"/>
  <c r="AD1979" i="28"/>
  <c r="AD266" i="28"/>
  <c r="AD68" i="28"/>
  <c r="AD274" i="28"/>
  <c r="AD402" i="28"/>
  <c r="AD532" i="28"/>
  <c r="AD647" i="28"/>
  <c r="AD705" i="28"/>
  <c r="AD767" i="28"/>
  <c r="AD812" i="28"/>
  <c r="AD852" i="28"/>
  <c r="AD898" i="28"/>
  <c r="AD942" i="28"/>
  <c r="AD982" i="28"/>
  <c r="AD1028" i="28"/>
  <c r="AD1074" i="28"/>
  <c r="AD1113" i="28"/>
  <c r="AD1151" i="28"/>
  <c r="AD1193" i="28"/>
  <c r="AD1227" i="28"/>
  <c r="AD1267" i="28"/>
  <c r="AD1305" i="28"/>
  <c r="AD1342" i="28"/>
  <c r="AD1381" i="28"/>
  <c r="AD1413" i="28"/>
  <c r="AD1445" i="28"/>
  <c r="AD1477" i="28"/>
  <c r="AD1508" i="28"/>
  <c r="AD1539" i="28"/>
  <c r="AD1567" i="28"/>
  <c r="AD1595" i="28"/>
  <c r="AD1622" i="28"/>
  <c r="AD1652" i="28"/>
  <c r="AD1679" i="28"/>
  <c r="AD1707" i="28"/>
  <c r="AD1734" i="28"/>
  <c r="AD1763" i="28"/>
  <c r="AD1790" i="28"/>
  <c r="AD1814" i="28"/>
  <c r="AD1839" i="28"/>
  <c r="AD1863" i="28"/>
  <c r="AD1887" i="28"/>
  <c r="AD1912" i="28"/>
  <c r="AD1936" i="28"/>
  <c r="AD1960" i="28"/>
  <c r="AD1982" i="28"/>
  <c r="AD988" i="28"/>
  <c r="AD101" i="28"/>
  <c r="AD277" i="28"/>
  <c r="AD407" i="28"/>
  <c r="AD533" i="28"/>
  <c r="AD648" i="28"/>
  <c r="AD715" i="28"/>
  <c r="AD769" i="28"/>
  <c r="AD813" i="28"/>
  <c r="AD855" i="28"/>
  <c r="AD899" i="28"/>
  <c r="AD945" i="28"/>
  <c r="AD1031" i="28"/>
  <c r="AD1075" i="28"/>
  <c r="AD1116" i="28"/>
  <c r="AD1153" i="28"/>
  <c r="AD1194" i="28"/>
  <c r="AD1231" i="28"/>
  <c r="AD1268" i="28"/>
  <c r="AD1308" i="28"/>
  <c r="AD1346" i="28"/>
  <c r="AD1382" i="28"/>
  <c r="AD1414" i="28"/>
  <c r="AD1446" i="28"/>
  <c r="AD1478" i="28"/>
  <c r="AD1509" i="28"/>
  <c r="AD1542" i="28"/>
  <c r="AD1569" i="28"/>
  <c r="AD1597" i="28"/>
  <c r="AD1624" i="28"/>
  <c r="AD1653" i="28"/>
  <c r="AD1680" i="28"/>
  <c r="AD1708" i="28"/>
  <c r="AD1737" i="28"/>
  <c r="AD1765" i="28"/>
  <c r="AD1792" i="28"/>
  <c r="AD1816" i="28"/>
  <c r="AD1840" i="28"/>
  <c r="AD1865" i="28"/>
  <c r="AD1889" i="28"/>
  <c r="AD1913" i="28"/>
  <c r="AD1939" i="28"/>
  <c r="AD1962" i="28"/>
  <c r="AD1983" i="28"/>
  <c r="AD110" i="28"/>
  <c r="AD281" i="28"/>
  <c r="AD410" i="28"/>
  <c r="AD559" i="28"/>
  <c r="AD653" i="28"/>
  <c r="AD717" i="28"/>
  <c r="AD772" i="28"/>
  <c r="AD814" i="28"/>
  <c r="AD861" i="28"/>
  <c r="AD905" i="28"/>
  <c r="AD946" i="28"/>
  <c r="AD990" i="28"/>
  <c r="AD1035" i="28"/>
  <c r="AD1077" i="28"/>
  <c r="AD1119" i="28"/>
  <c r="AD1158" i="28"/>
  <c r="AD1195" i="28"/>
  <c r="AD1234" i="28"/>
  <c r="AD1269" i="28"/>
  <c r="AD1309" i="28"/>
  <c r="AD1349" i="28"/>
  <c r="AD1385" i="28"/>
  <c r="AD1418" i="28"/>
  <c r="AD1450" i="28"/>
  <c r="AD1481" i="28"/>
  <c r="AD1513" i="28"/>
  <c r="AD1543" i="28"/>
  <c r="AD1571" i="28"/>
  <c r="AD1598" i="28"/>
  <c r="AD1628" i="28"/>
  <c r="AD1655" i="28"/>
  <c r="AD1683" i="28"/>
  <c r="AD1739" i="28"/>
  <c r="AD1766" i="28"/>
  <c r="AD1817" i="28"/>
  <c r="AD1867" i="28"/>
  <c r="AD1915" i="28"/>
  <c r="AD1963" i="28"/>
  <c r="AD111" i="28"/>
  <c r="AD327" i="28"/>
  <c r="AD452" i="28"/>
  <c r="AD592" i="28"/>
  <c r="AD671" i="28"/>
  <c r="AD733" i="28"/>
  <c r="AD788" i="28"/>
  <c r="AD827" i="28"/>
  <c r="AD873" i="28"/>
  <c r="AD918" i="28"/>
  <c r="AD959" i="28"/>
  <c r="AD1004" i="28"/>
  <c r="AD1046" i="28"/>
  <c r="AD1091" i="28"/>
  <c r="AD1131" i="28"/>
  <c r="AD1169" i="28"/>
  <c r="AD1206" i="28"/>
  <c r="AD1245" i="28"/>
  <c r="AD1284" i="28"/>
  <c r="AD1321" i="28"/>
  <c r="AD1361" i="28"/>
  <c r="AD1395" i="28"/>
  <c r="AD1426" i="28"/>
  <c r="AD1460" i="28"/>
  <c r="AD1491" i="28"/>
  <c r="AD1523" i="28"/>
  <c r="AD1551" i="28"/>
  <c r="AD1580" i="28"/>
  <c r="AD1607" i="28"/>
  <c r="AD1635" i="28"/>
  <c r="AD1664" i="28"/>
  <c r="AD1692" i="28"/>
  <c r="AD1719" i="28"/>
  <c r="AD1747" i="28"/>
  <c r="AD1775" i="28"/>
  <c r="AD1801" i="28"/>
  <c r="AD1825" i="28"/>
  <c r="AD1849" i="28"/>
  <c r="AD1875" i="28"/>
  <c r="AD1899" i="28"/>
  <c r="AD1923" i="28"/>
  <c r="AD1948" i="28"/>
  <c r="AD1970" i="28"/>
  <c r="AD1991" i="28"/>
  <c r="AD176" i="28"/>
  <c r="AD330" i="28"/>
  <c r="AD476" i="28"/>
  <c r="AD601" i="28"/>
  <c r="AD678" i="28"/>
  <c r="AD735" i="28"/>
  <c r="AD789" i="28"/>
  <c r="AD833" i="28"/>
  <c r="AD874" i="28"/>
  <c r="AD919" i="28"/>
  <c r="AD963" i="28"/>
  <c r="AD1005" i="28"/>
  <c r="AD1052" i="28"/>
  <c r="AD1095" i="28"/>
  <c r="AD1132" i="28"/>
  <c r="AD1171" i="28"/>
  <c r="AD1211" i="28"/>
  <c r="AD1247" i="28"/>
  <c r="AD1286" i="28"/>
  <c r="AD1325" i="28"/>
  <c r="AD1362" i="28"/>
  <c r="AD1397" i="28"/>
  <c r="AD1428" i="28"/>
  <c r="AD1461" i="28"/>
  <c r="AD1492" i="28"/>
  <c r="AD1524" i="28"/>
  <c r="AD1555" i="28"/>
  <c r="AD1582" i="28"/>
  <c r="AD1609" i="28"/>
  <c r="AD1637" i="28"/>
  <c r="AD1665" i="28"/>
  <c r="AD1693" i="28"/>
  <c r="AD1720" i="28"/>
  <c r="AD1749" i="28"/>
  <c r="AD1776" i="28"/>
  <c r="AD1803" i="28"/>
  <c r="AD1827" i="28"/>
  <c r="AD1851" i="28"/>
  <c r="AD1876" i="28"/>
  <c r="AD1900" i="28"/>
  <c r="AD1924" i="28"/>
  <c r="AD1949" i="28"/>
  <c r="AD1971" i="28"/>
  <c r="AD1992" i="28"/>
  <c r="AD177" i="28"/>
  <c r="AD351" i="28"/>
  <c r="AD479" i="28"/>
  <c r="AD608" i="28"/>
  <c r="AD684" i="28"/>
  <c r="AD743" i="28"/>
  <c r="AD790" i="28"/>
  <c r="AD835" i="28"/>
  <c r="AD879" i="28"/>
  <c r="AD922" i="28"/>
  <c r="AD967" i="28"/>
  <c r="AD1007" i="28"/>
  <c r="AD1053" i="28"/>
  <c r="AD1098" i="28"/>
  <c r="AD1133" i="28"/>
  <c r="AD1174" i="28"/>
  <c r="AD1213" i="28"/>
  <c r="AD1249" i="28"/>
  <c r="AD1287" i="28"/>
  <c r="AD1327" i="28"/>
  <c r="AD1363" i="28"/>
  <c r="AD1398" i="28"/>
  <c r="AD1433" i="28"/>
  <c r="AD1463" i="28"/>
  <c r="AD1495" i="28"/>
  <c r="AD1526" i="28"/>
  <c r="AD1556" i="28"/>
  <c r="AD1583" i="28"/>
  <c r="AD1611" i="28"/>
  <c r="AD1639" i="28"/>
  <c r="AD1667" i="28"/>
  <c r="AD1694" i="28"/>
  <c r="AD1721" i="28"/>
  <c r="AD1750" i="28"/>
  <c r="AD1777" i="28"/>
  <c r="AD1804" i="28"/>
  <c r="AD1829" i="28"/>
  <c r="AD1853" i="28"/>
  <c r="AD1877" i="28"/>
  <c r="AD1902" i="28"/>
  <c r="AD1926" i="28"/>
  <c r="AD1950" i="28"/>
  <c r="AD1973" i="28"/>
  <c r="AD1994" i="28"/>
  <c r="AD181" i="28"/>
  <c r="AD358" i="28"/>
  <c r="AD480" i="28"/>
  <c r="AD612" i="28"/>
  <c r="AD687" i="28"/>
  <c r="AD745" i="28"/>
  <c r="AD791" i="28"/>
  <c r="AD836" i="28"/>
  <c r="AD883" i="28"/>
  <c r="AD924" i="28"/>
  <c r="AD969" i="28"/>
  <c r="AD1014" i="28"/>
  <c r="AD1054" i="28"/>
  <c r="AD1099" i="28"/>
  <c r="AD1138" i="28"/>
  <c r="AD1175" i="28"/>
  <c r="AD1214" i="28"/>
  <c r="AD1252" i="28"/>
  <c r="AD1290" i="28"/>
  <c r="AD1330" i="28"/>
  <c r="AD1367" i="28"/>
  <c r="AD1401" i="28"/>
  <c r="AD1434" i="28"/>
  <c r="AD1465" i="28"/>
  <c r="AD1497" i="28"/>
  <c r="AD1529" i="28"/>
  <c r="AD1557" i="28"/>
  <c r="AD1584" i="28"/>
  <c r="AD1612" i="28"/>
  <c r="AD1640" i="28"/>
  <c r="AD1668" i="28"/>
  <c r="AD1695" i="28"/>
  <c r="AD1725" i="28"/>
  <c r="AD1752" i="28"/>
  <c r="AD1780" i="28"/>
  <c r="AD1805" i="28"/>
  <c r="AD1830" i="28"/>
  <c r="AD1854" i="28"/>
  <c r="AD1878" i="28"/>
  <c r="AD1903" i="28"/>
  <c r="AD1927" i="28"/>
  <c r="AD1951" i="28"/>
  <c r="AD1974" i="28"/>
  <c r="AD1995" i="28"/>
  <c r="AD214" i="28"/>
  <c r="AD397" i="28"/>
  <c r="AD525" i="28"/>
  <c r="AD642" i="28"/>
  <c r="AD702" i="28"/>
  <c r="AD763" i="28"/>
  <c r="AD809" i="28"/>
  <c r="AD851" i="28"/>
  <c r="AD895" i="28"/>
  <c r="AD940" i="28"/>
  <c r="AD981" i="28"/>
  <c r="AD1026" i="28"/>
  <c r="AD1071" i="28"/>
  <c r="AD1111" i="28"/>
  <c r="AD1150" i="28"/>
  <c r="AD1186" i="28"/>
  <c r="AD1226" i="28"/>
  <c r="AD1266" i="28"/>
  <c r="AD1300" i="28"/>
  <c r="AD1341" i="28"/>
  <c r="AD1380" i="28"/>
  <c r="AD1412" i="28"/>
  <c r="AD1443" i="28"/>
  <c r="AD1476" i="28"/>
  <c r="AD1507" i="28"/>
  <c r="AD1537" i="28"/>
  <c r="AD1566" i="28"/>
  <c r="AD1593" i="28"/>
  <c r="AD1621" i="28"/>
  <c r="AD1648" i="28"/>
  <c r="AD1677" i="28"/>
  <c r="AD1704" i="28"/>
  <c r="AD1732" i="28"/>
  <c r="AD1761" i="28"/>
  <c r="AD1789" i="28"/>
  <c r="AD1813" i="28"/>
  <c r="AD1838" i="28"/>
  <c r="AD1862" i="28"/>
  <c r="AD1886" i="28"/>
  <c r="AD1911" i="28"/>
  <c r="AD1935" i="28"/>
  <c r="AD1959" i="28"/>
  <c r="AD1981" i="28"/>
  <c r="AD1710" i="28"/>
  <c r="AD1793" i="28"/>
  <c r="AD1841" i="28"/>
  <c r="AD1891" i="28"/>
  <c r="AD1940" i="28"/>
  <c r="AD1984" i="28"/>
  <c r="AB5" i="28" l="1"/>
  <c r="AB6" i="28" s="1"/>
  <c r="AB8" i="28"/>
  <c r="T64" i="38" l="1"/>
  <c r="T63" i="38"/>
  <c r="T62" i="38"/>
  <c r="T61" i="38"/>
  <c r="T60" i="38"/>
  <c r="T59" i="38"/>
  <c r="T58" i="38"/>
  <c r="T57" i="38"/>
  <c r="T56" i="38"/>
  <c r="T55" i="38"/>
  <c r="T54" i="38"/>
  <c r="T53" i="38"/>
  <c r="T52" i="38"/>
  <c r="T51" i="38"/>
  <c r="T50" i="38"/>
  <c r="T49" i="38"/>
  <c r="T48" i="38"/>
  <c r="T47" i="38"/>
  <c r="T46" i="38"/>
  <c r="T45" i="38"/>
  <c r="T44" i="38"/>
  <c r="T43" i="38"/>
  <c r="T42" i="38"/>
  <c r="T41" i="38"/>
  <c r="T40" i="38"/>
  <c r="T39" i="38"/>
  <c r="T38" i="38"/>
  <c r="T37" i="38"/>
  <c r="T36" i="38"/>
  <c r="T35" i="38"/>
  <c r="T34" i="38"/>
  <c r="T33" i="38"/>
  <c r="T32" i="38"/>
  <c r="T31" i="38"/>
  <c r="T30" i="38"/>
  <c r="T29" i="38"/>
  <c r="T28" i="38"/>
  <c r="T27" i="38"/>
  <c r="T26" i="38"/>
  <c r="T25" i="38"/>
  <c r="T24" i="38"/>
  <c r="T23" i="38"/>
  <c r="T22" i="38"/>
  <c r="T21" i="38"/>
  <c r="J20" i="38"/>
  <c r="J19" i="38"/>
  <c r="J18" i="38"/>
  <c r="J17" i="38"/>
  <c r="J16" i="38"/>
  <c r="J15" i="38"/>
  <c r="J14" i="38"/>
  <c r="J13" i="38"/>
  <c r="J12" i="38"/>
  <c r="J11" i="38"/>
  <c r="J10" i="38"/>
  <c r="J9" i="38"/>
  <c r="J8" i="38"/>
  <c r="J7" i="38"/>
  <c r="J6" i="38"/>
  <c r="J5" i="38"/>
  <c r="J14" i="37"/>
  <c r="J13" i="37"/>
  <c r="J12" i="37"/>
  <c r="J11" i="37"/>
  <c r="J10" i="37"/>
  <c r="J9" i="37"/>
  <c r="J8" i="37"/>
  <c r="J7" i="37"/>
  <c r="J6" i="37"/>
  <c r="J5" i="37"/>
  <c r="J11" i="36"/>
  <c r="J10" i="36"/>
  <c r="J9" i="36"/>
  <c r="J8" i="36"/>
  <c r="J7" i="36"/>
  <c r="J6" i="36"/>
  <c r="J5" i="36"/>
  <c r="J9" i="35"/>
  <c r="J8" i="35"/>
  <c r="J7" i="35"/>
  <c r="J6" i="35"/>
  <c r="J5" i="35"/>
  <c r="X21" i="38" l="1" a="1"/>
  <c r="X21" i="38" s="1"/>
  <c r="S21" i="38"/>
  <c r="S22" i="38"/>
  <c r="S23" i="38"/>
  <c r="S24" i="38"/>
  <c r="S25" i="38"/>
  <c r="S26" i="38"/>
  <c r="S27" i="38"/>
  <c r="S28" i="38"/>
  <c r="S29" i="38"/>
  <c r="S30" i="38"/>
  <c r="S31" i="38"/>
  <c r="S32" i="38"/>
  <c r="S33" i="38"/>
  <c r="S34" i="38"/>
  <c r="S35" i="38"/>
  <c r="S36" i="38"/>
  <c r="S37" i="38"/>
  <c r="S38" i="38"/>
  <c r="S39" i="38"/>
  <c r="S40" i="38"/>
  <c r="S41" i="38"/>
  <c r="S42" i="38"/>
  <c r="S43" i="38"/>
  <c r="S44" i="38"/>
  <c r="S45" i="38"/>
  <c r="S46" i="38"/>
  <c r="S47" i="38"/>
  <c r="S48" i="38"/>
  <c r="S49" i="38"/>
  <c r="S50" i="38"/>
  <c r="S51" i="38"/>
  <c r="S52" i="38"/>
  <c r="S53" i="38"/>
  <c r="S54" i="38"/>
  <c r="S55" i="38"/>
  <c r="S56" i="38"/>
  <c r="S57" i="38"/>
  <c r="S58" i="38"/>
  <c r="S59" i="38"/>
  <c r="S60" i="38"/>
  <c r="S61" i="38"/>
  <c r="S62" i="38"/>
  <c r="S63" i="38"/>
  <c r="S64" i="38"/>
  <c r="X59" i="38" l="1"/>
  <c r="X51" i="38"/>
  <c r="X43" i="38"/>
  <c r="X35" i="38"/>
  <c r="X27" i="38"/>
  <c r="X58" i="38"/>
  <c r="X50" i="38"/>
  <c r="X42" i="38"/>
  <c r="X34" i="38"/>
  <c r="X26" i="38"/>
  <c r="X60" i="38"/>
  <c r="X52" i="38"/>
  <c r="X44" i="38"/>
  <c r="X36" i="38"/>
  <c r="X28" i="38"/>
  <c r="X57" i="38"/>
  <c r="X49" i="38"/>
  <c r="X41" i="38"/>
  <c r="X33" i="38"/>
  <c r="X25" i="38"/>
  <c r="X64" i="38"/>
  <c r="X56" i="38"/>
  <c r="X48" i="38"/>
  <c r="X40" i="38"/>
  <c r="X32" i="38"/>
  <c r="X24" i="38"/>
  <c r="X63" i="38"/>
  <c r="X55" i="38"/>
  <c r="X47" i="38"/>
  <c r="X39" i="38"/>
  <c r="X31" i="38"/>
  <c r="X23" i="38"/>
  <c r="X62" i="38"/>
  <c r="X54" i="38"/>
  <c r="X46" i="38"/>
  <c r="X38" i="38"/>
  <c r="X30" i="38"/>
  <c r="X22" i="38"/>
  <c r="X61" i="38"/>
  <c r="X53" i="38"/>
  <c r="X45" i="38"/>
  <c r="X37" i="38"/>
  <c r="X29" i="38"/>
  <c r="I3" i="47" l="1"/>
  <c r="D5" i="6" l="1"/>
  <c r="D6" i="6"/>
  <c r="D7" i="6"/>
  <c r="D8" i="6"/>
  <c r="D9" i="6"/>
  <c r="D10" i="6"/>
  <c r="D11" i="6"/>
  <c r="D12" i="6"/>
  <c r="C13" i="6"/>
  <c r="D13" i="6" s="1"/>
  <c r="C14" i="6"/>
  <c r="D14" i="6" s="1"/>
  <c r="C15" i="6"/>
  <c r="D15" i="6" s="1"/>
  <c r="C16" i="6"/>
  <c r="D16" i="6" s="1"/>
  <c r="C17" i="6"/>
  <c r="D17" i="6" s="1"/>
  <c r="D18" i="6"/>
  <c r="D19" i="6"/>
  <c r="D20" i="6"/>
  <c r="D21" i="6"/>
  <c r="D22" i="6"/>
  <c r="E12" i="6"/>
  <c r="E9" i="6"/>
  <c r="E21" i="6"/>
  <c r="E14" i="6"/>
  <c r="E19" i="6"/>
  <c r="E8" i="6"/>
  <c r="E6" i="6"/>
  <c r="E7" i="6"/>
  <c r="E20" i="6"/>
  <c r="E10" i="6"/>
  <c r="E18" i="6"/>
  <c r="E22" i="6"/>
  <c r="E11" i="6"/>
  <c r="E15" i="6"/>
  <c r="E13" i="6"/>
  <c r="E16" i="6"/>
  <c r="E17" i="6"/>
  <c r="S2" i="6" l="1"/>
  <c r="S8" i="6" s="1"/>
  <c r="Y2" i="6"/>
  <c r="F17" i="6"/>
  <c r="F12" i="6"/>
  <c r="J7" i="6"/>
  <c r="F22" i="6"/>
  <c r="F20" i="6"/>
  <c r="F14" i="6"/>
  <c r="F15" i="6"/>
  <c r="F10" i="6"/>
  <c r="F16" i="6"/>
  <c r="J6" i="6"/>
  <c r="F19" i="6"/>
  <c r="V8" i="6"/>
  <c r="F9" i="6"/>
  <c r="F7" i="6"/>
  <c r="F6" i="6"/>
  <c r="F18" i="6"/>
  <c r="F13" i="6"/>
  <c r="F8" i="6"/>
  <c r="F21" i="6"/>
  <c r="F11"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6" i="73"/>
  <c r="G10" i="73"/>
  <c r="G13" i="73"/>
  <c r="G7" i="73"/>
  <c r="G14" i="73"/>
  <c r="G16" i="73"/>
  <c r="G11" i="73"/>
  <c r="G4" i="73"/>
  <c r="D9" i="67"/>
  <c r="G8" i="73"/>
  <c r="G12" i="73"/>
  <c r="G15" i="73"/>
  <c r="G17" i="73"/>
  <c r="G9" i="73"/>
  <c r="G5" i="73"/>
  <c r="G18" i="73"/>
  <c r="D3" i="73"/>
  <c r="D3" i="72"/>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G12" i="72"/>
  <c r="G9" i="72"/>
  <c r="K17" i="73"/>
  <c r="G11" i="72"/>
  <c r="K9" i="73"/>
  <c r="K14" i="73"/>
  <c r="K6" i="73"/>
  <c r="G10" i="72"/>
  <c r="K7" i="73"/>
  <c r="G6" i="72"/>
  <c r="G7" i="72"/>
  <c r="K13" i="73"/>
  <c r="G16" i="72"/>
  <c r="K4" i="73"/>
  <c r="G18" i="72"/>
  <c r="K16" i="73"/>
  <c r="G8" i="72"/>
  <c r="G17" i="72"/>
  <c r="K18" i="73"/>
  <c r="G4" i="72"/>
  <c r="K11" i="73"/>
  <c r="K10" i="73"/>
  <c r="K8" i="73"/>
  <c r="G14" i="72"/>
  <c r="K12" i="73"/>
  <c r="K15" i="73"/>
  <c r="G5" i="72"/>
  <c r="G15" i="72"/>
  <c r="K5" i="73"/>
  <c r="G13" i="72"/>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K8" i="72"/>
  <c r="H17" i="73"/>
  <c r="K17" i="72"/>
  <c r="G4" i="71"/>
  <c r="K6" i="72"/>
  <c r="H12" i="73"/>
  <c r="K18" i="72"/>
  <c r="H6" i="73"/>
  <c r="H18" i="73"/>
  <c r="G7" i="71"/>
  <c r="K15" i="72"/>
  <c r="G12" i="71"/>
  <c r="K4" i="72"/>
  <c r="K13" i="72"/>
  <c r="H8" i="73"/>
  <c r="H4" i="73"/>
  <c r="H7" i="73"/>
  <c r="H13" i="73"/>
  <c r="G13" i="71"/>
  <c r="K16" i="72"/>
  <c r="K14" i="72"/>
  <c r="H15" i="73"/>
  <c r="H9" i="73"/>
  <c r="K7" i="72"/>
  <c r="G8" i="71"/>
  <c r="K12" i="72"/>
  <c r="K5" i="72"/>
  <c r="H5" i="73"/>
  <c r="K9" i="72"/>
  <c r="G10" i="71"/>
  <c r="G18" i="71"/>
  <c r="G16" i="71"/>
  <c r="H14" i="73"/>
  <c r="K11" i="72"/>
  <c r="G5" i="71"/>
  <c r="G6" i="71"/>
  <c r="G15" i="71"/>
  <c r="G9" i="71"/>
  <c r="G11" i="71"/>
  <c r="H10" i="73"/>
  <c r="H16" i="73"/>
  <c r="H11" i="73"/>
  <c r="K10" i="72"/>
  <c r="G17" i="71"/>
  <c r="G14" i="71"/>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14" i="73"/>
  <c r="L6" i="73"/>
  <c r="L9" i="73"/>
  <c r="L7" i="73"/>
  <c r="L10" i="73"/>
  <c r="L16" i="73"/>
  <c r="L11" i="73"/>
  <c r="L12" i="73"/>
  <c r="L8" i="73"/>
  <c r="L17" i="73"/>
  <c r="L18" i="73"/>
  <c r="L15" i="73"/>
  <c r="L13" i="73"/>
  <c r="L5" i="73"/>
  <c r="L4" i="73"/>
  <c r="K5" i="71"/>
  <c r="H7" i="72"/>
  <c r="K13" i="71"/>
  <c r="G18" i="70"/>
  <c r="H6" i="72"/>
  <c r="G4" i="70"/>
  <c r="G13" i="70"/>
  <c r="N5" i="73"/>
  <c r="N9" i="73"/>
  <c r="N14" i="73"/>
  <c r="G10" i="70"/>
  <c r="N18" i="73"/>
  <c r="N8" i="73"/>
  <c r="K12" i="71"/>
  <c r="K17" i="71"/>
  <c r="G9" i="70"/>
  <c r="K16" i="71"/>
  <c r="K4" i="71"/>
  <c r="K9" i="71"/>
  <c r="G14" i="70"/>
  <c r="K14" i="71"/>
  <c r="H16" i="72"/>
  <c r="H10" i="72"/>
  <c r="G15" i="70"/>
  <c r="H9" i="72"/>
  <c r="H5" i="72"/>
  <c r="G6" i="70"/>
  <c r="H17" i="72"/>
  <c r="N4" i="73"/>
  <c r="G17" i="70"/>
  <c r="N16" i="73"/>
  <c r="K11" i="71"/>
  <c r="N12" i="73"/>
  <c r="G7" i="70"/>
  <c r="G12" i="70"/>
  <c r="K18" i="71"/>
  <c r="N6" i="73"/>
  <c r="H18" i="72"/>
  <c r="N13" i="73"/>
  <c r="H4" i="72"/>
  <c r="N15" i="73"/>
  <c r="K15" i="71"/>
  <c r="H8" i="72"/>
  <c r="K8" i="71"/>
  <c r="K6" i="71"/>
  <c r="H13" i="72"/>
  <c r="G16" i="70"/>
  <c r="G5" i="70"/>
  <c r="N7" i="73"/>
  <c r="N17" i="73"/>
  <c r="N11" i="73"/>
  <c r="N10" i="73"/>
  <c r="H14" i="72"/>
  <c r="K10" i="71"/>
  <c r="G11" i="70"/>
  <c r="H12" i="72"/>
  <c r="K7" i="71"/>
  <c r="G8" i="70"/>
  <c r="H15" i="72"/>
  <c r="H11" i="72"/>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14" i="72"/>
  <c r="L11" i="72"/>
  <c r="L15" i="72"/>
  <c r="L12" i="72"/>
  <c r="L18" i="72"/>
  <c r="L5" i="72"/>
  <c r="L4" i="72"/>
  <c r="L10" i="72"/>
  <c r="L7" i="72"/>
  <c r="L13" i="72"/>
  <c r="L6" i="72"/>
  <c r="L9" i="72"/>
  <c r="L16" i="72"/>
  <c r="L8" i="72"/>
  <c r="L17" i="72"/>
  <c r="K18" i="70"/>
  <c r="K10" i="70"/>
  <c r="K12" i="70"/>
  <c r="G4" i="69"/>
  <c r="G17" i="69"/>
  <c r="N16" i="70"/>
  <c r="K7" i="70"/>
  <c r="K14" i="70"/>
  <c r="K4" i="70"/>
  <c r="H12" i="71"/>
  <c r="H6" i="71"/>
  <c r="G15" i="69"/>
  <c r="G6" i="69"/>
  <c r="N10" i="70"/>
  <c r="N15" i="72"/>
  <c r="H15" i="71"/>
  <c r="G16" i="69"/>
  <c r="H17" i="71"/>
  <c r="G5" i="69"/>
  <c r="G10" i="69"/>
  <c r="K6" i="70"/>
  <c r="N14" i="70"/>
  <c r="N11" i="70"/>
  <c r="G8" i="69"/>
  <c r="N12" i="72"/>
  <c r="G12" i="69"/>
  <c r="H8" i="71"/>
  <c r="N16" i="72"/>
  <c r="K16" i="70"/>
  <c r="H13" i="71"/>
  <c r="G11" i="69"/>
  <c r="H11" i="71"/>
  <c r="G7" i="69"/>
  <c r="N13" i="70"/>
  <c r="N11" i="72"/>
  <c r="K11" i="70"/>
  <c r="N7" i="72"/>
  <c r="N4" i="72"/>
  <c r="H18" i="71"/>
  <c r="G18" i="69"/>
  <c r="H16" i="71"/>
  <c r="H14" i="71"/>
  <c r="N18" i="72"/>
  <c r="H10" i="71"/>
  <c r="N5" i="72"/>
  <c r="H5" i="71"/>
  <c r="K17" i="70"/>
  <c r="H7" i="71"/>
  <c r="G9" i="69"/>
  <c r="N6" i="70"/>
  <c r="K9" i="70"/>
  <c r="H4" i="71"/>
  <c r="G13" i="69"/>
  <c r="H9" i="71"/>
  <c r="K15" i="70"/>
  <c r="N15" i="70"/>
  <c r="N8" i="72"/>
  <c r="K5" i="70"/>
  <c r="N17" i="70"/>
  <c r="N14" i="72"/>
  <c r="N6" i="72"/>
  <c r="N13" i="72"/>
  <c r="N10" i="72"/>
  <c r="N17" i="72"/>
  <c r="K8" i="70"/>
  <c r="N9" i="72"/>
  <c r="K13" i="70"/>
  <c r="G14" i="69"/>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3" i="70"/>
  <c r="O13" i="70" s="1"/>
  <c r="M17" i="70"/>
  <c r="O17" i="70" s="1"/>
  <c r="M6" i="70"/>
  <c r="O6" i="70" s="1"/>
  <c r="M10" i="70"/>
  <c r="O10" i="70" s="1"/>
  <c r="L9" i="71"/>
  <c r="L13" i="71"/>
  <c r="L16" i="71"/>
  <c r="L12" i="71"/>
  <c r="L6" i="71"/>
  <c r="L8" i="71"/>
  <c r="L11" i="71"/>
  <c r="L17" i="71"/>
  <c r="L18" i="71"/>
  <c r="L15" i="71"/>
  <c r="L5" i="71"/>
  <c r="L4" i="71"/>
  <c r="L10" i="71"/>
  <c r="L14" i="71"/>
  <c r="L7" i="71"/>
  <c r="N16" i="71"/>
  <c r="K8" i="69"/>
  <c r="N5" i="71"/>
  <c r="K11" i="69"/>
  <c r="N15" i="71"/>
  <c r="N4" i="71"/>
  <c r="N13" i="71"/>
  <c r="K14" i="69"/>
  <c r="K9" i="69"/>
  <c r="N10" i="71"/>
  <c r="K4" i="69"/>
  <c r="H4" i="70"/>
  <c r="K7" i="69"/>
  <c r="K13" i="69"/>
  <c r="N11" i="71"/>
  <c r="K17" i="69"/>
  <c r="N6" i="71"/>
  <c r="K18" i="69"/>
  <c r="N12" i="71"/>
  <c r="N8" i="71"/>
  <c r="N17" i="71"/>
  <c r="H7" i="70"/>
  <c r="H12" i="70"/>
  <c r="K15" i="69"/>
  <c r="N7" i="71"/>
  <c r="N9" i="71"/>
  <c r="N18" i="71"/>
  <c r="H8" i="70"/>
  <c r="K10" i="69"/>
  <c r="H18" i="70"/>
  <c r="K12" i="69"/>
  <c r="N14" i="71"/>
  <c r="K16" i="69"/>
  <c r="K6" i="69"/>
  <c r="H9" i="70"/>
  <c r="H5" i="70"/>
  <c r="K5" i="69"/>
  <c r="M18" i="71" l="1"/>
  <c r="O18" i="71" s="1"/>
  <c r="M9" i="7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12" i="70"/>
  <c r="L8" i="70"/>
  <c r="L7" i="70"/>
  <c r="L18" i="70"/>
  <c r="L9" i="70"/>
  <c r="L4" i="70"/>
  <c r="L5" i="70"/>
  <c r="H16" i="69"/>
  <c r="N4" i="70"/>
  <c r="H9" i="69"/>
  <c r="H6" i="69"/>
  <c r="H7" i="69"/>
  <c r="N9" i="70"/>
  <c r="N18" i="70"/>
  <c r="H5" i="69"/>
  <c r="H11" i="69"/>
  <c r="N5" i="70"/>
  <c r="N12" i="70"/>
  <c r="N7" i="70"/>
  <c r="H10" i="69"/>
  <c r="H18" i="69"/>
  <c r="H14" i="69"/>
  <c r="H13" i="69"/>
  <c r="N8" i="70"/>
  <c r="H15" i="69"/>
  <c r="H8" i="69"/>
  <c r="H12" i="69"/>
  <c r="H17" i="69"/>
  <c r="H4" i="69"/>
  <c r="M7" i="70" l="1"/>
  <c r="O7" i="70" s="1"/>
  <c r="M9" i="70"/>
  <c r="O9" i="70" s="1"/>
  <c r="M5" i="70"/>
  <c r="O5" i="70" s="1"/>
  <c r="M8" i="70"/>
  <c r="O8" i="70" s="1"/>
  <c r="M18" i="70"/>
  <c r="O18" i="70" s="1"/>
  <c r="M4" i="70"/>
  <c r="O4" i="70" s="1"/>
  <c r="M12" i="70"/>
  <c r="O12" i="70" s="1"/>
  <c r="M2" i="71"/>
  <c r="L15" i="69"/>
  <c r="L13" i="69"/>
  <c r="L12" i="69"/>
  <c r="L17" i="69"/>
  <c r="L11" i="69"/>
  <c r="L4" i="69"/>
  <c r="L7" i="69"/>
  <c r="L10" i="69"/>
  <c r="L16" i="69"/>
  <c r="L14" i="69"/>
  <c r="L9" i="69"/>
  <c r="L8" i="69"/>
  <c r="L6" i="69"/>
  <c r="L18" i="69"/>
  <c r="L5" i="69"/>
  <c r="N12" i="69"/>
  <c r="N5" i="69"/>
  <c r="N4" i="69"/>
  <c r="N9" i="69"/>
  <c r="N6" i="69"/>
  <c r="N10" i="69"/>
  <c r="N11" i="69"/>
  <c r="N15" i="69"/>
  <c r="N8" i="69"/>
  <c r="N13" i="69"/>
  <c r="N14" i="69"/>
  <c r="N18" i="69"/>
  <c r="N16" i="69"/>
  <c r="N7" i="69"/>
  <c r="N17"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V5" i="21"/>
  <c r="J6" i="21"/>
  <c r="J7" i="21"/>
  <c r="J8" i="21"/>
  <c r="J9" i="21"/>
  <c r="J10" i="21"/>
  <c r="J11" i="21"/>
  <c r="J12" i="21"/>
  <c r="J13" i="21"/>
  <c r="J14" i="21"/>
  <c r="J15" i="21"/>
  <c r="J16" i="21"/>
  <c r="J17" i="21"/>
  <c r="J18" i="21"/>
  <c r="J19" i="21"/>
  <c r="J20" i="21"/>
  <c r="J21" i="21"/>
  <c r="J22" i="21"/>
  <c r="L5" i="22"/>
  <c r="R5" i="22"/>
  <c r="M4" i="22"/>
  <c r="J4" i="21"/>
  <c r="Z5" i="22" l="1"/>
  <c r="L6" i="22"/>
  <c r="R6" i="22"/>
  <c r="Z6" i="22" l="1"/>
  <c r="L7" i="22"/>
  <c r="R7" i="22"/>
  <c r="Z7" i="22" l="1"/>
  <c r="L8" i="22"/>
  <c r="R8" i="22"/>
  <c r="Z8" i="22" l="1"/>
  <c r="L9" i="22"/>
  <c r="R9" i="22"/>
  <c r="Z9" i="22" l="1"/>
  <c r="L10" i="22"/>
  <c r="L11" i="22"/>
  <c r="R11" i="22"/>
  <c r="R10" i="22"/>
  <c r="Z10" i="22" l="1"/>
  <c r="Z11" i="22"/>
  <c r="L12" i="22"/>
  <c r="R12" i="22"/>
  <c r="Z12" i="22" l="1"/>
  <c r="L13" i="22"/>
  <c r="L14" i="22"/>
  <c r="R14" i="22"/>
  <c r="R13" i="22"/>
  <c r="Z13" i="22" l="1"/>
  <c r="Z14" i="22"/>
  <c r="K15" i="22"/>
  <c r="L15" i="22" s="1"/>
  <c r="R15" i="22"/>
  <c r="Z15" i="22" l="1"/>
  <c r="K16" i="22"/>
  <c r="L16" i="22" s="1"/>
  <c r="R16" i="22"/>
  <c r="Z16" i="22" l="1"/>
  <c r="K17" i="22"/>
  <c r="L17" i="22" s="1"/>
  <c r="R17" i="22"/>
  <c r="Z17" i="22" l="1"/>
  <c r="K18" i="22"/>
  <c r="L18" i="22" s="1"/>
  <c r="R18" i="22"/>
  <c r="Z18" i="22" l="1"/>
  <c r="K19" i="22"/>
  <c r="L19" i="22" s="1"/>
  <c r="R19" i="22"/>
  <c r="Z19" i="22" l="1"/>
  <c r="K20" i="22"/>
  <c r="L20" i="22" s="1"/>
  <c r="R20" i="22"/>
  <c r="Z20" i="22" l="1"/>
  <c r="K21" i="22"/>
  <c r="L21" i="22" s="1"/>
  <c r="R21" i="22"/>
  <c r="Z21" i="22" l="1"/>
  <c r="K22" i="22"/>
  <c r="L22" i="22" s="1"/>
  <c r="R22" i="22"/>
  <c r="Z22" i="22" l="1"/>
  <c r="K23" i="22"/>
  <c r="L23" i="22" s="1"/>
  <c r="R23" i="22"/>
  <c r="Z23" i="22" l="1"/>
  <c r="K24" i="22"/>
  <c r="L24" i="22" s="1"/>
  <c r="R24" i="22"/>
  <c r="Z24" i="22" l="1"/>
  <c r="K25" i="22"/>
  <c r="L25" i="22" s="1"/>
  <c r="R25" i="22"/>
  <c r="Z25" i="22" l="1"/>
  <c r="K26" i="22"/>
  <c r="L26" i="22" s="1"/>
  <c r="R26" i="22"/>
  <c r="Z26" i="22" l="1"/>
  <c r="K27" i="22"/>
  <c r="L27" i="22" s="1"/>
  <c r="R27" i="22"/>
  <c r="Z27" i="22" l="1"/>
  <c r="K28" i="22"/>
  <c r="L28" i="22" s="1"/>
  <c r="R28" i="22"/>
  <c r="Z28" i="22" l="1"/>
  <c r="K29" i="22"/>
  <c r="L29" i="22" s="1"/>
  <c r="R29" i="22"/>
  <c r="Z29" i="22" l="1"/>
  <c r="K30" i="22"/>
  <c r="L30" i="22" s="1"/>
  <c r="R30" i="22"/>
  <c r="Z30" i="22" l="1"/>
  <c r="K31" i="22"/>
  <c r="L31" i="22" s="1"/>
  <c r="R31" i="22"/>
  <c r="Z31" i="22" l="1"/>
  <c r="K32" i="22"/>
  <c r="L32" i="22" s="1"/>
  <c r="R32" i="22"/>
  <c r="Z32" i="22" l="1"/>
  <c r="K33" i="22"/>
  <c r="L33" i="22" s="1"/>
  <c r="R33" i="22"/>
  <c r="M5" i="22" l="1" a="1"/>
  <c r="Z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N6" i="23"/>
  <c r="U6" i="23"/>
  <c r="AF6" i="23" l="1"/>
  <c r="N7" i="23"/>
  <c r="U7" i="23"/>
  <c r="AF7" i="23" l="1"/>
  <c r="N8" i="23"/>
  <c r="U8" i="23"/>
  <c r="AF8" i="23" l="1"/>
  <c r="N9" i="23"/>
  <c r="U9" i="23"/>
  <c r="AF9" i="23" l="1"/>
  <c r="N10" i="23"/>
  <c r="U10" i="23"/>
  <c r="AF10" i="23" l="1"/>
  <c r="N11" i="23"/>
  <c r="N12" i="23"/>
  <c r="N13" i="23"/>
  <c r="N14" i="23"/>
  <c r="N15" i="23"/>
  <c r="N16" i="23"/>
  <c r="N17" i="23"/>
  <c r="U15" i="23"/>
  <c r="U14" i="23"/>
  <c r="U12" i="23"/>
  <c r="U11" i="23"/>
  <c r="U13" i="23"/>
  <c r="U16" i="23"/>
  <c r="U17" i="23"/>
  <c r="AF15" i="23" l="1"/>
  <c r="AF14" i="23"/>
  <c r="AF12" i="23"/>
  <c r="AF11" i="23"/>
  <c r="AF16" i="23"/>
  <c r="AF13" i="23"/>
  <c r="AF17" i="23"/>
  <c r="N7" i="24" a="1"/>
  <c r="O6" i="24"/>
  <c r="N7" i="24" l="1"/>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26" i="24"/>
  <c r="U27" i="24"/>
  <c r="U48" i="24"/>
  <c r="U40" i="24"/>
  <c r="U36" i="24"/>
  <c r="U46" i="24"/>
  <c r="U23" i="24"/>
  <c r="U21" i="24"/>
  <c r="U37" i="24"/>
  <c r="U28" i="24"/>
  <c r="U43" i="24"/>
  <c r="U45" i="24"/>
  <c r="U30" i="24"/>
  <c r="U35" i="24"/>
  <c r="U32" i="24"/>
  <c r="U38" i="24"/>
  <c r="U22" i="24"/>
  <c r="U17" i="24"/>
  <c r="U33" i="24"/>
  <c r="U19" i="24"/>
  <c r="U31" i="24"/>
  <c r="U44" i="24"/>
  <c r="U13" i="24"/>
  <c r="U16" i="24"/>
  <c r="U39" i="24"/>
  <c r="U24" i="24"/>
  <c r="U29" i="24"/>
  <c r="U42" i="24"/>
  <c r="U20" i="24"/>
  <c r="U15" i="24"/>
  <c r="U34" i="24"/>
  <c r="U47" i="24"/>
  <c r="U25" i="24"/>
  <c r="U12" i="24"/>
  <c r="U14" i="24"/>
  <c r="U41" i="24"/>
  <c r="U18"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5" i="25"/>
  <c r="O6" i="25" l="1" a="1"/>
  <c r="O6" i="25" s="1"/>
  <c r="AC6" i="25"/>
  <c r="AC7" i="25"/>
  <c r="AC8" i="25"/>
  <c r="U8" i="25"/>
  <c r="U9" i="25"/>
  <c r="U6" i="25"/>
  <c r="U7" i="25"/>
  <c r="N6" i="25" a="1"/>
  <c r="N8" i="25" l="1"/>
  <c r="N6" i="25"/>
  <c r="N7" i="25"/>
  <c r="N9" i="25"/>
  <c r="O9" i="25"/>
  <c r="O7" i="25"/>
  <c r="O8" i="25"/>
  <c r="AC9" i="25" l="1"/>
  <c r="H5" i="26"/>
  <c r="N5" i="29"/>
  <c r="N6" i="29"/>
  <c r="T5" i="29"/>
  <c r="T6" i="29"/>
  <c r="O4" i="29"/>
  <c r="H4" i="26"/>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O5" i="29" l="1"/>
  <c r="O6" i="29"/>
  <c r="O7" i="29"/>
  <c r="O8" i="29"/>
  <c r="O9" i="29"/>
  <c r="O10" i="29"/>
  <c r="O11" i="29"/>
  <c r="O12" i="29"/>
  <c r="O13" i="29"/>
  <c r="O14" i="29"/>
  <c r="AB15" i="29" l="1"/>
  <c r="N5" i="30"/>
  <c r="T5" i="30"/>
  <c r="O4" i="30"/>
  <c r="AB5" i="30" l="1"/>
  <c r="N6" i="30"/>
  <c r="T6" i="30"/>
  <c r="AB6" i="30" l="1"/>
  <c r="N7" i="30"/>
  <c r="T7" i="30"/>
  <c r="AB7" i="30" l="1"/>
  <c r="N8" i="30"/>
  <c r="T8" i="30"/>
  <c r="AB8" i="30" l="1"/>
  <c r="N9" i="30"/>
  <c r="T9" i="30"/>
  <c r="AB9" i="30" l="1"/>
  <c r="N10" i="30"/>
  <c r="T10" i="30"/>
  <c r="AB10" i="30" l="1"/>
  <c r="N11" i="30"/>
  <c r="O5" i="30" s="1" a="1"/>
  <c r="O11" i="30" s="1"/>
  <c r="T11" i="30"/>
  <c r="O5" i="30" l="1"/>
  <c r="O6" i="30"/>
  <c r="O7" i="30"/>
  <c r="O8" i="30"/>
  <c r="O9" i="30"/>
  <c r="O10" i="30"/>
  <c r="AB11" i="30" l="1"/>
  <c r="P5" i="31" a="1"/>
  <c r="P5" i="31" s="1"/>
  <c r="Q5" i="31" a="1"/>
  <c r="Q5" i="31" s="1"/>
  <c r="X5" i="31"/>
  <c r="S4" i="31"/>
  <c r="R5" i="31" l="1"/>
  <c r="AJ5" i="31"/>
  <c r="P6" i="31"/>
  <c r="Q6" i="31"/>
  <c r="X6" i="31"/>
  <c r="R6" i="31" l="1"/>
  <c r="AJ6" i="31"/>
  <c r="P7" i="31"/>
  <c r="Q7" i="31"/>
  <c r="X7" i="31"/>
  <c r="R7" i="31" l="1"/>
  <c r="AJ7" i="31"/>
  <c r="P8" i="31"/>
  <c r="Q8" i="31"/>
  <c r="X8" i="31"/>
  <c r="R8" i="31" l="1"/>
  <c r="AJ8" i="31"/>
  <c r="P9" i="31"/>
  <c r="Q9" i="31"/>
  <c r="X9" i="31"/>
  <c r="R9" i="31" l="1"/>
  <c r="AJ9" i="31"/>
  <c r="P10" i="31"/>
  <c r="Q10" i="31"/>
  <c r="X10" i="31"/>
  <c r="R10" i="31" l="1"/>
  <c r="AJ10" i="31"/>
  <c r="P11" i="31"/>
  <c r="Q11" i="31"/>
  <c r="P12" i="31"/>
  <c r="Q12" i="31"/>
  <c r="X12" i="31"/>
  <c r="X11" i="31"/>
  <c r="AJ11" i="31" l="1"/>
  <c r="R11" i="31"/>
  <c r="R12" i="31"/>
  <c r="AJ12" i="31"/>
  <c r="P13" i="31"/>
  <c r="Q13" i="31"/>
  <c r="X13" i="31"/>
  <c r="R13" i="31" l="1"/>
  <c r="AJ13" i="31"/>
  <c r="P14" i="31"/>
  <c r="Q14" i="31"/>
  <c r="X14" i="31"/>
  <c r="R14" i="31" l="1"/>
  <c r="AJ14" i="31"/>
  <c r="P15" i="31"/>
  <c r="Q15" i="31"/>
  <c r="X15" i="31"/>
  <c r="R15" i="31" l="1"/>
  <c r="AJ15" i="31"/>
  <c r="P16" i="31"/>
  <c r="Q16" i="31"/>
  <c r="P17" i="31"/>
  <c r="Q17" i="31"/>
  <c r="X16" i="31"/>
  <c r="X17" i="31"/>
  <c r="R16" i="31" l="1"/>
  <c r="R17" i="31"/>
  <c r="AJ16" i="31"/>
  <c r="AJ17" i="31"/>
  <c r="P18" i="31"/>
  <c r="Q18" i="31"/>
  <c r="P19" i="31"/>
  <c r="Q19" i="31"/>
  <c r="X19" i="31"/>
  <c r="X18" i="31"/>
  <c r="R18" i="31" l="1"/>
  <c r="R19" i="31"/>
  <c r="AJ18" i="31"/>
  <c r="AJ19" i="31"/>
  <c r="P20" i="31"/>
  <c r="Q20" i="31"/>
  <c r="P21" i="31"/>
  <c r="Q21" i="31"/>
  <c r="X20" i="31"/>
  <c r="X21" i="31"/>
  <c r="R20" i="31" l="1"/>
  <c r="R21" i="31"/>
  <c r="AJ20" i="31"/>
  <c r="AJ21" i="31"/>
  <c r="P22" i="31"/>
  <c r="Q22" i="31"/>
  <c r="X22" i="31"/>
  <c r="R22" i="31" l="1"/>
  <c r="AJ22" i="31"/>
  <c r="P23" i="31"/>
  <c r="Q23" i="31"/>
  <c r="X23" i="31"/>
  <c r="R23" i="31" l="1"/>
  <c r="AJ23" i="31"/>
  <c r="P24" i="31"/>
  <c r="Q24" i="31"/>
  <c r="X24" i="31"/>
  <c r="R24" i="31" l="1"/>
  <c r="AJ24" i="31"/>
  <c r="P25" i="31"/>
  <c r="Q25" i="31"/>
  <c r="P26" i="31"/>
  <c r="Q26" i="31"/>
  <c r="X26" i="31"/>
  <c r="X25" i="31"/>
  <c r="R25" i="31" l="1"/>
  <c r="R26" i="31"/>
  <c r="AJ25" i="31"/>
  <c r="AJ26" i="31"/>
  <c r="P27" i="31"/>
  <c r="Q27" i="31"/>
  <c r="X27" i="31"/>
  <c r="R27" i="31" l="1"/>
  <c r="AJ27" i="31"/>
  <c r="P28" i="31"/>
  <c r="Q28" i="31"/>
  <c r="P29" i="31"/>
  <c r="Q29" i="31"/>
  <c r="X29" i="31"/>
  <c r="X28" i="31"/>
  <c r="AJ28" i="31" l="1"/>
  <c r="R28" i="31"/>
  <c r="R29" i="31"/>
  <c r="AJ29" i="31"/>
  <c r="P30" i="31"/>
  <c r="Q30" i="31"/>
  <c r="P31" i="31"/>
  <c r="Q31" i="31"/>
  <c r="X31" i="31"/>
  <c r="X30" i="31"/>
  <c r="R31" i="31" l="1"/>
  <c r="AJ30" i="31"/>
  <c r="R30" i="31"/>
  <c r="AJ31" i="31"/>
  <c r="P32" i="31"/>
  <c r="Q32" i="31"/>
  <c r="P33" i="31"/>
  <c r="Q33" i="31"/>
  <c r="X33" i="31"/>
  <c r="X32" i="31"/>
  <c r="R33" i="31" l="1"/>
  <c r="AJ32" i="31"/>
  <c r="R32" i="31"/>
  <c r="AJ33" i="31"/>
  <c r="P34" i="31"/>
  <c r="Q34" i="31"/>
  <c r="X34" i="31"/>
  <c r="R34" i="31" l="1"/>
  <c r="AJ34" i="31"/>
  <c r="P35" i="31"/>
  <c r="Q35" i="31"/>
  <c r="X35" i="31"/>
  <c r="R35" i="31" l="1"/>
  <c r="AJ35" i="31"/>
  <c r="P36" i="31"/>
  <c r="Q36" i="31"/>
  <c r="P37" i="31"/>
  <c r="Q37" i="31"/>
  <c r="X37" i="31"/>
  <c r="X36" i="31"/>
  <c r="R36" i="31" l="1"/>
  <c r="R37" i="31"/>
  <c r="AJ36" i="31"/>
  <c r="AJ37" i="31"/>
  <c r="P38" i="31"/>
  <c r="Q38" i="31"/>
  <c r="X38" i="31"/>
  <c r="R38" i="31" l="1"/>
  <c r="AJ38" i="31"/>
  <c r="P39" i="31"/>
  <c r="Q39" i="31"/>
  <c r="X39" i="31"/>
  <c r="R39" i="31" l="1"/>
  <c r="AJ39" i="31"/>
  <c r="P40" i="31"/>
  <c r="Q40" i="31"/>
  <c r="X40" i="31"/>
  <c r="R40" i="31" l="1"/>
  <c r="AJ40" i="31"/>
  <c r="P41" i="31"/>
  <c r="Q41" i="31"/>
  <c r="P42" i="31"/>
  <c r="Q42" i="31"/>
  <c r="X42" i="31"/>
  <c r="X41" i="31"/>
  <c r="R41" i="31" l="1"/>
  <c r="R42" i="31"/>
  <c r="S5" i="31" s="1" a="1"/>
  <c r="S42" i="31" s="1"/>
  <c r="AJ41" i="31"/>
  <c r="AJ42" i="31"/>
  <c r="S4" i="32"/>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P5" i="32" a="1"/>
  <c r="P5" i="32" s="1"/>
  <c r="Q5" i="32" a="1"/>
  <c r="Q5" i="32" s="1"/>
  <c r="X5" i="32"/>
  <c r="L5" i="26" l="1"/>
  <c r="R5" i="32"/>
  <c r="AJ5" i="32"/>
  <c r="P6" i="32"/>
  <c r="Q6" i="32"/>
  <c r="X6" i="32"/>
  <c r="R6" i="32" l="1"/>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3" i="32"/>
  <c r="X12"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3" i="32"/>
  <c r="X24" i="32"/>
  <c r="R23" i="32" l="1"/>
  <c r="R24" i="32"/>
  <c r="AJ23" i="32"/>
  <c r="AJ24" i="32"/>
  <c r="P25" i="32"/>
  <c r="Q25" i="32"/>
  <c r="R25" i="32"/>
  <c r="X25" i="32"/>
  <c r="AJ25" i="32" l="1"/>
  <c r="P26" i="32"/>
  <c r="Q26" i="32"/>
  <c r="P27" i="32"/>
  <c r="Q27" i="32"/>
  <c r="X27" i="32"/>
  <c r="X26"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P5" i="17" a="1"/>
  <c r="P5" i="17" s="1"/>
  <c r="Q5" i="17" a="1"/>
  <c r="Q5" i="17" s="1"/>
  <c r="V5" i="17"/>
  <c r="R5" i="17" l="1"/>
  <c r="W5" i="17"/>
  <c r="P6" i="17"/>
  <c r="Q6" i="17"/>
  <c r="V6" i="17"/>
  <c r="R6" i="17" l="1"/>
  <c r="W6" i="17"/>
  <c r="P7" i="17"/>
  <c r="Q7" i="17"/>
  <c r="R7" i="17"/>
  <c r="V7" i="17"/>
  <c r="W7" i="17" l="1"/>
  <c r="P8" i="17"/>
  <c r="Q8" i="17"/>
  <c r="R8" i="17"/>
  <c r="V8" i="17"/>
  <c r="W8" i="17" l="1"/>
  <c r="P9" i="17"/>
  <c r="Q9" i="17"/>
  <c r="R9" i="17"/>
  <c r="V9" i="17"/>
  <c r="W9" i="17" l="1"/>
  <c r="P10" i="17"/>
  <c r="Q10" i="17"/>
  <c r="V10" i="17"/>
  <c r="R10" i="17" l="1"/>
  <c r="W10" i="17"/>
  <c r="P11" i="17"/>
  <c r="Q11" i="17"/>
  <c r="V11" i="17"/>
  <c r="R11" i="17" l="1"/>
  <c r="W11" i="17"/>
  <c r="P12" i="17"/>
  <c r="Q12" i="17"/>
  <c r="R12" i="17"/>
  <c r="V12" i="17"/>
  <c r="W12" i="17" l="1"/>
  <c r="P13" i="17"/>
  <c r="Q13" i="17"/>
  <c r="V13" i="17"/>
  <c r="R13" i="17" l="1"/>
  <c r="W13" i="17"/>
  <c r="P14" i="17"/>
  <c r="Q14" i="17"/>
  <c r="V14" i="17"/>
  <c r="R14" i="17" l="1"/>
  <c r="W14" i="17"/>
  <c r="P15" i="17"/>
  <c r="Q15" i="17"/>
  <c r="V15" i="17"/>
  <c r="R15" i="17" l="1"/>
  <c r="W15" i="17"/>
  <c r="P16" i="17"/>
  <c r="Q16" i="17"/>
  <c r="V16" i="17"/>
  <c r="R16" i="17" l="1"/>
  <c r="W16" i="17"/>
  <c r="P17" i="17"/>
  <c r="Q17" i="17"/>
  <c r="V17" i="17"/>
  <c r="R17" i="17" l="1"/>
  <c r="W17" i="17"/>
  <c r="P18" i="17"/>
  <c r="Q18" i="17"/>
  <c r="V18" i="17"/>
  <c r="R18" i="17" l="1"/>
  <c r="W18" i="17"/>
  <c r="P19" i="17"/>
  <c r="Q19" i="17"/>
  <c r="V19" i="17"/>
  <c r="R19" i="17" l="1"/>
  <c r="W19" i="17"/>
  <c r="P20" i="17"/>
  <c r="Q20" i="17"/>
  <c r="V20" i="17"/>
  <c r="R20" i="17" l="1"/>
  <c r="W20" i="17"/>
  <c r="P21" i="17"/>
  <c r="Q21" i="17"/>
  <c r="R21" i="17"/>
  <c r="V21" i="17"/>
  <c r="W21" i="17" l="1"/>
  <c r="P22" i="17"/>
  <c r="Q22" i="17"/>
  <c r="R22" i="17"/>
  <c r="V22" i="17"/>
  <c r="W22" i="17" l="1"/>
  <c r="P23" i="17"/>
  <c r="Q23" i="17"/>
  <c r="V23" i="17"/>
  <c r="R23" i="17" l="1"/>
  <c r="W23" i="17"/>
  <c r="P24" i="17"/>
  <c r="Q24" i="17"/>
  <c r="V24" i="17"/>
  <c r="R24" i="17" l="1"/>
  <c r="W24" i="17"/>
  <c r="P25" i="17"/>
  <c r="Q25" i="17"/>
  <c r="V25" i="17"/>
  <c r="R25" i="17" l="1"/>
  <c r="W25" i="17"/>
  <c r="P26" i="17"/>
  <c r="Q26" i="17"/>
  <c r="V26" i="17"/>
  <c r="R26" i="17" l="1"/>
  <c r="W26" i="17"/>
  <c r="P27" i="17"/>
  <c r="Q27" i="17"/>
  <c r="R27" i="17"/>
  <c r="V27" i="17"/>
  <c r="W27" i="17" l="1"/>
  <c r="P28" i="17"/>
  <c r="Q28" i="17"/>
  <c r="V28" i="17"/>
  <c r="R28" i="17" l="1"/>
  <c r="W28" i="17"/>
  <c r="P29" i="17"/>
  <c r="Q29" i="17"/>
  <c r="V29" i="17"/>
  <c r="R29" i="17" l="1"/>
  <c r="W29" i="17"/>
  <c r="P30" i="17"/>
  <c r="Q30" i="17"/>
  <c r="R30" i="17"/>
  <c r="V30" i="17"/>
  <c r="W30" i="17" l="1"/>
  <c r="P31" i="17"/>
  <c r="Q31" i="17"/>
  <c r="R31" i="17"/>
  <c r="V31" i="17"/>
  <c r="W31" i="17" l="1"/>
  <c r="P32" i="17"/>
  <c r="Q32" i="17"/>
  <c r="V32" i="17"/>
  <c r="R32" i="17" l="1"/>
  <c r="W32" i="17"/>
  <c r="P33" i="17"/>
  <c r="Q33" i="17"/>
  <c r="V33" i="17"/>
  <c r="R33" i="17" l="1"/>
  <c r="W33" i="17"/>
  <c r="P34" i="17"/>
  <c r="Q34" i="17"/>
  <c r="V34" i="17"/>
  <c r="R34" i="17" l="1"/>
  <c r="W34" i="17"/>
  <c r="P35" i="17"/>
  <c r="Q35" i="17"/>
  <c r="R35" i="17"/>
  <c r="V35" i="17"/>
  <c r="W35" i="17" l="1"/>
  <c r="P36" i="17"/>
  <c r="Q36" i="17"/>
  <c r="R36" i="17"/>
  <c r="V36" i="17"/>
  <c r="W36" i="17" l="1"/>
  <c r="P37" i="17"/>
  <c r="Q37" i="17"/>
  <c r="V37" i="17"/>
  <c r="R37" i="17" l="1"/>
  <c r="W37" i="17"/>
  <c r="P38" i="17"/>
  <c r="Q38" i="17"/>
  <c r="V38" i="17"/>
  <c r="R38" i="17" l="1"/>
  <c r="W38" i="17"/>
  <c r="P39" i="17"/>
  <c r="Q39" i="17"/>
  <c r="R39" i="17"/>
  <c r="V39" i="17"/>
  <c r="W39" i="17" l="1"/>
  <c r="P40" i="17"/>
  <c r="Q40" i="17"/>
  <c r="V40" i="17"/>
  <c r="R40" i="17" l="1"/>
  <c r="W40" i="17"/>
  <c r="P41" i="17"/>
  <c r="Q41" i="17"/>
  <c r="V41" i="17"/>
  <c r="R41" i="17" l="1"/>
  <c r="W41" i="17"/>
  <c r="P42" i="17"/>
  <c r="Q42" i="17"/>
  <c r="V42" i="17"/>
  <c r="S4" i="18"/>
  <c r="R42" i="17" l="1"/>
  <c r="W42" i="17"/>
  <c r="S5" i="17" a="1"/>
  <c r="P5" i="18" a="1"/>
  <c r="P5" i="18" s="1"/>
  <c r="Q5" i="18" a="1"/>
  <c r="Q5" i="18" s="1"/>
  <c r="V5" i="18"/>
  <c r="R5" i="18" l="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I5" i="18"/>
  <c r="P6" i="18"/>
  <c r="Q6" i="18"/>
  <c r="V6" i="18"/>
  <c r="R6" i="18" l="1"/>
  <c r="W6" i="18"/>
  <c r="AI6" i="18"/>
  <c r="P7" i="18"/>
  <c r="Q7" i="18"/>
  <c r="V7" i="18"/>
  <c r="R7" i="18" l="1"/>
  <c r="W7" i="18"/>
  <c r="AI7" i="18"/>
  <c r="P8" i="18"/>
  <c r="Q8" i="18"/>
  <c r="V8" i="18"/>
  <c r="R8" i="18" l="1"/>
  <c r="W8" i="18"/>
  <c r="AI8" i="18"/>
  <c r="P9" i="18"/>
  <c r="Q9" i="18"/>
  <c r="R9" i="18"/>
  <c r="V9" i="18"/>
  <c r="W9" i="18" l="1"/>
  <c r="AI9" i="18"/>
  <c r="P10" i="18"/>
  <c r="Q10" i="18"/>
  <c r="V10" i="18"/>
  <c r="R10" i="18" l="1"/>
  <c r="W10" i="18"/>
  <c r="AI10" i="18"/>
  <c r="P11" i="18"/>
  <c r="Q11" i="18"/>
  <c r="V11" i="18"/>
  <c r="R11" i="18" l="1"/>
  <c r="W11" i="18"/>
  <c r="AI11" i="18"/>
  <c r="P12" i="18"/>
  <c r="Q12" i="18"/>
  <c r="R12" i="18"/>
  <c r="V12" i="18"/>
  <c r="W12" i="18" l="1"/>
  <c r="AI12" i="18"/>
  <c r="P13" i="18"/>
  <c r="Q13" i="18"/>
  <c r="R13" i="18"/>
  <c r="V13" i="18"/>
  <c r="W13" i="18" l="1"/>
  <c r="AI13" i="18"/>
  <c r="P14" i="18"/>
  <c r="Q14" i="18"/>
  <c r="R14" i="18"/>
  <c r="V14" i="18"/>
  <c r="W14" i="18" l="1"/>
  <c r="AI14" i="18"/>
  <c r="P15" i="18"/>
  <c r="Q15" i="18"/>
  <c r="R15" i="18"/>
  <c r="V15" i="18"/>
  <c r="W15" i="18" l="1"/>
  <c r="AI15" i="18"/>
  <c r="P16" i="18"/>
  <c r="Q16" i="18"/>
  <c r="R16" i="18"/>
  <c r="V16" i="18"/>
  <c r="W16" i="18" l="1"/>
  <c r="AI16" i="18"/>
  <c r="P17" i="18"/>
  <c r="Q17" i="18"/>
  <c r="R17" i="18"/>
  <c r="V17" i="18"/>
  <c r="W17" i="18" l="1"/>
  <c r="AI17" i="18"/>
  <c r="P18" i="18"/>
  <c r="Q18" i="18"/>
  <c r="V18" i="18"/>
  <c r="R18" i="18" l="1"/>
  <c r="W18" i="18"/>
  <c r="AI18" i="18"/>
  <c r="P19" i="18"/>
  <c r="Q19" i="18"/>
  <c r="V19" i="18"/>
  <c r="R19" i="18" l="1"/>
  <c r="W19" i="18"/>
  <c r="AI19" i="18"/>
  <c r="P20" i="18"/>
  <c r="Q20" i="18"/>
  <c r="V20" i="18"/>
  <c r="R20" i="18" l="1"/>
  <c r="W20" i="18"/>
  <c r="AI20" i="18"/>
  <c r="P21" i="18"/>
  <c r="Q21" i="18"/>
  <c r="R21" i="18"/>
  <c r="V21" i="18"/>
  <c r="W21" i="18" l="1"/>
  <c r="AI21" i="18"/>
  <c r="P22" i="18"/>
  <c r="Q22" i="18"/>
  <c r="V22" i="18"/>
  <c r="R22" i="18" l="1"/>
  <c r="W22" i="18"/>
  <c r="AI22" i="18"/>
  <c r="P23" i="18"/>
  <c r="Q23" i="18"/>
  <c r="V23" i="18"/>
  <c r="R23" i="18" l="1"/>
  <c r="W23" i="18"/>
  <c r="AI23" i="18"/>
  <c r="P24" i="18"/>
  <c r="Q24" i="18"/>
  <c r="V24" i="18"/>
  <c r="R24" i="18" l="1"/>
  <c r="W24" i="18"/>
  <c r="AI24" i="18"/>
  <c r="P25" i="18"/>
  <c r="Q25" i="18"/>
  <c r="R25" i="18"/>
  <c r="V25" i="18"/>
  <c r="W25" i="18" l="1"/>
  <c r="AI25" i="18"/>
  <c r="P26" i="18"/>
  <c r="Q26" i="18"/>
  <c r="R26" i="18"/>
  <c r="V26" i="18"/>
  <c r="W26" i="18" l="1"/>
  <c r="AI26" i="18"/>
  <c r="P27" i="18"/>
  <c r="Q27" i="18"/>
  <c r="R27" i="18"/>
  <c r="V27" i="18"/>
  <c r="W27" i="18" l="1"/>
  <c r="AI27" i="18"/>
  <c r="P28" i="18"/>
  <c r="Q28" i="18"/>
  <c r="R28" i="18"/>
  <c r="V28" i="18"/>
  <c r="W28" i="18" l="1"/>
  <c r="AI28" i="18"/>
  <c r="P29" i="18"/>
  <c r="Q29" i="18"/>
  <c r="R29" i="18"/>
  <c r="V29" i="18"/>
  <c r="W29" i="18" l="1"/>
  <c r="AI29" i="18"/>
  <c r="P30" i="18"/>
  <c r="Q30" i="18"/>
  <c r="R30" i="18"/>
  <c r="V30" i="18"/>
  <c r="W30" i="18" l="1"/>
  <c r="AI30" i="18"/>
  <c r="P31" i="18"/>
  <c r="Q31" i="18"/>
  <c r="R31" i="18"/>
  <c r="V31" i="18"/>
  <c r="W31" i="18" l="1"/>
  <c r="AI31" i="18"/>
  <c r="P32" i="18"/>
  <c r="Q32" i="18"/>
  <c r="V32" i="18"/>
  <c r="R32" i="18" l="1"/>
  <c r="W32" i="18"/>
  <c r="AI32" i="18"/>
  <c r="P33" i="18"/>
  <c r="Q33" i="18"/>
  <c r="V33" i="18"/>
  <c r="R33" i="18" l="1"/>
  <c r="W33" i="18"/>
  <c r="AI33" i="18"/>
  <c r="P34" i="18"/>
  <c r="Q34" i="18"/>
  <c r="V34" i="18"/>
  <c r="R34" i="18" l="1"/>
  <c r="W34" i="18"/>
  <c r="AI34" i="18"/>
  <c r="P35" i="18"/>
  <c r="Q35" i="18"/>
  <c r="V35" i="18"/>
  <c r="R35" i="18" l="1"/>
  <c r="W35" i="18"/>
  <c r="AI35" i="18"/>
  <c r="P36" i="18"/>
  <c r="Q36" i="18"/>
  <c r="R36" i="18"/>
  <c r="V36" i="18"/>
  <c r="W36" i="18" l="1"/>
  <c r="AI36" i="18"/>
  <c r="P37" i="18"/>
  <c r="Q37" i="18"/>
  <c r="V37" i="18"/>
  <c r="R37" i="18" l="1"/>
  <c r="W37" i="18"/>
  <c r="AI37" i="18"/>
  <c r="P38" i="18"/>
  <c r="Q38" i="18"/>
  <c r="R38" i="18"/>
  <c r="V38" i="18"/>
  <c r="W38" i="18" l="1"/>
  <c r="AI38" i="18"/>
  <c r="P39" i="18"/>
  <c r="Q39" i="18"/>
  <c r="R39" i="18"/>
  <c r="V39" i="18"/>
  <c r="W39" i="18" l="1"/>
  <c r="AI39" i="18"/>
  <c r="P40" i="18"/>
  <c r="Q40" i="18"/>
  <c r="V40" i="18"/>
  <c r="R40" i="18" l="1"/>
  <c r="W40" i="18"/>
  <c r="AI40" i="18"/>
  <c r="P41" i="18"/>
  <c r="Q41" i="18"/>
  <c r="R41" i="18" s="1"/>
  <c r="V41" i="18"/>
  <c r="W41" i="18" l="1"/>
  <c r="AI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I42" i="18"/>
  <c r="P5" i="19" a="1"/>
  <c r="P5" i="19" s="1"/>
  <c r="Q5" i="19" a="1"/>
  <c r="Q5" i="19" s="1"/>
  <c r="V5" i="19"/>
  <c r="S4" i="19"/>
  <c r="R5" i="19" l="1"/>
  <c r="W5" i="19"/>
  <c r="P6" i="19"/>
  <c r="Q6" i="19"/>
  <c r="V6" i="19"/>
  <c r="R6" i="19" l="1"/>
  <c r="W6" i="19"/>
  <c r="P7" i="19"/>
  <c r="Q7" i="19"/>
  <c r="R7" i="19"/>
  <c r="V7" i="19"/>
  <c r="W7" i="19" l="1"/>
  <c r="P8" i="19"/>
  <c r="Q8" i="19"/>
  <c r="R8" i="19"/>
  <c r="V8" i="19"/>
  <c r="W8" i="19" l="1"/>
  <c r="P9" i="19"/>
  <c r="Q9" i="19"/>
  <c r="V9" i="19"/>
  <c r="R9" i="19" l="1"/>
  <c r="W9" i="19"/>
  <c r="P10" i="19"/>
  <c r="Q10" i="19"/>
  <c r="V10" i="19"/>
  <c r="R10" i="19" l="1"/>
  <c r="W10" i="19"/>
  <c r="P11" i="19"/>
  <c r="Q11" i="19"/>
  <c r="V11" i="19"/>
  <c r="R11" i="19" l="1"/>
  <c r="W11" i="19"/>
  <c r="P12" i="19"/>
  <c r="Q12" i="19"/>
  <c r="R12" i="19"/>
  <c r="V12" i="19"/>
  <c r="W12" i="19" l="1"/>
  <c r="P13" i="19"/>
  <c r="Q13" i="19"/>
  <c r="V13" i="19"/>
  <c r="R13" i="19" l="1"/>
  <c r="W13" i="19"/>
  <c r="P14" i="19"/>
  <c r="Q14" i="19"/>
  <c r="V14" i="19"/>
  <c r="R14" i="19" l="1"/>
  <c r="W14" i="19"/>
  <c r="P15" i="19"/>
  <c r="Q15" i="19"/>
  <c r="V15" i="19"/>
  <c r="R15" i="19" l="1"/>
  <c r="W15" i="19"/>
  <c r="P16" i="19"/>
  <c r="Q16" i="19"/>
  <c r="R16" i="19"/>
  <c r="V16" i="19"/>
  <c r="W16" i="19" l="1"/>
  <c r="P17" i="19"/>
  <c r="Q17" i="19"/>
  <c r="R17" i="19"/>
  <c r="V17" i="19"/>
  <c r="W17" i="19" l="1"/>
  <c r="P18" i="19"/>
  <c r="Q18" i="19"/>
  <c r="R18" i="19"/>
  <c r="V18" i="19"/>
  <c r="W18" i="19" l="1"/>
  <c r="P19" i="19"/>
  <c r="Q19" i="19"/>
  <c r="V19" i="19"/>
  <c r="R19" i="19" l="1"/>
  <c r="W19" i="19"/>
  <c r="P20" i="19"/>
  <c r="Q20" i="19"/>
  <c r="V20" i="19"/>
  <c r="R20" i="19" l="1"/>
  <c r="W20" i="19"/>
  <c r="P21" i="19"/>
  <c r="Q21" i="19"/>
  <c r="R21" i="19"/>
  <c r="V21" i="19"/>
  <c r="W21" i="19" l="1"/>
  <c r="P22" i="19"/>
  <c r="Q22" i="19"/>
  <c r="V22" i="19"/>
  <c r="R22" i="19" l="1"/>
  <c r="W22" i="19"/>
  <c r="P23" i="19"/>
  <c r="Q23" i="19"/>
  <c r="V23" i="19"/>
  <c r="R23" i="19" l="1"/>
  <c r="W23" i="19"/>
  <c r="P24" i="19"/>
  <c r="Q24" i="19"/>
  <c r="V24" i="19"/>
  <c r="R24" i="19" l="1"/>
  <c r="W24" i="19"/>
  <c r="P25" i="19"/>
  <c r="Q25" i="19"/>
  <c r="V25" i="19"/>
  <c r="R25" i="19" l="1"/>
  <c r="W25" i="19"/>
  <c r="P26" i="19"/>
  <c r="Q26" i="19"/>
  <c r="V26" i="19"/>
  <c r="R26" i="19" l="1"/>
  <c r="W26" i="19"/>
  <c r="P27" i="19"/>
  <c r="Q27" i="19"/>
  <c r="V27" i="19"/>
  <c r="R27" i="19" l="1"/>
  <c r="W27" i="19"/>
  <c r="P28" i="19"/>
  <c r="Q28" i="19"/>
  <c r="V28" i="19"/>
  <c r="R28" i="19" l="1"/>
  <c r="W28" i="19"/>
  <c r="P29" i="19"/>
  <c r="Q29" i="19"/>
  <c r="R29" i="19"/>
  <c r="V29" i="19"/>
  <c r="W29" i="19" l="1"/>
  <c r="P30" i="19"/>
  <c r="Q30" i="19"/>
  <c r="V30" i="19"/>
  <c r="R30" i="19" l="1"/>
  <c r="W30" i="19"/>
  <c r="P31" i="19"/>
  <c r="Q31" i="19"/>
  <c r="V31" i="19"/>
  <c r="R31" i="19" l="1"/>
  <c r="W31" i="19"/>
  <c r="P32" i="19"/>
  <c r="Q32" i="19"/>
  <c r="R32" i="19"/>
  <c r="V32" i="19"/>
  <c r="W32" i="19" l="1"/>
  <c r="P33" i="19"/>
  <c r="Q33" i="19"/>
  <c r="R33" i="19"/>
  <c r="V33" i="19"/>
  <c r="W33" i="19" l="1"/>
  <c r="P34" i="19"/>
  <c r="Q34" i="19"/>
  <c r="R34" i="19"/>
  <c r="V34" i="19"/>
  <c r="W34" i="19" l="1"/>
  <c r="P35" i="19"/>
  <c r="Q35" i="19"/>
  <c r="V35" i="19"/>
  <c r="R35" i="19" l="1"/>
  <c r="W35" i="19"/>
  <c r="P36" i="19"/>
  <c r="Q36" i="19"/>
  <c r="V36" i="19"/>
  <c r="R36" i="19" l="1"/>
  <c r="W36" i="19"/>
  <c r="P37" i="19"/>
  <c r="Q37" i="19"/>
  <c r="V37" i="19"/>
  <c r="R37" i="19" l="1"/>
  <c r="W37" i="19"/>
  <c r="P38" i="19"/>
  <c r="Q38" i="19"/>
  <c r="V38" i="19"/>
  <c r="R38" i="19" l="1"/>
  <c r="W38" i="19"/>
  <c r="P39" i="19"/>
  <c r="Q39" i="19"/>
  <c r="V39" i="19"/>
  <c r="R39" i="19" l="1"/>
  <c r="W39" i="19"/>
  <c r="P40" i="19"/>
  <c r="Q40" i="19"/>
  <c r="V40" i="19"/>
  <c r="R40" i="19" l="1"/>
  <c r="W40" i="19"/>
  <c r="P41" i="19"/>
  <c r="Q41" i="19"/>
  <c r="V41" i="19"/>
  <c r="R41" i="19" l="1"/>
  <c r="W41" i="19"/>
  <c r="P42" i="19"/>
  <c r="Q42" i="19"/>
  <c r="V42" i="19"/>
  <c r="O4" i="28"/>
  <c r="R42" i="19" l="1"/>
  <c r="S5" i="19" s="1" a="1"/>
  <c r="S12" i="19" s="1"/>
  <c r="W42" i="19"/>
  <c r="N5" i="28"/>
  <c r="T5" i="28"/>
  <c r="S35" i="19" l="1"/>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O49" i="28"/>
  <c r="N50" i="28" l="1"/>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4" i="28"/>
  <c r="Y53" i="28"/>
  <c r="Y55" i="28"/>
  <c r="Y52" i="28"/>
  <c r="Y50" i="28"/>
  <c r="Y51" i="28"/>
  <c r="J8" i="67" l="1"/>
  <c r="E5" i="6"/>
  <c r="D12" i="67" l="1"/>
  <c r="B1" i="67"/>
  <c r="F5" i="6"/>
  <c r="I2" i="50" l="1"/>
  <c r="F3" i="50"/>
  <c r="I3" i="50"/>
  <c r="F4" i="50"/>
  <c r="I4" i="50"/>
  <c r="F5" i="50"/>
  <c r="I5" i="50"/>
  <c r="F6" i="50"/>
  <c r="I6" i="50"/>
  <c r="F7" i="50"/>
  <c r="I7" i="50"/>
  <c r="F8" i="50"/>
  <c r="I8" i="50"/>
  <c r="F9" i="50"/>
  <c r="I9" i="50"/>
  <c r="F10" i="50"/>
  <c r="I10" i="50"/>
  <c r="F11" i="50"/>
  <c r="I11" i="50"/>
  <c r="F12" i="50"/>
  <c r="I12" i="50"/>
  <c r="F13" i="50"/>
  <c r="I13" i="50"/>
  <c r="F14" i="50"/>
  <c r="I14" i="50"/>
  <c r="F15" i="50"/>
  <c r="I15" i="50"/>
  <c r="F16" i="50"/>
  <c r="I16" i="50"/>
  <c r="F17" i="50"/>
  <c r="I17" i="50"/>
  <c r="F18" i="50"/>
  <c r="I18" i="50"/>
  <c r="F19" i="50"/>
  <c r="I19" i="50"/>
  <c r="F20" i="50"/>
  <c r="I20" i="50"/>
  <c r="F21" i="50"/>
  <c r="I21" i="50"/>
  <c r="F22" i="50"/>
  <c r="I22" i="50"/>
  <c r="F23" i="50"/>
  <c r="I23" i="50"/>
  <c r="F24" i="50"/>
  <c r="I24" i="50"/>
  <c r="F25" i="50"/>
  <c r="I25" i="50"/>
  <c r="F26" i="50"/>
  <c r="I26" i="50"/>
  <c r="F27" i="50"/>
  <c r="I27" i="50"/>
  <c r="F28" i="50"/>
  <c r="I28" i="50"/>
  <c r="F29" i="50"/>
  <c r="I29" i="50"/>
  <c r="F30" i="50"/>
  <c r="I30" i="50"/>
  <c r="F31" i="50"/>
  <c r="I31" i="50"/>
  <c r="F32" i="50"/>
  <c r="I32" i="50"/>
  <c r="F33" i="50"/>
  <c r="I33" i="50"/>
  <c r="F34" i="50"/>
  <c r="I34" i="50"/>
  <c r="F35" i="50"/>
  <c r="I35" i="50"/>
  <c r="F36" i="50"/>
  <c r="I36" i="50"/>
  <c r="F37" i="50"/>
  <c r="I37" i="50"/>
  <c r="F38" i="50"/>
  <c r="I38" i="50"/>
  <c r="F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31" i="49"/>
  <c r="J19" i="49"/>
  <c r="J38" i="49"/>
  <c r="J8" i="49"/>
  <c r="J13" i="49"/>
  <c r="J37" i="49"/>
  <c r="J17" i="49"/>
  <c r="J30" i="49"/>
  <c r="J26" i="49"/>
  <c r="J33" i="49"/>
  <c r="J15" i="49"/>
  <c r="J34" i="49"/>
  <c r="J14" i="49"/>
  <c r="J21" i="49"/>
  <c r="J32" i="49"/>
  <c r="J4" i="49"/>
  <c r="J20" i="49"/>
  <c r="J23" i="49"/>
  <c r="J11" i="49"/>
  <c r="J10" i="49"/>
  <c r="J6" i="49"/>
  <c r="J24" i="49"/>
  <c r="J39" i="49"/>
  <c r="J29" i="49"/>
  <c r="J35" i="49"/>
  <c r="J3" i="49"/>
  <c r="J12" i="49"/>
  <c r="J16" i="49"/>
  <c r="J27" i="49"/>
  <c r="J36" i="49"/>
  <c r="J22" i="49"/>
  <c r="J5" i="49"/>
  <c r="J9" i="49"/>
  <c r="J18" i="49"/>
  <c r="J25" i="49"/>
  <c r="J7" i="49"/>
  <c r="J28" i="49"/>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29" i="42"/>
  <c r="L20" i="42"/>
  <c r="L14" i="42"/>
  <c r="L13" i="41"/>
  <c r="L29" i="41"/>
  <c r="L18" i="42"/>
  <c r="L18" i="41"/>
  <c r="L28" i="41"/>
  <c r="L20" i="41"/>
  <c r="L26" i="41"/>
  <c r="L5" i="42"/>
  <c r="L10" i="41"/>
  <c r="L7" i="42"/>
  <c r="L3" i="41"/>
  <c r="L3" i="43"/>
  <c r="L13" i="42"/>
  <c r="L12" i="42"/>
  <c r="L6" i="41"/>
  <c r="L17" i="42"/>
  <c r="L4" i="42"/>
  <c r="L9" i="41"/>
  <c r="L23" i="41"/>
  <c r="L23" i="42"/>
  <c r="L36" i="42"/>
  <c r="L15" i="41"/>
  <c r="L27" i="41"/>
  <c r="L34" i="42"/>
  <c r="L35" i="42"/>
  <c r="L10" i="42"/>
  <c r="L19" i="41"/>
  <c r="L28" i="42"/>
  <c r="L21" i="41"/>
  <c r="L25" i="41"/>
  <c r="L4" i="41"/>
  <c r="L7" i="41"/>
  <c r="L36" i="41"/>
  <c r="L35" i="41"/>
  <c r="L24" i="41"/>
  <c r="L31" i="42"/>
  <c r="L30" i="41"/>
  <c r="L26" i="42"/>
  <c r="L15" i="42"/>
  <c r="L22" i="41"/>
  <c r="L27" i="42"/>
  <c r="L3" i="40"/>
  <c r="L6" i="42"/>
  <c r="L24" i="42"/>
  <c r="L14" i="41"/>
  <c r="L34" i="41"/>
  <c r="L11" i="41"/>
  <c r="L21" i="42"/>
  <c r="L33" i="41"/>
  <c r="L8" i="42"/>
  <c r="L8" i="41"/>
  <c r="L9" i="42"/>
  <c r="L11" i="42"/>
  <c r="L33" i="42"/>
  <c r="L3" i="42"/>
  <c r="L5" i="41"/>
  <c r="L32" i="42"/>
  <c r="L16" i="41"/>
  <c r="L19" i="42"/>
  <c r="L25" i="42"/>
  <c r="L16" i="42"/>
  <c r="L30" i="42"/>
  <c r="L17" i="41"/>
  <c r="L31" i="41"/>
  <c r="L22" i="42"/>
  <c r="L32" i="41"/>
  <c r="L12" i="41"/>
  <c r="K30" i="49"/>
  <c r="K27" i="49"/>
  <c r="K22" i="49"/>
  <c r="K16" i="49"/>
  <c r="K35" i="49"/>
  <c r="K12" i="49"/>
  <c r="K32" i="49"/>
  <c r="K14" i="49"/>
  <c r="K7" i="49"/>
  <c r="K10" i="49"/>
  <c r="K33" i="49"/>
  <c r="K15" i="49"/>
  <c r="K18" i="49"/>
  <c r="K5" i="49"/>
  <c r="K19" i="49"/>
  <c r="K17" i="49"/>
  <c r="K23" i="49"/>
  <c r="K29" i="49"/>
  <c r="K6" i="49"/>
  <c r="K13" i="49"/>
  <c r="K24" i="49"/>
  <c r="K31" i="49"/>
  <c r="K26" i="49"/>
  <c r="K25" i="49"/>
  <c r="K11" i="49"/>
  <c r="K28" i="49"/>
  <c r="K36" i="49"/>
  <c r="K38" i="49"/>
  <c r="K37" i="49"/>
  <c r="K2" i="49"/>
  <c r="K4" i="49"/>
  <c r="K3" i="49"/>
  <c r="K21" i="49"/>
  <c r="K8" i="49"/>
  <c r="K9" i="49"/>
  <c r="K39" i="49"/>
  <c r="K20" i="49"/>
  <c r="K34"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26" i="40"/>
  <c r="K36" i="43"/>
  <c r="K18" i="43"/>
  <c r="K17" i="43"/>
  <c r="K26" i="43"/>
  <c r="K8" i="40"/>
  <c r="K5" i="40"/>
  <c r="K17" i="40"/>
  <c r="K32" i="40"/>
  <c r="K32" i="43"/>
  <c r="K33" i="43"/>
  <c r="K24" i="40"/>
  <c r="K15" i="40"/>
  <c r="K14" i="40"/>
  <c r="K13" i="43"/>
  <c r="K16" i="43"/>
  <c r="K9" i="40"/>
  <c r="K27" i="43"/>
  <c r="K23" i="43"/>
  <c r="K33" i="40"/>
  <c r="K15" i="43"/>
  <c r="K20" i="43"/>
  <c r="K6" i="43"/>
  <c r="K14" i="43"/>
  <c r="K30" i="43"/>
  <c r="K12" i="40"/>
  <c r="K28" i="40"/>
  <c r="K25" i="40"/>
  <c r="K4" i="43"/>
  <c r="K28" i="43"/>
  <c r="K20" i="40"/>
  <c r="K7" i="40"/>
  <c r="K21" i="43"/>
  <c r="K31" i="40"/>
  <c r="K9" i="43"/>
  <c r="K10" i="43"/>
  <c r="K34" i="40"/>
  <c r="K19" i="40"/>
  <c r="K27" i="40"/>
  <c r="K21" i="40"/>
  <c r="K11" i="40"/>
  <c r="K8" i="43"/>
  <c r="K16" i="40"/>
  <c r="K22" i="40"/>
  <c r="K23" i="40"/>
  <c r="K29" i="40"/>
  <c r="K13" i="40"/>
  <c r="K7" i="43"/>
  <c r="K6" i="40"/>
  <c r="K19" i="43"/>
  <c r="K5" i="43"/>
  <c r="K36" i="40"/>
  <c r="K35" i="40"/>
  <c r="K29" i="43"/>
  <c r="K24" i="43"/>
  <c r="K22" i="43"/>
  <c r="K4" i="40"/>
  <c r="K10" i="40"/>
  <c r="K35" i="43"/>
  <c r="K11" i="43"/>
  <c r="K18" i="40"/>
  <c r="K34" i="43"/>
  <c r="K12" i="43"/>
  <c r="K25" i="43"/>
  <c r="K30" i="40"/>
  <c r="K31" i="43"/>
  <c r="K2" i="40"/>
  <c r="K2" i="41"/>
  <c r="J2" i="42" l="1"/>
  <c r="J2" i="43"/>
  <c r="C1" i="38"/>
  <c r="L11" i="40"/>
  <c r="L23" i="43"/>
  <c r="L33" i="43"/>
  <c r="L15" i="40"/>
  <c r="L5" i="43"/>
  <c r="K2" i="42"/>
  <c r="L6" i="43"/>
  <c r="L24" i="40"/>
  <c r="L32" i="40"/>
  <c r="L4" i="43"/>
  <c r="L25" i="43"/>
  <c r="L35" i="40"/>
  <c r="L23" i="40"/>
  <c r="L9" i="40"/>
  <c r="L8" i="40"/>
  <c r="L12" i="43"/>
  <c r="L7" i="40"/>
  <c r="L31" i="43"/>
  <c r="L16" i="43"/>
  <c r="L4" i="40"/>
  <c r="L7" i="43"/>
  <c r="L15" i="43"/>
  <c r="L27" i="40"/>
  <c r="L12" i="40"/>
  <c r="L25" i="40"/>
  <c r="L10" i="40"/>
  <c r="L16" i="40"/>
  <c r="L17" i="43"/>
  <c r="L13" i="40"/>
  <c r="L17" i="40"/>
  <c r="L18" i="43"/>
  <c r="L31" i="40"/>
  <c r="L24" i="43"/>
  <c r="L36" i="43"/>
  <c r="L5" i="40"/>
  <c r="L21" i="40"/>
  <c r="L22" i="40"/>
  <c r="L34" i="40"/>
  <c r="L20" i="40"/>
  <c r="L29" i="40"/>
  <c r="L2" i="41"/>
  <c r="L22" i="43"/>
  <c r="L14" i="43"/>
  <c r="L27" i="43"/>
  <c r="L19" i="40"/>
  <c r="L2" i="40"/>
  <c r="L29" i="43"/>
  <c r="L26" i="40"/>
  <c r="L35" i="43"/>
  <c r="L10" i="43"/>
  <c r="L9" i="43"/>
  <c r="L14" i="40"/>
  <c r="L20" i="43"/>
  <c r="L36" i="40"/>
  <c r="L28" i="43"/>
  <c r="K2" i="43"/>
  <c r="L21" i="43"/>
  <c r="L33" i="40"/>
  <c r="L32" i="43"/>
  <c r="L18" i="40"/>
  <c r="L11" i="43"/>
  <c r="L13" i="43"/>
  <c r="L34" i="43"/>
  <c r="L28" i="40"/>
  <c r="L30" i="43"/>
  <c r="L26" i="43"/>
  <c r="L30" i="40"/>
  <c r="L6" i="40"/>
  <c r="L19" i="43"/>
  <c r="L8" i="43"/>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52" i="38"/>
  <c r="D57" i="38"/>
  <c r="D63" i="38"/>
  <c r="D3" i="38"/>
  <c r="D41" i="38"/>
  <c r="D51" i="38"/>
  <c r="D14" i="38"/>
  <c r="D29" i="38"/>
  <c r="D35" i="38"/>
  <c r="D58" i="38"/>
  <c r="D45" i="38"/>
  <c r="D62" i="38"/>
  <c r="D27" i="38"/>
  <c r="D20" i="38"/>
  <c r="D38" i="38"/>
  <c r="D37" i="38"/>
  <c r="D48" i="38"/>
  <c r="D31" i="38"/>
  <c r="D42" i="38"/>
  <c r="D59" i="38"/>
  <c r="D40" i="38"/>
  <c r="D43" i="38"/>
  <c r="D60" i="38"/>
  <c r="D54" i="38"/>
  <c r="D49" i="38"/>
  <c r="D33" i="38"/>
  <c r="D10" i="38"/>
  <c r="D16" i="38"/>
  <c r="D26" i="38"/>
  <c r="D55" i="38"/>
  <c r="D56" i="38"/>
  <c r="D34" i="38"/>
  <c r="D50" i="38"/>
  <c r="D25" i="38"/>
  <c r="D30" i="38"/>
  <c r="D9" i="38"/>
  <c r="D6" i="38"/>
  <c r="D17" i="38"/>
  <c r="D5" i="38"/>
  <c r="D8" i="38"/>
  <c r="D21" i="38"/>
  <c r="D39" i="38"/>
  <c r="D22" i="38"/>
  <c r="D24" i="38"/>
  <c r="D12" i="38"/>
  <c r="D36" i="38"/>
  <c r="D13" i="38"/>
  <c r="D64" i="38"/>
  <c r="D15" i="38"/>
  <c r="D28" i="38"/>
  <c r="D7" i="38"/>
  <c r="D4" i="38"/>
  <c r="D44" i="38"/>
  <c r="D61" i="38"/>
  <c r="D19" i="38"/>
  <c r="D46" i="38"/>
  <c r="D53" i="38"/>
  <c r="D47" i="38"/>
  <c r="D11" i="38"/>
  <c r="D32" i="38"/>
  <c r="D23" i="38"/>
  <c r="D18" i="38"/>
  <c r="L2" i="42"/>
  <c r="L2" i="43"/>
  <c r="C2" i="37" l="1"/>
  <c r="C3" i="37"/>
  <c r="C4" i="37"/>
  <c r="C5" i="37"/>
  <c r="C6" i="37"/>
  <c r="C7" i="37"/>
  <c r="C8" i="37"/>
  <c r="C9" i="37"/>
  <c r="C10" i="37"/>
  <c r="C11" i="37"/>
  <c r="C12" i="37"/>
  <c r="C13" i="37"/>
  <c r="C14" i="37"/>
  <c r="C15" i="37"/>
  <c r="C16" i="37"/>
  <c r="C1" i="36"/>
  <c r="Y31" i="38"/>
  <c r="E29" i="38"/>
  <c r="D10" i="37"/>
  <c r="Y51" i="38"/>
  <c r="Y44" i="38"/>
  <c r="E23" i="38"/>
  <c r="E43" i="38"/>
  <c r="D9" i="37"/>
  <c r="E62" i="38"/>
  <c r="E61" i="38"/>
  <c r="Y22" i="38"/>
  <c r="E6" i="38"/>
  <c r="Y24" i="38"/>
  <c r="E60" i="38"/>
  <c r="Y35" i="38"/>
  <c r="E28" i="38"/>
  <c r="Y21" i="38"/>
  <c r="E52" i="38"/>
  <c r="E44" i="38"/>
  <c r="E19" i="38"/>
  <c r="E34" i="38"/>
  <c r="E10" i="38"/>
  <c r="D4" i="37"/>
  <c r="D6" i="37"/>
  <c r="Y47" i="38"/>
  <c r="E42" i="38"/>
  <c r="E18" i="38"/>
  <c r="E16" i="38"/>
  <c r="E33" i="38"/>
  <c r="E46" i="38"/>
  <c r="E25" i="38"/>
  <c r="Y37" i="38"/>
  <c r="E13" i="38"/>
  <c r="Y59" i="38"/>
  <c r="Y28" i="38"/>
  <c r="Y23" i="38"/>
  <c r="E9" i="38"/>
  <c r="Y63" i="38"/>
  <c r="D5" i="37"/>
  <c r="Y30" i="38"/>
  <c r="E12" i="38"/>
  <c r="E21" i="38"/>
  <c r="Y61" i="38"/>
  <c r="E54" i="38"/>
  <c r="Y29" i="38"/>
  <c r="E38" i="38"/>
  <c r="E55" i="38"/>
  <c r="Y34" i="38"/>
  <c r="Y55" i="38"/>
  <c r="Y25" i="38"/>
  <c r="E57" i="38"/>
  <c r="E41" i="38"/>
  <c r="D7" i="37"/>
  <c r="Y40" i="38"/>
  <c r="Y50" i="38"/>
  <c r="E32" i="38"/>
  <c r="Y54" i="38"/>
  <c r="E59" i="38"/>
  <c r="E48" i="38"/>
  <c r="E11" i="38"/>
  <c r="E27" i="38"/>
  <c r="Y56" i="38"/>
  <c r="D13" i="37"/>
  <c r="E20" i="38"/>
  <c r="Y64" i="38"/>
  <c r="E22" i="38"/>
  <c r="E31" i="38"/>
  <c r="Y45" i="38"/>
  <c r="E5" i="38"/>
  <c r="D3" i="37"/>
  <c r="E45" i="38"/>
  <c r="E8" i="38"/>
  <c r="E49" i="38"/>
  <c r="Y26" i="38"/>
  <c r="D11" i="37"/>
  <c r="Y41" i="38"/>
  <c r="Y58" i="38"/>
  <c r="Y52" i="38"/>
  <c r="E51" i="38"/>
  <c r="Y46" i="38"/>
  <c r="E64" i="38"/>
  <c r="D15" i="37"/>
  <c r="E4" i="38"/>
  <c r="E17" i="38"/>
  <c r="E58" i="38"/>
  <c r="D16" i="37"/>
  <c r="Y42" i="38"/>
  <c r="Y57" i="38"/>
  <c r="E50" i="38"/>
  <c r="E7" i="38"/>
  <c r="Y43" i="38"/>
  <c r="E40" i="38"/>
  <c r="E36" i="38"/>
  <c r="E30" i="38"/>
  <c r="Y33" i="38"/>
  <c r="Y49" i="38"/>
  <c r="E37" i="38"/>
  <c r="Y36" i="38"/>
  <c r="Y39" i="38"/>
  <c r="E63" i="38"/>
  <c r="Y48" i="38"/>
  <c r="Y38" i="38"/>
  <c r="E15" i="38"/>
  <c r="Y62" i="38"/>
  <c r="D14" i="37"/>
  <c r="Y53" i="38"/>
  <c r="E14" i="38"/>
  <c r="E47" i="38"/>
  <c r="Y60" i="38"/>
  <c r="E24" i="38"/>
  <c r="E39" i="38"/>
  <c r="E3" i="38"/>
  <c r="D8" i="37"/>
  <c r="E56" i="38"/>
  <c r="D12" i="37"/>
  <c r="E53" i="38"/>
  <c r="E26" i="38"/>
  <c r="E35" i="38"/>
  <c r="Y32" i="38"/>
  <c r="Y27" i="38"/>
  <c r="O13" i="38"/>
  <c r="O14" i="38"/>
  <c r="O7" i="38"/>
  <c r="O17" i="38"/>
  <c r="O6" i="38"/>
  <c r="O20" i="38"/>
  <c r="O5" i="38"/>
  <c r="O12" i="38"/>
  <c r="O11" i="38"/>
  <c r="O10" i="38"/>
  <c r="O19" i="38"/>
  <c r="O15" i="38"/>
  <c r="O8" i="38"/>
  <c r="O9" i="38"/>
  <c r="O16" i="38"/>
  <c r="O18" i="38"/>
  <c r="C2" i="36" l="1"/>
  <c r="C3" i="36"/>
  <c r="C4" i="36"/>
  <c r="C5" i="36"/>
  <c r="C6" i="36"/>
  <c r="C7" i="36"/>
  <c r="C8" i="36"/>
  <c r="C9" i="36"/>
  <c r="C10" i="36"/>
  <c r="C11" i="36"/>
  <c r="C12" i="36"/>
  <c r="C13" i="36"/>
  <c r="C1" i="35"/>
  <c r="D4" i="36"/>
  <c r="D11" i="36"/>
  <c r="E9" i="37"/>
  <c r="D7" i="36"/>
  <c r="E5" i="37"/>
  <c r="D8" i="36"/>
  <c r="E14" i="37"/>
  <c r="E13" i="37"/>
  <c r="D13" i="36"/>
  <c r="E11" i="37"/>
  <c r="D6" i="36"/>
  <c r="D9" i="36"/>
  <c r="E15" i="37"/>
  <c r="E10" i="37"/>
  <c r="E7" i="37"/>
  <c r="E8" i="37"/>
  <c r="D12" i="36"/>
  <c r="D5" i="36"/>
  <c r="E3" i="37"/>
  <c r="E12" i="37"/>
  <c r="D10" i="36"/>
  <c r="E6" i="37"/>
  <c r="E4" i="37"/>
  <c r="D3" i="36"/>
  <c r="E16" i="37"/>
  <c r="O7" i="37"/>
  <c r="O6" i="37"/>
  <c r="O12" i="37"/>
  <c r="O9" i="37"/>
  <c r="O13" i="37"/>
  <c r="O10" i="37"/>
  <c r="O5" i="37"/>
  <c r="O14" i="37"/>
  <c r="O11" i="37"/>
  <c r="O8" i="37"/>
  <c r="C2" i="35" l="1"/>
  <c r="C3" i="35"/>
  <c r="C4" i="35"/>
  <c r="C5" i="35"/>
  <c r="C6" i="35"/>
  <c r="C7" i="35"/>
  <c r="C8" i="35"/>
  <c r="C9" i="35"/>
  <c r="C10" i="35"/>
  <c r="C11" i="35"/>
  <c r="C2" i="34"/>
  <c r="C3" i="34"/>
  <c r="C4" i="34"/>
  <c r="D3" i="34"/>
  <c r="D4" i="34"/>
  <c r="D5" i="35"/>
  <c r="E5" i="36"/>
  <c r="D7" i="35"/>
  <c r="D9" i="35"/>
  <c r="D10" i="35"/>
  <c r="D6" i="35"/>
  <c r="E6" i="36"/>
  <c r="E13" i="36"/>
  <c r="D8" i="35"/>
  <c r="E3" i="36"/>
  <c r="E8" i="36"/>
  <c r="E9" i="36"/>
  <c r="E7" i="36"/>
  <c r="E12" i="36"/>
  <c r="D11" i="35"/>
  <c r="E11" i="36"/>
  <c r="D4" i="35"/>
  <c r="D3" i="35"/>
  <c r="E4" i="36"/>
  <c r="E10" i="36"/>
  <c r="O7" i="36"/>
  <c r="O9" i="36"/>
  <c r="O10" i="36"/>
  <c r="O8" i="36"/>
  <c r="O11" i="36"/>
  <c r="O5" i="36"/>
  <c r="O6" i="36"/>
  <c r="D2" i="37"/>
  <c r="D2" i="36"/>
  <c r="D2" i="35"/>
  <c r="D2" i="38"/>
  <c r="D2" i="34"/>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5" i="30"/>
  <c r="F14" i="29"/>
  <c r="F13" i="29"/>
  <c r="F34" i="28"/>
  <c r="F28" i="28"/>
  <c r="E8" i="35"/>
  <c r="F9" i="30"/>
  <c r="F30" i="28"/>
  <c r="F6" i="29"/>
  <c r="F15" i="29"/>
  <c r="F29" i="28"/>
  <c r="F6" i="30"/>
  <c r="F40" i="28"/>
  <c r="F10" i="30"/>
  <c r="F20" i="28"/>
  <c r="F36" i="28"/>
  <c r="F18" i="28"/>
  <c r="F39" i="28"/>
  <c r="E11" i="35"/>
  <c r="E10" i="35"/>
  <c r="E9" i="35"/>
  <c r="F32" i="28"/>
  <c r="E4" i="35"/>
  <c r="F8" i="30"/>
  <c r="F13" i="28"/>
  <c r="F15" i="28"/>
  <c r="F24" i="28"/>
  <c r="F9" i="29"/>
  <c r="E6" i="35"/>
  <c r="F27" i="28"/>
  <c r="F11" i="30"/>
  <c r="F8" i="29"/>
  <c r="F8" i="28"/>
  <c r="F7" i="29"/>
  <c r="F10" i="29"/>
  <c r="E4" i="34"/>
  <c r="F26" i="28"/>
  <c r="F11" i="29"/>
  <c r="E3" i="35"/>
  <c r="F14" i="28"/>
  <c r="F10" i="28"/>
  <c r="E7" i="35"/>
  <c r="F37" i="28"/>
  <c r="F38" i="28"/>
  <c r="E3" i="34"/>
  <c r="F5" i="28"/>
  <c r="F7" i="30"/>
  <c r="F9" i="28"/>
  <c r="F12" i="28"/>
  <c r="F35" i="28"/>
  <c r="E5" i="35"/>
  <c r="F22" i="28"/>
  <c r="F31" i="28"/>
  <c r="F12" i="29"/>
  <c r="F21" i="28"/>
  <c r="F11" i="28"/>
  <c r="F6" i="28"/>
  <c r="F17" i="28"/>
  <c r="F25" i="28"/>
  <c r="F19" i="28"/>
  <c r="F16" i="28"/>
  <c r="F23" i="28"/>
  <c r="F33" i="28"/>
  <c r="F7" i="28"/>
  <c r="D42" i="28"/>
  <c r="F5" i="29"/>
  <c r="Y10" i="30"/>
  <c r="O8" i="35"/>
  <c r="Y8" i="30"/>
  <c r="Y5" i="30"/>
  <c r="O9" i="35"/>
  <c r="O5" i="35"/>
  <c r="Y7" i="30"/>
  <c r="Y9" i="30"/>
  <c r="Y11" i="30"/>
  <c r="O7" i="35"/>
  <c r="O6" i="35"/>
  <c r="Y6" i="30"/>
  <c r="Y37" i="28"/>
  <c r="Y13" i="28"/>
  <c r="Y33" i="28"/>
  <c r="Y29" i="28"/>
  <c r="Y14" i="28"/>
  <c r="Y25" i="28"/>
  <c r="Y18" i="28"/>
  <c r="Y8" i="28"/>
  <c r="E2" i="35"/>
  <c r="Y30" i="28"/>
  <c r="Y39" i="28"/>
  <c r="Y31" i="28"/>
  <c r="Y32" i="28"/>
  <c r="Y26" i="28"/>
  <c r="Y21" i="28"/>
  <c r="E2" i="34"/>
  <c r="Y12" i="28"/>
  <c r="Y9" i="28"/>
  <c r="Y35" i="28"/>
  <c r="Y23" i="28"/>
  <c r="Y7" i="28"/>
  <c r="Y15" i="28"/>
  <c r="E2" i="37"/>
  <c r="Y38" i="28"/>
  <c r="Y22" i="28"/>
  <c r="Y16" i="28"/>
  <c r="Y27" i="28"/>
  <c r="Y6" i="28"/>
  <c r="Y28" i="28"/>
  <c r="Y40" i="28"/>
  <c r="E2" i="36"/>
  <c r="Y20" i="28"/>
  <c r="Y34" i="28"/>
  <c r="Y17" i="28"/>
  <c r="Y10" i="28"/>
  <c r="Y19" i="28"/>
  <c r="Y24" i="28"/>
  <c r="E2" i="38"/>
  <c r="Y5" i="28"/>
  <c r="Y11" i="28"/>
  <c r="Y36" i="28"/>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G23" i="28"/>
  <c r="F42" i="28"/>
  <c r="G8" i="30"/>
  <c r="F22" i="31"/>
  <c r="G7" i="28"/>
  <c r="F32" i="31"/>
  <c r="G36" i="28"/>
  <c r="F35" i="31"/>
  <c r="F38" i="31"/>
  <c r="G38" i="28"/>
  <c r="G30" i="28"/>
  <c r="G11" i="29"/>
  <c r="G32" i="28"/>
  <c r="G37" i="28"/>
  <c r="G31" i="28"/>
  <c r="G26" i="28"/>
  <c r="G19" i="28"/>
  <c r="G12" i="29"/>
  <c r="F35" i="32"/>
  <c r="G29" i="28"/>
  <c r="F30" i="32"/>
  <c r="G40" i="28"/>
  <c r="G16" i="28"/>
  <c r="F30" i="31"/>
  <c r="F11" i="32"/>
  <c r="G27" i="28"/>
  <c r="G10" i="30"/>
  <c r="G6" i="28"/>
  <c r="G6" i="30"/>
  <c r="G11" i="28"/>
  <c r="G35" i="28"/>
  <c r="G24" i="28"/>
  <c r="F19" i="31"/>
  <c r="G21" i="28"/>
  <c r="G14" i="29"/>
  <c r="G18" i="28"/>
  <c r="G15" i="29"/>
  <c r="G5" i="30"/>
  <c r="F19" i="32"/>
  <c r="G15" i="28"/>
  <c r="G10" i="29"/>
  <c r="G39" i="28"/>
  <c r="G34" i="28"/>
  <c r="G12" i="28"/>
  <c r="G9" i="28"/>
  <c r="G6" i="29"/>
  <c r="G14" i="28"/>
  <c r="F27" i="31"/>
  <c r="G7" i="29"/>
  <c r="F24" i="31"/>
  <c r="D43" i="28"/>
  <c r="G8" i="29"/>
  <c r="G33" i="28"/>
  <c r="G13" i="29"/>
  <c r="G20" i="28"/>
  <c r="G17" i="28"/>
  <c r="G9" i="29"/>
  <c r="G13" i="28"/>
  <c r="G5" i="29"/>
  <c r="G22" i="28"/>
  <c r="G11" i="30"/>
  <c r="G9" i="30"/>
  <c r="F22" i="32"/>
  <c r="G10" i="28"/>
  <c r="G8" i="28"/>
  <c r="G7" i="30"/>
  <c r="F27" i="32"/>
  <c r="G25" i="28"/>
  <c r="F16" i="31"/>
  <c r="G5" i="28"/>
  <c r="G28" i="28"/>
  <c r="F38" i="32"/>
  <c r="Y6" i="29"/>
  <c r="Y10" i="29"/>
  <c r="Y12" i="29"/>
  <c r="Y5" i="29"/>
  <c r="Y8" i="29"/>
  <c r="Y7" i="29"/>
  <c r="Y13" i="29"/>
  <c r="Y14" i="29"/>
  <c r="Y15" i="29"/>
  <c r="Y11" i="29"/>
  <c r="Y9" i="29"/>
  <c r="F8" i="48" l="1"/>
  <c r="F16" i="48"/>
  <c r="F35" i="48"/>
  <c r="F32" i="48"/>
  <c r="F27" i="48"/>
  <c r="F24" i="48"/>
  <c r="F19" i="48"/>
  <c r="F24" i="47"/>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42" i="32"/>
  <c r="F31" i="32"/>
  <c r="G19" i="31"/>
  <c r="F18" i="31"/>
  <c r="F34" i="31"/>
  <c r="F17" i="31"/>
  <c r="F9" i="31"/>
  <c r="F40" i="31"/>
  <c r="G32" i="31"/>
  <c r="F17" i="32"/>
  <c r="G27" i="32"/>
  <c r="F33" i="31"/>
  <c r="F20" i="32"/>
  <c r="F10" i="32"/>
  <c r="G38" i="31"/>
  <c r="G22" i="32"/>
  <c r="F39" i="31"/>
  <c r="F8" i="31"/>
  <c r="F7" i="31"/>
  <c r="F39" i="32"/>
  <c r="F36" i="31"/>
  <c r="F8" i="32"/>
  <c r="F12" i="32"/>
  <c r="F43" i="28"/>
  <c r="G22" i="31"/>
  <c r="F37" i="32"/>
  <c r="G24" i="31"/>
  <c r="G19" i="32"/>
  <c r="F16" i="32"/>
  <c r="F36" i="32"/>
  <c r="F26" i="32"/>
  <c r="F20" i="31"/>
  <c r="F26" i="31"/>
  <c r="F37" i="31"/>
  <c r="G42" i="28"/>
  <c r="F23" i="31"/>
  <c r="F13" i="32"/>
  <c r="G35" i="31"/>
  <c r="F34" i="32"/>
  <c r="F6" i="32"/>
  <c r="F14" i="32"/>
  <c r="F29" i="31"/>
  <c r="G11" i="32"/>
  <c r="F21" i="31"/>
  <c r="F28" i="32"/>
  <c r="F12" i="31"/>
  <c r="F42" i="31"/>
  <c r="F25" i="31"/>
  <c r="D44" i="28"/>
  <c r="G30" i="31"/>
  <c r="G35" i="32"/>
  <c r="F28" i="31"/>
  <c r="F29" i="32"/>
  <c r="F10" i="31"/>
  <c r="F21" i="32"/>
  <c r="F14" i="31"/>
  <c r="F15" i="32"/>
  <c r="F9" i="32"/>
  <c r="F18" i="32"/>
  <c r="F15" i="31"/>
  <c r="F25" i="32"/>
  <c r="F41" i="31"/>
  <c r="F31" i="31"/>
  <c r="F24" i="32"/>
  <c r="F6" i="31"/>
  <c r="G30" i="32"/>
  <c r="F40" i="32"/>
  <c r="F13" i="31"/>
  <c r="F33" i="32"/>
  <c r="F41" i="32"/>
  <c r="G16" i="31"/>
  <c r="F32" i="32"/>
  <c r="G27" i="31"/>
  <c r="F7" i="32"/>
  <c r="G38" i="32"/>
  <c r="F23" i="32"/>
  <c r="F11" i="31"/>
  <c r="AC30" i="31"/>
  <c r="AC32" i="31"/>
  <c r="AC16" i="31"/>
  <c r="AC38" i="31"/>
  <c r="AC30" i="32"/>
  <c r="AC22" i="32"/>
  <c r="AC24" i="31"/>
  <c r="AC19" i="31"/>
  <c r="AC35" i="32"/>
  <c r="AC27" i="32"/>
  <c r="AC19" i="32"/>
  <c r="AC11" i="32"/>
  <c r="AC35" i="31"/>
  <c r="AC27" i="31"/>
  <c r="AC38" i="32"/>
  <c r="AC22" i="31"/>
  <c r="F18" i="48" l="1"/>
  <c r="F34" i="48"/>
  <c r="F21" i="48"/>
  <c r="F31" i="48"/>
  <c r="F15" i="48"/>
  <c r="F11" i="48"/>
  <c r="F7" i="48"/>
  <c r="F10" i="48"/>
  <c r="F5" i="48"/>
  <c r="F26" i="48"/>
  <c r="F23" i="48"/>
  <c r="F38" i="48"/>
  <c r="F22" i="48"/>
  <c r="F12" i="48"/>
  <c r="F25" i="48"/>
  <c r="F4" i="48"/>
  <c r="F3" i="48"/>
  <c r="F37" i="48"/>
  <c r="F29" i="48"/>
  <c r="F14" i="48"/>
  <c r="F20" i="48"/>
  <c r="F9" i="48"/>
  <c r="F13" i="48"/>
  <c r="F6" i="48"/>
  <c r="F39" i="48"/>
  <c r="F33" i="48"/>
  <c r="F28" i="48"/>
  <c r="F17" i="48"/>
  <c r="F30" i="48"/>
  <c r="F36" i="48"/>
  <c r="F4" i="47"/>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G8" i="31"/>
  <c r="G10" i="32"/>
  <c r="G42" i="31"/>
  <c r="G40" i="32"/>
  <c r="G7" i="32"/>
  <c r="G43" i="28"/>
  <c r="G13" i="32"/>
  <c r="G12" i="32"/>
  <c r="G6" i="31"/>
  <c r="G42" i="32"/>
  <c r="G20" i="31"/>
  <c r="G33" i="31"/>
  <c r="G12" i="31"/>
  <c r="G28" i="31"/>
  <c r="G26" i="32"/>
  <c r="G18" i="31"/>
  <c r="G14" i="31"/>
  <c r="G31" i="32"/>
  <c r="G29" i="31"/>
  <c r="G20" i="32"/>
  <c r="G15" i="31"/>
  <c r="G41" i="31"/>
  <c r="G10" i="31"/>
  <c r="G11" i="31"/>
  <c r="G8" i="32"/>
  <c r="G37" i="32"/>
  <c r="G21" i="31"/>
  <c r="G15" i="32"/>
  <c r="G18" i="32"/>
  <c r="G25" i="31"/>
  <c r="D45" i="28"/>
  <c r="G23" i="32"/>
  <c r="G40" i="31"/>
  <c r="G21" i="32"/>
  <c r="G36" i="31"/>
  <c r="G28" i="32"/>
  <c r="G39" i="32"/>
  <c r="G32" i="32"/>
  <c r="G33" i="32"/>
  <c r="G9" i="32"/>
  <c r="G29" i="32"/>
  <c r="G7" i="31"/>
  <c r="G25" i="32"/>
  <c r="G14" i="32"/>
  <c r="G17" i="32"/>
  <c r="G36" i="32"/>
  <c r="G34" i="31"/>
  <c r="G37" i="31"/>
  <c r="G39" i="31"/>
  <c r="G23" i="31"/>
  <c r="G6" i="32"/>
  <c r="G34" i="32"/>
  <c r="G26" i="31"/>
  <c r="G31" i="31"/>
  <c r="F44" i="28"/>
  <c r="G24" i="32"/>
  <c r="G13" i="31"/>
  <c r="G9" i="31"/>
  <c r="G41" i="32"/>
  <c r="G17" i="31"/>
  <c r="G16" i="32"/>
  <c r="AC12" i="31"/>
  <c r="AC31" i="31"/>
  <c r="AC9" i="32"/>
  <c r="AC17" i="31"/>
  <c r="AC37" i="32"/>
  <c r="AC9" i="31"/>
  <c r="AC15" i="32"/>
  <c r="AC11" i="31"/>
  <c r="AC17" i="32"/>
  <c r="AC16" i="32"/>
  <c r="AC28" i="31"/>
  <c r="AC26" i="32"/>
  <c r="AC10" i="31"/>
  <c r="AC28" i="32"/>
  <c r="AC6" i="32"/>
  <c r="AC41" i="32"/>
  <c r="AC34" i="31"/>
  <c r="AC8" i="32"/>
  <c r="AC14" i="31"/>
  <c r="AC7" i="31"/>
  <c r="AC40" i="32"/>
  <c r="AC23" i="31"/>
  <c r="AC7" i="32"/>
  <c r="AC6" i="31"/>
  <c r="AC10" i="32"/>
  <c r="AC18" i="32"/>
  <c r="AC13" i="31"/>
  <c r="AC25" i="31"/>
  <c r="AC29" i="32"/>
  <c r="AC33" i="32"/>
  <c r="AC34" i="32"/>
  <c r="AC42" i="32"/>
  <c r="AC23" i="32"/>
  <c r="AC12" i="32"/>
  <c r="AC8" i="31"/>
  <c r="AC33" i="31"/>
  <c r="AC13" i="32"/>
  <c r="AC15" i="31"/>
  <c r="AC24" i="32"/>
  <c r="AC40" i="31"/>
  <c r="AC41" i="31"/>
  <c r="AC37" i="31"/>
  <c r="AC42" i="31"/>
  <c r="AC20" i="32"/>
  <c r="AC36" i="31"/>
  <c r="AC21" i="31"/>
  <c r="AC32" i="32"/>
  <c r="AC14" i="32"/>
  <c r="AC31" i="32"/>
  <c r="AC18" i="31"/>
  <c r="AC29" i="31"/>
  <c r="AC36" i="32"/>
  <c r="AC25" i="32"/>
  <c r="AC39" i="31"/>
  <c r="AC39" i="32"/>
  <c r="AC21" i="32"/>
  <c r="AC20" i="31"/>
  <c r="AC26" i="31"/>
  <c r="E45" i="28" l="1"/>
  <c r="F45" i="28"/>
  <c r="G44" i="28"/>
  <c r="D46" i="28"/>
  <c r="E46" i="28" l="1"/>
  <c r="G45" i="28"/>
  <c r="D47" i="28"/>
  <c r="F46" i="28"/>
  <c r="E47" i="28" l="1"/>
  <c r="G46" i="28"/>
  <c r="F47" i="28"/>
  <c r="D48" i="28"/>
  <c r="E48" i="28" l="1"/>
  <c r="F48" i="28"/>
  <c r="G47" i="28"/>
  <c r="D49" i="28"/>
  <c r="E49" i="28" l="1"/>
  <c r="G48" i="28"/>
  <c r="F49" i="28"/>
  <c r="D50" i="28"/>
  <c r="E50" i="28" l="1"/>
  <c r="F50" i="28"/>
  <c r="G49" i="28"/>
  <c r="D51" i="28"/>
  <c r="E51" i="28" l="1"/>
  <c r="D52" i="28"/>
  <c r="F51" i="28"/>
  <c r="G50" i="28"/>
  <c r="E52" i="28" l="1"/>
  <c r="D53" i="28"/>
  <c r="G51" i="28"/>
  <c r="F52" i="28"/>
  <c r="E53" i="28" l="1"/>
  <c r="F53" i="28"/>
  <c r="D54" i="28"/>
  <c r="G52" i="28"/>
  <c r="E54" i="28" l="1"/>
  <c r="D55" i="28"/>
  <c r="F54" i="28"/>
  <c r="G53" i="28"/>
  <c r="G54" i="28"/>
  <c r="E55" i="28" l="1"/>
  <c r="F55" i="28"/>
  <c r="D56" i="28"/>
  <c r="G55" i="28"/>
  <c r="E56" i="28" l="1"/>
  <c r="D57" i="28"/>
  <c r="F56" i="28"/>
  <c r="G56" i="28"/>
  <c r="E57" i="28" l="1"/>
  <c r="D58" i="28"/>
  <c r="F57" i="28"/>
  <c r="D59" i="28"/>
  <c r="G57" i="28"/>
  <c r="E58" i="28" l="1"/>
  <c r="E59" i="28"/>
  <c r="F58" i="28"/>
  <c r="F59" i="28"/>
  <c r="D60" i="28"/>
  <c r="G59" i="28"/>
  <c r="G58" i="28"/>
  <c r="E60" i="28" l="1"/>
  <c r="F60" i="28"/>
  <c r="D61" i="28"/>
  <c r="G60" i="28"/>
  <c r="E61" i="28" l="1"/>
  <c r="F61" i="28"/>
  <c r="D62" i="28"/>
  <c r="F5" i="31"/>
  <c r="F4" i="29"/>
  <c r="F4" i="30"/>
  <c r="G61" i="28"/>
  <c r="F5" i="32"/>
  <c r="E62"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E34" i="22"/>
  <c r="D20" i="21"/>
  <c r="E15" i="22"/>
  <c r="E21" i="22"/>
  <c r="E20" i="22"/>
  <c r="E22" i="22"/>
  <c r="E4" i="22"/>
  <c r="D9" i="21"/>
  <c r="E10" i="22"/>
  <c r="E7" i="22"/>
  <c r="E9" i="22"/>
  <c r="E19" i="22"/>
  <c r="E12" i="22"/>
  <c r="E33" i="22"/>
  <c r="E5" i="22"/>
  <c r="E11" i="22"/>
  <c r="D15" i="21"/>
  <c r="E24" i="22"/>
  <c r="D16" i="21"/>
  <c r="E35" i="22"/>
  <c r="D6" i="21"/>
  <c r="D12" i="21"/>
  <c r="D10" i="21"/>
  <c r="E6" i="22"/>
  <c r="E30" i="22"/>
  <c r="D22" i="21"/>
  <c r="D18" i="21"/>
  <c r="E8" i="22"/>
  <c r="D14" i="21"/>
  <c r="C5" i="26"/>
  <c r="D63" i="28"/>
  <c r="D17" i="21"/>
  <c r="C6" i="26"/>
  <c r="E31" i="22"/>
  <c r="E16" i="22"/>
  <c r="E25" i="22"/>
  <c r="E13" i="22"/>
  <c r="D5" i="21"/>
  <c r="E3" i="22"/>
  <c r="D19" i="21"/>
  <c r="E17" i="22"/>
  <c r="E23" i="22"/>
  <c r="E14" i="22"/>
  <c r="D8" i="21"/>
  <c r="E27" i="22"/>
  <c r="E32" i="22"/>
  <c r="E29" i="22"/>
  <c r="D11" i="21"/>
  <c r="E26" i="22"/>
  <c r="D21" i="21"/>
  <c r="E18" i="22"/>
  <c r="D6" i="25" a="1"/>
  <c r="D7" i="21"/>
  <c r="D13" i="21"/>
  <c r="F62" i="28"/>
  <c r="D6" i="23" a="1"/>
  <c r="E28" i="22"/>
  <c r="G4" i="29"/>
  <c r="AC5" i="31"/>
  <c r="G4" i="30"/>
  <c r="G5" i="32"/>
  <c r="AC5" i="32"/>
  <c r="G62" i="28"/>
  <c r="G5" i="31"/>
  <c r="E63"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9" i="25"/>
  <c r="F63" i="23"/>
  <c r="F86" i="25"/>
  <c r="F81" i="25"/>
  <c r="F121" i="23"/>
  <c r="E6" i="21"/>
  <c r="F13" i="25"/>
  <c r="F10" i="25"/>
  <c r="F47" i="23"/>
  <c r="F111" i="25"/>
  <c r="F113" i="25"/>
  <c r="F85" i="23"/>
  <c r="F52" i="23"/>
  <c r="F38" i="23"/>
  <c r="F85" i="25"/>
  <c r="F108" i="23"/>
  <c r="F94" i="25"/>
  <c r="F40" i="25"/>
  <c r="F92" i="25"/>
  <c r="F53" i="23"/>
  <c r="E19" i="21"/>
  <c r="F48" i="23"/>
  <c r="F19" i="23"/>
  <c r="F41" i="23"/>
  <c r="F96" i="25"/>
  <c r="F70" i="25"/>
  <c r="F82" i="23"/>
  <c r="F15" i="23"/>
  <c r="F93" i="23"/>
  <c r="F16" i="23"/>
  <c r="F6" i="22"/>
  <c r="E21" i="21"/>
  <c r="F66" i="23"/>
  <c r="F63" i="25"/>
  <c r="F22" i="23"/>
  <c r="F121" i="25"/>
  <c r="F19" i="22"/>
  <c r="F76" i="25"/>
  <c r="F10" i="23"/>
  <c r="F15" i="25"/>
  <c r="F109" i="23"/>
  <c r="F25" i="22"/>
  <c r="F56" i="25"/>
  <c r="F18" i="25"/>
  <c r="F103" i="23"/>
  <c r="F32" i="25"/>
  <c r="F43" i="25"/>
  <c r="F72" i="23"/>
  <c r="F95" i="25"/>
  <c r="F55" i="25"/>
  <c r="F17" i="22"/>
  <c r="F26" i="23"/>
  <c r="F19" i="25"/>
  <c r="F90" i="25"/>
  <c r="F35" i="23"/>
  <c r="F106" i="23"/>
  <c r="F62" i="23"/>
  <c r="F31" i="22"/>
  <c r="F65" i="23"/>
  <c r="F24" i="25"/>
  <c r="F25" i="25"/>
  <c r="F56" i="23"/>
  <c r="F24" i="22"/>
  <c r="F75" i="23"/>
  <c r="F33" i="23"/>
  <c r="F57" i="25"/>
  <c r="F124" i="23"/>
  <c r="F116" i="25"/>
  <c r="F20" i="22"/>
  <c r="F30" i="25"/>
  <c r="F31" i="25"/>
  <c r="F104" i="25"/>
  <c r="F54" i="25"/>
  <c r="F76" i="23"/>
  <c r="F11" i="22"/>
  <c r="F67" i="25"/>
  <c r="F26" i="22"/>
  <c r="F32" i="23"/>
  <c r="F100" i="25"/>
  <c r="F29" i="25"/>
  <c r="F8" i="25"/>
  <c r="E11" i="21"/>
  <c r="E8" i="21"/>
  <c r="E17" i="21"/>
  <c r="E22" i="21"/>
  <c r="F91" i="23"/>
  <c r="F6" i="25"/>
  <c r="E12" i="21"/>
  <c r="E20" i="21"/>
  <c r="F28" i="23"/>
  <c r="F90" i="23"/>
  <c r="F97" i="25"/>
  <c r="F58" i="25"/>
  <c r="F63" i="28"/>
  <c r="F20" i="25"/>
  <c r="F35" i="25"/>
  <c r="F100" i="23"/>
  <c r="F64" i="25"/>
  <c r="F14" i="22"/>
  <c r="F59" i="23"/>
  <c r="F30" i="23"/>
  <c r="F72" i="25"/>
  <c r="F117" i="23"/>
  <c r="E13" i="21"/>
  <c r="F105" i="23"/>
  <c r="F13" i="22"/>
  <c r="F67" i="23"/>
  <c r="F34" i="23"/>
  <c r="F60" i="23"/>
  <c r="F12" i="25"/>
  <c r="F34" i="25"/>
  <c r="F102" i="23"/>
  <c r="E9" i="21"/>
  <c r="F60" i="25"/>
  <c r="F80" i="23"/>
  <c r="F109" i="25"/>
  <c r="F45" i="23"/>
  <c r="F114" i="23"/>
  <c r="F97" i="23"/>
  <c r="F125" i="25"/>
  <c r="F15" i="22"/>
  <c r="F107" i="25"/>
  <c r="F29" i="22"/>
  <c r="F31" i="23"/>
  <c r="F5" i="22"/>
  <c r="F87" i="23"/>
  <c r="F95" i="23"/>
  <c r="F66" i="25"/>
  <c r="F80" i="25"/>
  <c r="F89" i="25"/>
  <c r="F11" i="23"/>
  <c r="F104" i="23"/>
  <c r="F87" i="25"/>
  <c r="F23" i="23"/>
  <c r="F114" i="25"/>
  <c r="F39" i="23"/>
  <c r="F74" i="25"/>
  <c r="F74" i="23"/>
  <c r="F13" i="23"/>
  <c r="F73" i="23"/>
  <c r="F28" i="22"/>
  <c r="F61" i="23"/>
  <c r="F47" i="25"/>
  <c r="F45" i="25"/>
  <c r="F37" i="23"/>
  <c r="F116" i="23"/>
  <c r="F117" i="25"/>
  <c r="F110" i="25"/>
  <c r="F84" i="23"/>
  <c r="F6" i="23"/>
  <c r="D6" i="26"/>
  <c r="F98" i="23"/>
  <c r="E10" i="21"/>
  <c r="F120" i="25"/>
  <c r="E16" i="21"/>
  <c r="F33" i="25"/>
  <c r="F14" i="25"/>
  <c r="F65" i="25"/>
  <c r="F40" i="23"/>
  <c r="F68" i="25"/>
  <c r="D5" i="26"/>
  <c r="D64" i="28"/>
  <c r="F18" i="22"/>
  <c r="F83" i="23"/>
  <c r="E15" i="21"/>
  <c r="F68" i="23"/>
  <c r="F77" i="25"/>
  <c r="F79" i="23"/>
  <c r="F78" i="25"/>
  <c r="F98" i="25"/>
  <c r="F84" i="25"/>
  <c r="F17" i="23"/>
  <c r="F7" i="23"/>
  <c r="F29" i="23"/>
  <c r="F89" i="23"/>
  <c r="F86" i="23"/>
  <c r="F61" i="25"/>
  <c r="F46" i="25"/>
  <c r="F14" i="23"/>
  <c r="F83" i="25"/>
  <c r="F106" i="25"/>
  <c r="F35" i="22"/>
  <c r="F43" i="23"/>
  <c r="F8" i="22"/>
  <c r="F37" i="25"/>
  <c r="F23" i="22"/>
  <c r="F54" i="23"/>
  <c r="F27" i="25"/>
  <c r="F112" i="25"/>
  <c r="F71" i="23"/>
  <c r="F99" i="23"/>
  <c r="F26" i="25"/>
  <c r="F70" i="23"/>
  <c r="F88" i="23"/>
  <c r="F9" i="22"/>
  <c r="F21" i="22"/>
  <c r="F58" i="23"/>
  <c r="F21" i="25"/>
  <c r="E5" i="21"/>
  <c r="F118" i="23"/>
  <c r="F123" i="25"/>
  <c r="F59" i="25"/>
  <c r="F118" i="25"/>
  <c r="F91" i="25"/>
  <c r="F25" i="23"/>
  <c r="F119" i="23"/>
  <c r="F125" i="23"/>
  <c r="F101" i="25"/>
  <c r="F94" i="23"/>
  <c r="F46" i="23"/>
  <c r="F8" i="23"/>
  <c r="F57" i="23"/>
  <c r="F88" i="25"/>
  <c r="F44" i="23"/>
  <c r="F103" i="25"/>
  <c r="F52" i="25"/>
  <c r="F3" i="22"/>
  <c r="F112" i="23"/>
  <c r="F36" i="25"/>
  <c r="F115" i="23"/>
  <c r="F122" i="25"/>
  <c r="F105" i="25"/>
  <c r="F51" i="25"/>
  <c r="F82" i="25"/>
  <c r="F51" i="23"/>
  <c r="F93" i="25"/>
  <c r="F41" i="25"/>
  <c r="F124" i="25"/>
  <c r="E14" i="21"/>
  <c r="F119" i="25"/>
  <c r="F75" i="25"/>
  <c r="F16" i="25"/>
  <c r="F115" i="25"/>
  <c r="F11" i="25"/>
  <c r="F20" i="23"/>
  <c r="F92" i="23"/>
  <c r="F42" i="23"/>
  <c r="E18" i="21"/>
  <c r="F48" i="25"/>
  <c r="F23" i="25"/>
  <c r="F123" i="23"/>
  <c r="F71" i="25"/>
  <c r="F27" i="22"/>
  <c r="F53" i="25"/>
  <c r="F108" i="25"/>
  <c r="F24" i="23"/>
  <c r="F102" i="25"/>
  <c r="E7" i="21"/>
  <c r="F7" i="25"/>
  <c r="F42" i="25"/>
  <c r="F16" i="22"/>
  <c r="F17" i="25"/>
  <c r="F38" i="25"/>
  <c r="F10" i="22"/>
  <c r="F62" i="25"/>
  <c r="F32" i="22"/>
  <c r="F69" i="23"/>
  <c r="F120" i="23"/>
  <c r="F44" i="25"/>
  <c r="F111" i="23"/>
  <c r="F34" i="22"/>
  <c r="F30" i="22"/>
  <c r="F9" i="23"/>
  <c r="F4" i="22"/>
  <c r="F79" i="25"/>
  <c r="F77" i="23"/>
  <c r="F22" i="22"/>
  <c r="F12" i="23"/>
  <c r="F27" i="23"/>
  <c r="F107" i="23"/>
  <c r="F99" i="25"/>
  <c r="F22" i="25"/>
  <c r="F49" i="25"/>
  <c r="F69" i="25"/>
  <c r="F101" i="23"/>
  <c r="F78" i="23"/>
  <c r="F96" i="23"/>
  <c r="F36" i="23"/>
  <c r="F39" i="25"/>
  <c r="F21" i="23"/>
  <c r="F18" i="23"/>
  <c r="F7" i="22"/>
  <c r="F55" i="23"/>
  <c r="F50" i="25"/>
  <c r="F81" i="23"/>
  <c r="F50" i="23"/>
  <c r="F33" i="22"/>
  <c r="F28" i="25"/>
  <c r="F110" i="23"/>
  <c r="F113" i="23"/>
  <c r="F49" i="23"/>
  <c r="F12" i="22"/>
  <c r="F122" i="23"/>
  <c r="F64" i="23"/>
  <c r="F73" i="25"/>
  <c r="W21" i="22"/>
  <c r="Z14" i="23"/>
  <c r="W25" i="22"/>
  <c r="P15" i="21"/>
  <c r="W28" i="22"/>
  <c r="P22" i="21"/>
  <c r="W22" i="22"/>
  <c r="Z8" i="25"/>
  <c r="W13" i="22"/>
  <c r="P16" i="21"/>
  <c r="P19" i="21"/>
  <c r="W23" i="22"/>
  <c r="W9" i="22"/>
  <c r="Z11" i="23"/>
  <c r="W26" i="22"/>
  <c r="Z17" i="23"/>
  <c r="W31" i="22"/>
  <c r="Z8" i="23"/>
  <c r="W20" i="22"/>
  <c r="P17" i="21"/>
  <c r="W32" i="22"/>
  <c r="P21" i="21"/>
  <c r="Q5" i="26"/>
  <c r="W12" i="22"/>
  <c r="Z7" i="23"/>
  <c r="Z15" i="23"/>
  <c r="P6" i="21"/>
  <c r="Z9" i="25"/>
  <c r="Z12" i="23"/>
  <c r="W11" i="22"/>
  <c r="W14" i="22"/>
  <c r="W5" i="22"/>
  <c r="Z6" i="23"/>
  <c r="W18" i="22"/>
  <c r="W16" i="22"/>
  <c r="P9" i="21"/>
  <c r="W10" i="22"/>
  <c r="Z6" i="25"/>
  <c r="P18" i="21"/>
  <c r="W19" i="22"/>
  <c r="P11" i="21"/>
  <c r="W6" i="22"/>
  <c r="W30" i="22"/>
  <c r="P10" i="21"/>
  <c r="W7" i="22"/>
  <c r="W27" i="22"/>
  <c r="P7" i="21"/>
  <c r="P5" i="21"/>
  <c r="W15" i="22"/>
  <c r="P14" i="21"/>
  <c r="P12" i="21"/>
  <c r="Z7" i="25"/>
  <c r="Z9" i="23"/>
  <c r="W24" i="22"/>
  <c r="P20" i="21"/>
  <c r="W29" i="22"/>
  <c r="W33" i="22"/>
  <c r="Z16" i="23"/>
  <c r="W17" i="22"/>
  <c r="P13" i="21"/>
  <c r="Z10" i="23"/>
  <c r="Q6" i="26"/>
  <c r="P8" i="21"/>
  <c r="Z13" i="23"/>
  <c r="W8" i="22"/>
  <c r="F5" i="23"/>
  <c r="F5" i="25"/>
  <c r="G63" i="28"/>
  <c r="D4" i="21"/>
  <c r="C4" i="26"/>
  <c r="E2" i="22"/>
  <c r="E64"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61" i="23"/>
  <c r="G88" i="23"/>
  <c r="G17" i="25"/>
  <c r="G97" i="25"/>
  <c r="G31" i="23"/>
  <c r="G98" i="23"/>
  <c r="G56" i="25"/>
  <c r="G8" i="25"/>
  <c r="G73" i="23"/>
  <c r="G101" i="25"/>
  <c r="G108" i="25"/>
  <c r="G20" i="25"/>
  <c r="G37" i="25"/>
  <c r="G38" i="25"/>
  <c r="G100" i="25"/>
  <c r="G42" i="25"/>
  <c r="G59" i="25"/>
  <c r="G45" i="23"/>
  <c r="G36" i="23"/>
  <c r="G114" i="25"/>
  <c r="G101" i="23"/>
  <c r="G81" i="23"/>
  <c r="G14" i="25"/>
  <c r="G21" i="25"/>
  <c r="G46" i="23"/>
  <c r="G30" i="25"/>
  <c r="G88" i="25"/>
  <c r="G70" i="25"/>
  <c r="G21" i="23"/>
  <c r="G79" i="23"/>
  <c r="G76" i="23"/>
  <c r="G75" i="25"/>
  <c r="G24" i="23"/>
  <c r="G125" i="25"/>
  <c r="G97" i="23"/>
  <c r="G94" i="25"/>
  <c r="G103" i="25"/>
  <c r="G12" i="23"/>
  <c r="G107" i="25"/>
  <c r="G13" i="25"/>
  <c r="G69" i="23"/>
  <c r="G99" i="25"/>
  <c r="G52" i="25"/>
  <c r="G25" i="25"/>
  <c r="G49" i="25"/>
  <c r="G41" i="25"/>
  <c r="G28" i="23"/>
  <c r="G51" i="25"/>
  <c r="G27" i="25"/>
  <c r="G63" i="25"/>
  <c r="G117" i="23"/>
  <c r="G121" i="23"/>
  <c r="G32" i="23"/>
  <c r="G120" i="23"/>
  <c r="G33" i="25"/>
  <c r="G94" i="23"/>
  <c r="G91" i="23"/>
  <c r="G113" i="25"/>
  <c r="G39" i="23"/>
  <c r="G52" i="23"/>
  <c r="G96" i="25"/>
  <c r="G124" i="23"/>
  <c r="G59" i="23"/>
  <c r="G18" i="23"/>
  <c r="G67" i="23"/>
  <c r="G83" i="23"/>
  <c r="G45" i="25"/>
  <c r="G64" i="23"/>
  <c r="G74" i="25"/>
  <c r="G23" i="25"/>
  <c r="G58" i="25"/>
  <c r="G102" i="23"/>
  <c r="G109" i="23"/>
  <c r="G36" i="25"/>
  <c r="G46" i="25"/>
  <c r="G9" i="23"/>
  <c r="G117" i="25"/>
  <c r="G71" i="25"/>
  <c r="G9" i="25"/>
  <c r="G122" i="25"/>
  <c r="G80" i="23"/>
  <c r="G124" i="25"/>
  <c r="G109" i="25"/>
  <c r="G37" i="23"/>
  <c r="G16" i="23"/>
  <c r="G19" i="23"/>
  <c r="G12" i="25"/>
  <c r="G11" i="25"/>
  <c r="G66" i="25"/>
  <c r="G63" i="23"/>
  <c r="G17" i="23"/>
  <c r="G93" i="23"/>
  <c r="G40" i="23"/>
  <c r="G40" i="25"/>
  <c r="G68" i="25"/>
  <c r="G95" i="23"/>
  <c r="G115" i="25"/>
  <c r="G14" i="23"/>
  <c r="G104" i="23"/>
  <c r="G116" i="23"/>
  <c r="G82" i="25"/>
  <c r="G54" i="23"/>
  <c r="G20" i="23"/>
  <c r="G16" i="25"/>
  <c r="G68" i="23"/>
  <c r="G53" i="23"/>
  <c r="G107" i="23"/>
  <c r="G112" i="23"/>
  <c r="G10" i="23"/>
  <c r="G8" i="23"/>
  <c r="G110" i="23"/>
  <c r="G6" i="25"/>
  <c r="G44" i="23"/>
  <c r="G106" i="25"/>
  <c r="G65" i="23"/>
  <c r="G90" i="25"/>
  <c r="G65" i="25"/>
  <c r="G39" i="25"/>
  <c r="G50" i="25"/>
  <c r="G84" i="23"/>
  <c r="G15" i="23"/>
  <c r="G103" i="23"/>
  <c r="G80" i="25"/>
  <c r="G26" i="25"/>
  <c r="G29" i="25"/>
  <c r="G100" i="23"/>
  <c r="G7" i="25"/>
  <c r="G38" i="23"/>
  <c r="G89" i="23"/>
  <c r="G73" i="25"/>
  <c r="G19" i="25"/>
  <c r="G57" i="23"/>
  <c r="G82" i="23"/>
  <c r="G23" i="23"/>
  <c r="G51" i="23"/>
  <c r="G34" i="23"/>
  <c r="G81" i="25"/>
  <c r="G54" i="25"/>
  <c r="G104" i="25"/>
  <c r="G76" i="25"/>
  <c r="G87" i="23"/>
  <c r="G49" i="23"/>
  <c r="G70" i="23"/>
  <c r="G86" i="23"/>
  <c r="G119" i="23"/>
  <c r="G62" i="23"/>
  <c r="F64" i="28"/>
  <c r="G72" i="25"/>
  <c r="G13" i="23"/>
  <c r="G115" i="23"/>
  <c r="G83" i="25"/>
  <c r="G35" i="23"/>
  <c r="G62" i="25"/>
  <c r="G110" i="25"/>
  <c r="G106" i="23"/>
  <c r="G27" i="23"/>
  <c r="G92" i="23"/>
  <c r="G57" i="25"/>
  <c r="G84" i="25"/>
  <c r="G91" i="25"/>
  <c r="G105" i="23"/>
  <c r="G56" i="23"/>
  <c r="G48" i="25"/>
  <c r="G50" i="23"/>
  <c r="G7" i="23"/>
  <c r="G99" i="23"/>
  <c r="G75" i="23"/>
  <c r="G111" i="25"/>
  <c r="G22" i="25"/>
  <c r="G79" i="25"/>
  <c r="G47" i="25"/>
  <c r="G102" i="25"/>
  <c r="G53" i="25"/>
  <c r="G71" i="23"/>
  <c r="G85" i="25"/>
  <c r="G89" i="25"/>
  <c r="G90" i="23"/>
  <c r="G55" i="25"/>
  <c r="G92" i="25"/>
  <c r="G118" i="23"/>
  <c r="G10" i="25"/>
  <c r="G98" i="25"/>
  <c r="G77" i="23"/>
  <c r="G93" i="25"/>
  <c r="G108" i="23"/>
  <c r="G24" i="25"/>
  <c r="G87" i="25"/>
  <c r="G15" i="25"/>
  <c r="G11" i="23"/>
  <c r="G119" i="25"/>
  <c r="G96" i="23"/>
  <c r="G41" i="23"/>
  <c r="G32" i="25"/>
  <c r="G48" i="23"/>
  <c r="D65" i="28"/>
  <c r="G43" i="23"/>
  <c r="G95" i="25"/>
  <c r="G122" i="23"/>
  <c r="G64" i="25"/>
  <c r="G60" i="23"/>
  <c r="G30" i="23"/>
  <c r="G44" i="25"/>
  <c r="G43" i="25"/>
  <c r="G105" i="25"/>
  <c r="G118" i="25"/>
  <c r="G18" i="25"/>
  <c r="G6" i="23"/>
  <c r="G69" i="25"/>
  <c r="G55" i="23"/>
  <c r="G47" i="23"/>
  <c r="G113" i="23"/>
  <c r="G61" i="25"/>
  <c r="G116" i="25"/>
  <c r="G85" i="23"/>
  <c r="G42" i="23"/>
  <c r="G67" i="25"/>
  <c r="G33" i="23"/>
  <c r="G28" i="25"/>
  <c r="G34" i="25"/>
  <c r="G123" i="23"/>
  <c r="G66" i="23"/>
  <c r="G26" i="23"/>
  <c r="G121" i="25"/>
  <c r="G111" i="23"/>
  <c r="G29" i="23"/>
  <c r="G120" i="25"/>
  <c r="G86" i="25"/>
  <c r="G114" i="23"/>
  <c r="G31" i="25"/>
  <c r="G112" i="25"/>
  <c r="G25" i="23"/>
  <c r="G78" i="23"/>
  <c r="G22" i="23"/>
  <c r="G78" i="25"/>
  <c r="G77" i="25"/>
  <c r="G58" i="23"/>
  <c r="G72" i="23"/>
  <c r="G125" i="23"/>
  <c r="G60" i="25"/>
  <c r="G35" i="25"/>
  <c r="G123" i="25"/>
  <c r="G74" i="23"/>
  <c r="Q3" i="26"/>
  <c r="F2" i="22"/>
  <c r="G64" i="28"/>
  <c r="E4" i="21"/>
  <c r="D4" i="26"/>
  <c r="G5" i="23"/>
  <c r="G5" i="25"/>
  <c r="E65" i="28" l="1"/>
  <c r="E5" i="17"/>
  <c r="E5" i="19"/>
  <c r="C6" i="19"/>
  <c r="E5" i="18"/>
  <c r="E4" i="18"/>
  <c r="C7" i="18"/>
  <c r="E6" i="18"/>
  <c r="C6" i="17"/>
  <c r="F5" i="18"/>
  <c r="D66" i="28"/>
  <c r="F5" i="17"/>
  <c r="F6" i="18"/>
  <c r="F5" i="19"/>
  <c r="F65" i="28"/>
  <c r="G65" i="28"/>
  <c r="E66" i="28" l="1"/>
  <c r="H3" i="48"/>
  <c r="C7" i="19"/>
  <c r="E6" i="19"/>
  <c r="E7" i="18"/>
  <c r="C8" i="18"/>
  <c r="E4" i="17"/>
  <c r="C7" i="17"/>
  <c r="E6" i="17"/>
  <c r="G5" i="17"/>
  <c r="N3" i="48"/>
  <c r="G5" i="19"/>
  <c r="F6" i="17"/>
  <c r="F7" i="18"/>
  <c r="F66" i="28"/>
  <c r="J3" i="48"/>
  <c r="G6" i="18"/>
  <c r="G5" i="18"/>
  <c r="F6" i="19"/>
  <c r="D67" i="28"/>
  <c r="G66" i="28"/>
  <c r="E67" i="28" l="1"/>
  <c r="H3" i="50"/>
  <c r="H4" i="48"/>
  <c r="H3" i="47"/>
  <c r="E7" i="19"/>
  <c r="C8" i="19"/>
  <c r="E8" i="18"/>
  <c r="C9" i="18"/>
  <c r="C8" i="17"/>
  <c r="E7" i="17"/>
  <c r="G7" i="18"/>
  <c r="F8" i="18"/>
  <c r="G6" i="17"/>
  <c r="F7" i="19"/>
  <c r="D68" i="28"/>
  <c r="J3" i="47"/>
  <c r="F7" i="17"/>
  <c r="N3" i="50"/>
  <c r="J4" i="48"/>
  <c r="J3" i="50"/>
  <c r="G6" i="19"/>
  <c r="K3" i="48"/>
  <c r="F67" i="28"/>
  <c r="G67" i="28"/>
  <c r="E68" i="28" l="1"/>
  <c r="H4" i="50"/>
  <c r="H5" i="48"/>
  <c r="H4" i="47"/>
  <c r="E8" i="19"/>
  <c r="C9" i="19"/>
  <c r="C10" i="18"/>
  <c r="E9" i="18"/>
  <c r="E8" i="17"/>
  <c r="C9" i="17"/>
  <c r="G7" i="17"/>
  <c r="J4" i="50"/>
  <c r="G7" i="19"/>
  <c r="J5" i="48"/>
  <c r="K4" i="48"/>
  <c r="F8" i="19"/>
  <c r="J4" i="47"/>
  <c r="F9" i="18"/>
  <c r="F68" i="28"/>
  <c r="K3" i="47"/>
  <c r="F8" i="17"/>
  <c r="K3" i="50"/>
  <c r="G8" i="18"/>
  <c r="D69" i="28"/>
  <c r="G68" i="28"/>
  <c r="E69" i="28" l="1"/>
  <c r="H5" i="50"/>
  <c r="H6" i="48"/>
  <c r="H5" i="47"/>
  <c r="E4" i="19"/>
  <c r="C10" i="19"/>
  <c r="E9" i="19"/>
  <c r="E10" i="18"/>
  <c r="C11" i="18"/>
  <c r="C10" i="17"/>
  <c r="E9" i="17"/>
  <c r="F9" i="19"/>
  <c r="F69" i="28"/>
  <c r="F10" i="18"/>
  <c r="K4" i="47"/>
  <c r="G9" i="18"/>
  <c r="D70" i="28"/>
  <c r="J6" i="48"/>
  <c r="K5" i="48"/>
  <c r="K4" i="50"/>
  <c r="J5" i="50"/>
  <c r="G8" i="19"/>
  <c r="J5" i="47"/>
  <c r="F9" i="17"/>
  <c r="G8" i="17"/>
  <c r="G69" i="28"/>
  <c r="E70" i="28" l="1"/>
  <c r="H6" i="50"/>
  <c r="H7" i="48"/>
  <c r="H6" i="47"/>
  <c r="E10" i="19"/>
  <c r="C11" i="19"/>
  <c r="E11" i="18"/>
  <c r="C12" i="18"/>
  <c r="E10" i="17"/>
  <c r="C11" i="17"/>
  <c r="F10" i="19"/>
  <c r="J6" i="50"/>
  <c r="K5" i="50"/>
  <c r="K6" i="48"/>
  <c r="F11" i="18"/>
  <c r="F10" i="17"/>
  <c r="D71" i="28"/>
  <c r="J6" i="47"/>
  <c r="G9" i="17"/>
  <c r="F70" i="28"/>
  <c r="G9" i="19"/>
  <c r="G10" i="18"/>
  <c r="J7" i="48"/>
  <c r="K5" i="47"/>
  <c r="G70" i="28"/>
  <c r="E71" i="28" l="1"/>
  <c r="H7" i="50"/>
  <c r="H8" i="48"/>
  <c r="H7" i="47"/>
  <c r="C12" i="19"/>
  <c r="E11" i="19"/>
  <c r="C13" i="18"/>
  <c r="E12" i="18"/>
  <c r="C12" i="17"/>
  <c r="E11" i="17"/>
  <c r="F11" i="17"/>
  <c r="J7" i="50"/>
  <c r="J8" i="48"/>
  <c r="K6" i="50"/>
  <c r="G11" i="18"/>
  <c r="G10" i="17"/>
  <c r="D72" i="28"/>
  <c r="F71" i="28"/>
  <c r="F11" i="19"/>
  <c r="F12" i="18"/>
  <c r="G10" i="19"/>
  <c r="J7" i="47"/>
  <c r="K6" i="47"/>
  <c r="K7" i="48"/>
  <c r="G71" i="28"/>
  <c r="E72" i="28" l="1"/>
  <c r="H8" i="50"/>
  <c r="H9" i="48"/>
  <c r="H8" i="47"/>
  <c r="E12" i="19"/>
  <c r="C13" i="19"/>
  <c r="E13" i="18"/>
  <c r="C14" i="18"/>
  <c r="E12" i="17"/>
  <c r="C13" i="17"/>
  <c r="F12" i="17"/>
  <c r="J9" i="48"/>
  <c r="J8" i="47"/>
  <c r="G11" i="17"/>
  <c r="K7" i="47"/>
  <c r="K8" i="48"/>
  <c r="F13" i="18"/>
  <c r="F72" i="28"/>
  <c r="D73" i="28"/>
  <c r="K7" i="50"/>
  <c r="G11" i="19"/>
  <c r="J8" i="50"/>
  <c r="G12" i="18"/>
  <c r="F12" i="19"/>
  <c r="G72" i="28"/>
  <c r="E73" i="28" l="1"/>
  <c r="H9" i="50"/>
  <c r="H10" i="48"/>
  <c r="H9" i="47"/>
  <c r="E13" i="19"/>
  <c r="C14" i="19"/>
  <c r="C15" i="18"/>
  <c r="E14" i="18"/>
  <c r="E13" i="17"/>
  <c r="C14" i="17"/>
  <c r="G12" i="19"/>
  <c r="J9" i="50"/>
  <c r="G13" i="18"/>
  <c r="F13" i="17"/>
  <c r="D74" i="28"/>
  <c r="K9" i="48"/>
  <c r="G12" i="17"/>
  <c r="F14" i="18"/>
  <c r="F73" i="28"/>
  <c r="K8" i="47"/>
  <c r="J10" i="48"/>
  <c r="K8" i="50"/>
  <c r="F13" i="19"/>
  <c r="J9" i="47"/>
  <c r="G73" i="28"/>
  <c r="E74" i="28" l="1"/>
  <c r="H10" i="50"/>
  <c r="H11" i="48"/>
  <c r="H10" i="47"/>
  <c r="C15" i="19"/>
  <c r="E14" i="19"/>
  <c r="C16" i="18"/>
  <c r="E15" i="18"/>
  <c r="C15" i="17"/>
  <c r="E14" i="17"/>
  <c r="J11" i="48"/>
  <c r="K10" i="48"/>
  <c r="F14" i="19"/>
  <c r="F74" i="28"/>
  <c r="F14" i="17"/>
  <c r="G14" i="18"/>
  <c r="K9" i="47"/>
  <c r="K9" i="50"/>
  <c r="G13" i="19"/>
  <c r="D75" i="28"/>
  <c r="J10" i="47"/>
  <c r="G13" i="17"/>
  <c r="F15" i="18"/>
  <c r="J10" i="50"/>
  <c r="G74" i="28"/>
  <c r="E75" i="28" l="1"/>
  <c r="H11" i="50"/>
  <c r="H12" i="48"/>
  <c r="H11" i="47"/>
  <c r="E15" i="19"/>
  <c r="C16" i="19"/>
  <c r="C17" i="18"/>
  <c r="E16" i="18"/>
  <c r="E15" i="17"/>
  <c r="C16" i="17"/>
  <c r="J11" i="47"/>
  <c r="K10" i="47"/>
  <c r="G15" i="18"/>
  <c r="J12" i="48"/>
  <c r="F75" i="28"/>
  <c r="G14" i="17"/>
  <c r="F15" i="19"/>
  <c r="D76" i="28"/>
  <c r="K10" i="50"/>
  <c r="G14" i="19"/>
  <c r="J11" i="50"/>
  <c r="K11" i="48"/>
  <c r="D77" i="28"/>
  <c r="F16" i="18"/>
  <c r="F15" i="17"/>
  <c r="G75" i="28"/>
  <c r="E76" i="28" l="1"/>
  <c r="E77" i="28"/>
  <c r="H12" i="50"/>
  <c r="H13" i="48"/>
  <c r="H12" i="47"/>
  <c r="E16" i="19"/>
  <c r="C17" i="19"/>
  <c r="C18" i="18"/>
  <c r="E17" i="18"/>
  <c r="E16" i="17"/>
  <c r="C17" i="17"/>
  <c r="K11" i="47"/>
  <c r="F16" i="17"/>
  <c r="G16" i="18"/>
  <c r="G15" i="19"/>
  <c r="F77" i="28"/>
  <c r="F17" i="18"/>
  <c r="K11" i="50"/>
  <c r="K12" i="48"/>
  <c r="G15" i="17"/>
  <c r="J12" i="50"/>
  <c r="J12" i="47"/>
  <c r="F76" i="28"/>
  <c r="J13" i="48"/>
  <c r="F16" i="19"/>
  <c r="G76" i="28"/>
  <c r="G77" i="28"/>
  <c r="F4" i="28"/>
  <c r="H13" i="50" l="1"/>
  <c r="H14" i="48"/>
  <c r="H13" i="47"/>
  <c r="C18" i="19"/>
  <c r="E17" i="19"/>
  <c r="E18" i="18"/>
  <c r="C19" i="18"/>
  <c r="C18" i="17"/>
  <c r="E17" i="17"/>
  <c r="F17" i="19"/>
  <c r="F18" i="18"/>
  <c r="J14" i="48"/>
  <c r="J13" i="47"/>
  <c r="G16" i="19"/>
  <c r="J13" i="50"/>
  <c r="F17" i="17"/>
  <c r="K13" i="48"/>
  <c r="K12" i="47"/>
  <c r="G16" i="17"/>
  <c r="G17" i="18"/>
  <c r="K12" i="50"/>
  <c r="G4" i="28"/>
  <c r="H14" i="50" l="1"/>
  <c r="H15" i="48"/>
  <c r="H14" i="47"/>
  <c r="E18" i="19"/>
  <c r="C19" i="19"/>
  <c r="E19" i="18"/>
  <c r="C20" i="18"/>
  <c r="E18" i="17"/>
  <c r="C19" i="17"/>
  <c r="F19" i="18"/>
  <c r="G17" i="19"/>
  <c r="F18" i="17"/>
  <c r="G17" i="17"/>
  <c r="G18" i="18"/>
  <c r="J14" i="47"/>
  <c r="K13" i="50"/>
  <c r="K14" i="48"/>
  <c r="J14" i="50"/>
  <c r="F18" i="19"/>
  <c r="K13" i="47"/>
  <c r="J15" i="48"/>
  <c r="H15" i="50" l="1"/>
  <c r="H16" i="48"/>
  <c r="H15" i="47"/>
  <c r="C20" i="19"/>
  <c r="E19" i="19"/>
  <c r="C21" i="18"/>
  <c r="E20" i="18"/>
  <c r="C20" i="17"/>
  <c r="E19" i="17"/>
  <c r="G18" i="19"/>
  <c r="K15" i="48"/>
  <c r="F19" i="19"/>
  <c r="J15" i="50"/>
  <c r="G18" i="17"/>
  <c r="F19" i="17"/>
  <c r="K14" i="50"/>
  <c r="F20" i="18"/>
  <c r="J15" i="47"/>
  <c r="J16" i="48"/>
  <c r="G19" i="18"/>
  <c r="K14" i="47"/>
  <c r="H16" i="50" l="1"/>
  <c r="H17" i="48"/>
  <c r="H16" i="47"/>
  <c r="E20" i="19"/>
  <c r="C21" i="19"/>
  <c r="C22" i="18"/>
  <c r="E21" i="18"/>
  <c r="E20" i="17"/>
  <c r="C21" i="17"/>
  <c r="J16" i="47"/>
  <c r="F20" i="17"/>
  <c r="K16" i="48"/>
  <c r="J16" i="50"/>
  <c r="K15" i="47"/>
  <c r="G19" i="19"/>
  <c r="F21" i="18"/>
  <c r="J17" i="48"/>
  <c r="K15" i="50"/>
  <c r="G19" i="17"/>
  <c r="G20" i="18"/>
  <c r="F20" i="19"/>
  <c r="H17" i="50" l="1"/>
  <c r="H18" i="48"/>
  <c r="H17" i="47"/>
  <c r="E21" i="19"/>
  <c r="C22" i="19"/>
  <c r="E22" i="18"/>
  <c r="C23" i="18"/>
  <c r="E21" i="17"/>
  <c r="C22" i="17"/>
  <c r="K16" i="50"/>
  <c r="G21" i="18"/>
  <c r="J17" i="50"/>
  <c r="G20" i="19"/>
  <c r="G20" i="17"/>
  <c r="J18" i="48"/>
  <c r="F21" i="17"/>
  <c r="K17" i="48"/>
  <c r="J17" i="47"/>
  <c r="K16" i="47"/>
  <c r="F21" i="19"/>
  <c r="F22" i="18"/>
  <c r="H18" i="50" l="1"/>
  <c r="H19" i="48"/>
  <c r="H18" i="47"/>
  <c r="C23" i="19"/>
  <c r="E22" i="19"/>
  <c r="C24" i="18"/>
  <c r="E23" i="18"/>
  <c r="C23" i="17"/>
  <c r="E22" i="17"/>
  <c r="J18" i="50"/>
  <c r="F23" i="18"/>
  <c r="K17" i="50"/>
  <c r="G22" i="18"/>
  <c r="K17" i="47"/>
  <c r="G21" i="17"/>
  <c r="J18" i="47"/>
  <c r="J19" i="48"/>
  <c r="K18" i="48"/>
  <c r="G21" i="19"/>
  <c r="F22" i="19"/>
  <c r="F22" i="17"/>
  <c r="H19" i="50" l="1"/>
  <c r="H20" i="48"/>
  <c r="H19" i="47"/>
  <c r="E23" i="19"/>
  <c r="C24" i="19"/>
  <c r="C25" i="18"/>
  <c r="E24" i="18"/>
  <c r="E23" i="17"/>
  <c r="C24" i="17"/>
  <c r="G22" i="17"/>
  <c r="K18" i="47"/>
  <c r="K18" i="50"/>
  <c r="G22" i="19"/>
  <c r="J19" i="47"/>
  <c r="G23" i="18"/>
  <c r="F24" i="18"/>
  <c r="J20" i="48"/>
  <c r="F23" i="19"/>
  <c r="K19" i="48"/>
  <c r="F23" i="17"/>
  <c r="J19" i="50"/>
  <c r="H20" i="50" l="1"/>
  <c r="H21" i="48"/>
  <c r="H20" i="47"/>
  <c r="E24" i="19"/>
  <c r="C25" i="19"/>
  <c r="C26" i="18"/>
  <c r="E25" i="18"/>
  <c r="E24" i="17"/>
  <c r="C25" i="17"/>
  <c r="F25" i="18"/>
  <c r="G23" i="19"/>
  <c r="J20" i="50"/>
  <c r="J21" i="48"/>
  <c r="J20" i="47"/>
  <c r="K19" i="50"/>
  <c r="G23" i="17"/>
  <c r="K20" i="48"/>
  <c r="G24" i="18"/>
  <c r="F24" i="19"/>
  <c r="F24" i="17"/>
  <c r="K19" i="47"/>
  <c r="H21" i="50" l="1"/>
  <c r="H22" i="48"/>
  <c r="H21" i="47"/>
  <c r="C26" i="19"/>
  <c r="E25" i="19"/>
  <c r="E26" i="18"/>
  <c r="C27" i="18"/>
  <c r="C26" i="17"/>
  <c r="E25" i="17"/>
  <c r="K20" i="50"/>
  <c r="K20" i="47"/>
  <c r="F25" i="19"/>
  <c r="G24" i="17"/>
  <c r="F26" i="18"/>
  <c r="K21" i="48"/>
  <c r="F25" i="17"/>
  <c r="G25" i="18"/>
  <c r="J22" i="48"/>
  <c r="G24" i="19"/>
  <c r="J21" i="47"/>
  <c r="J21" i="50"/>
  <c r="H22" i="50" l="1"/>
  <c r="H23" i="48"/>
  <c r="H22" i="47"/>
  <c r="E26" i="19"/>
  <c r="C27" i="19"/>
  <c r="E27" i="18"/>
  <c r="C28" i="18"/>
  <c r="E26" i="17"/>
  <c r="C27" i="17"/>
  <c r="G25" i="19"/>
  <c r="J22" i="50"/>
  <c r="J22" i="47"/>
  <c r="F27" i="18"/>
  <c r="G25" i="17"/>
  <c r="F26" i="17"/>
  <c r="F26" i="19"/>
  <c r="K22" i="48"/>
  <c r="K21" i="50"/>
  <c r="G26" i="18"/>
  <c r="K21" i="47"/>
  <c r="J23" i="48"/>
  <c r="H23" i="50" l="1"/>
  <c r="H24" i="48"/>
  <c r="H23" i="47"/>
  <c r="C28" i="19"/>
  <c r="E27" i="19"/>
  <c r="C29" i="18"/>
  <c r="E28" i="18"/>
  <c r="C28" i="17"/>
  <c r="E27" i="17"/>
  <c r="J24" i="48"/>
  <c r="K22" i="50"/>
  <c r="G26" i="17"/>
  <c r="J23" i="47"/>
  <c r="G26" i="19"/>
  <c r="F27" i="17"/>
  <c r="G27" i="18"/>
  <c r="K23" i="48"/>
  <c r="K22" i="47"/>
  <c r="F28" i="18"/>
  <c r="J23" i="50"/>
  <c r="F27" i="19"/>
  <c r="H24" i="50" l="1"/>
  <c r="H25" i="48"/>
  <c r="H24" i="47"/>
  <c r="E28" i="19"/>
  <c r="C29" i="19"/>
  <c r="C30" i="18"/>
  <c r="E29" i="18"/>
  <c r="E28" i="17"/>
  <c r="C29" i="17"/>
  <c r="K24" i="48"/>
  <c r="K23" i="50"/>
  <c r="K23" i="47"/>
  <c r="G27" i="19"/>
  <c r="G27" i="17"/>
  <c r="F29" i="18"/>
  <c r="G28" i="18"/>
  <c r="F28" i="19"/>
  <c r="J24" i="50"/>
  <c r="J25" i="48"/>
  <c r="J24" i="47"/>
  <c r="F28" i="17"/>
  <c r="H25" i="50" l="1"/>
  <c r="H26" i="48"/>
  <c r="H25" i="47"/>
  <c r="E29" i="19"/>
  <c r="C30" i="19"/>
  <c r="E30" i="18"/>
  <c r="C31" i="18"/>
  <c r="E29" i="17"/>
  <c r="C30" i="17"/>
  <c r="J25" i="47"/>
  <c r="F30" i="18"/>
  <c r="G28" i="19"/>
  <c r="J26" i="48"/>
  <c r="K24" i="50"/>
  <c r="G29" i="18"/>
  <c r="F29" i="19"/>
  <c r="F29" i="17"/>
  <c r="J25" i="50"/>
  <c r="K24" i="47"/>
  <c r="G28" i="17"/>
  <c r="K25" i="48"/>
  <c r="H26" i="50" l="1"/>
  <c r="H27" i="48"/>
  <c r="H26" i="47"/>
  <c r="C31" i="19"/>
  <c r="E30" i="19"/>
  <c r="E31" i="18"/>
  <c r="C32" i="18"/>
  <c r="C31" i="17"/>
  <c r="E30" i="17"/>
  <c r="F30" i="19"/>
  <c r="J26" i="47"/>
  <c r="J27" i="48"/>
  <c r="F30" i="17"/>
  <c r="K26" i="48"/>
  <c r="G30" i="18"/>
  <c r="G29" i="19"/>
  <c r="K25" i="50"/>
  <c r="G29" i="17"/>
  <c r="K25" i="47"/>
  <c r="J26" i="50"/>
  <c r="F31" i="18"/>
  <c r="H27" i="50" l="1"/>
  <c r="H28" i="48"/>
  <c r="H27" i="47"/>
  <c r="E31" i="19"/>
  <c r="C32" i="19"/>
  <c r="C33" i="18"/>
  <c r="E32" i="18"/>
  <c r="C32" i="17"/>
  <c r="E31" i="17"/>
  <c r="J27" i="50"/>
  <c r="K26" i="47"/>
  <c r="J27" i="47"/>
  <c r="G31" i="18"/>
  <c r="F32" i="18"/>
  <c r="K27" i="48"/>
  <c r="K26" i="50"/>
  <c r="G30" i="17"/>
  <c r="G30" i="19"/>
  <c r="F31" i="19"/>
  <c r="J28" i="48"/>
  <c r="F31" i="17"/>
  <c r="H28" i="50" l="1"/>
  <c r="H29" i="48"/>
  <c r="H28" i="47"/>
  <c r="E32" i="19"/>
  <c r="C33" i="19"/>
  <c r="C34" i="18"/>
  <c r="E33" i="18"/>
  <c r="E32" i="17"/>
  <c r="C33" i="17"/>
  <c r="G32" i="18"/>
  <c r="F32" i="19"/>
  <c r="J28" i="50"/>
  <c r="F33" i="18"/>
  <c r="G31" i="19"/>
  <c r="K27" i="50"/>
  <c r="G31" i="17"/>
  <c r="J28" i="47"/>
  <c r="K27" i="47"/>
  <c r="J29" i="48"/>
  <c r="K28" i="48"/>
  <c r="F32" i="17"/>
  <c r="H29" i="50" l="1"/>
  <c r="H30" i="48"/>
  <c r="H29" i="47"/>
  <c r="C34" i="19"/>
  <c r="E33" i="19"/>
  <c r="E34" i="18"/>
  <c r="C35" i="18"/>
  <c r="C34" i="17"/>
  <c r="E33" i="17"/>
  <c r="F33" i="19"/>
  <c r="K28" i="50"/>
  <c r="G32" i="19"/>
  <c r="K28" i="47"/>
  <c r="J30" i="48"/>
  <c r="J29" i="47"/>
  <c r="K29" i="48"/>
  <c r="G32" i="17"/>
  <c r="J29" i="50"/>
  <c r="F33" i="17"/>
  <c r="F34" i="18"/>
  <c r="G33" i="18"/>
  <c r="H30" i="50" l="1"/>
  <c r="H31" i="48"/>
  <c r="H30" i="47"/>
  <c r="E34" i="19"/>
  <c r="C35" i="19"/>
  <c r="E35" i="18"/>
  <c r="C36" i="18"/>
  <c r="E34" i="17"/>
  <c r="C35" i="17"/>
  <c r="K30" i="48"/>
  <c r="J30" i="50"/>
  <c r="F35" i="18"/>
  <c r="F34" i="17"/>
  <c r="J31" i="48"/>
  <c r="G33" i="19"/>
  <c r="F34" i="19"/>
  <c r="K29" i="47"/>
  <c r="K29" i="50"/>
  <c r="J30" i="47"/>
  <c r="G34" i="18"/>
  <c r="G33" i="17"/>
  <c r="H31" i="50" l="1"/>
  <c r="H32" i="48"/>
  <c r="H31" i="47"/>
  <c r="C36" i="19"/>
  <c r="E35" i="19"/>
  <c r="C37" i="18"/>
  <c r="E36" i="18"/>
  <c r="C36" i="17"/>
  <c r="E35" i="17"/>
  <c r="F35" i="17"/>
  <c r="J31" i="50"/>
  <c r="J32" i="48"/>
  <c r="K31" i="48"/>
  <c r="F36" i="18"/>
  <c r="J31" i="47"/>
  <c r="G35" i="18"/>
  <c r="G34" i="17"/>
  <c r="F35" i="19"/>
  <c r="G34" i="19"/>
  <c r="K30" i="47"/>
  <c r="K30" i="50"/>
  <c r="H32" i="50" l="1"/>
  <c r="H33" i="48"/>
  <c r="H32" i="47"/>
  <c r="E36" i="19"/>
  <c r="C37" i="19"/>
  <c r="E37" i="18"/>
  <c r="C38" i="18"/>
  <c r="E36" i="17"/>
  <c r="C37" i="17"/>
  <c r="K31" i="47"/>
  <c r="J33" i="48"/>
  <c r="J32" i="50"/>
  <c r="G35" i="17"/>
  <c r="G35" i="19"/>
  <c r="F36" i="19"/>
  <c r="F37" i="18"/>
  <c r="F36" i="17"/>
  <c r="G36" i="18"/>
  <c r="K31" i="50"/>
  <c r="J32" i="47"/>
  <c r="K32" i="48"/>
  <c r="H33" i="50" l="1"/>
  <c r="H34" i="48"/>
  <c r="H33" i="47"/>
  <c r="E37" i="19"/>
  <c r="C38" i="19"/>
  <c r="E38" i="18"/>
  <c r="C39" i="18"/>
  <c r="E37" i="17"/>
  <c r="C38" i="17"/>
  <c r="G36" i="17"/>
  <c r="K32" i="47"/>
  <c r="J33" i="50"/>
  <c r="K32" i="50"/>
  <c r="F38" i="18"/>
  <c r="G37" i="18"/>
  <c r="J33" i="47"/>
  <c r="G36" i="19"/>
  <c r="F37" i="19"/>
  <c r="F37" i="17"/>
  <c r="K33" i="48"/>
  <c r="J34" i="48"/>
  <c r="H34" i="50" l="1"/>
  <c r="H35" i="48"/>
  <c r="H34" i="47"/>
  <c r="C39" i="19"/>
  <c r="E38" i="19"/>
  <c r="E39" i="18"/>
  <c r="C40" i="18"/>
  <c r="C39" i="17"/>
  <c r="E38" i="17"/>
  <c r="J34" i="50"/>
  <c r="K33" i="47"/>
  <c r="F39" i="18"/>
  <c r="G38" i="18"/>
  <c r="J35" i="48"/>
  <c r="G37" i="17"/>
  <c r="F38" i="17"/>
  <c r="F38" i="19"/>
  <c r="K34" i="48"/>
  <c r="J34" i="47"/>
  <c r="G37" i="19"/>
  <c r="K33" i="50"/>
  <c r="H35" i="50" l="1"/>
  <c r="H36" i="48"/>
  <c r="H35" i="47"/>
  <c r="E39" i="19"/>
  <c r="C40" i="19"/>
  <c r="E40" i="18"/>
  <c r="C41" i="18"/>
  <c r="C40" i="17"/>
  <c r="E39" i="17"/>
  <c r="J35" i="50"/>
  <c r="G38" i="17"/>
  <c r="K34" i="47"/>
  <c r="G39" i="18"/>
  <c r="F40" i="18"/>
  <c r="K35" i="48"/>
  <c r="K34" i="50"/>
  <c r="G38" i="19"/>
  <c r="J35" i="47"/>
  <c r="F39" i="17"/>
  <c r="J36" i="48"/>
  <c r="F39" i="19"/>
  <c r="H36" i="50" l="1"/>
  <c r="H37" i="48"/>
  <c r="H36" i="47"/>
  <c r="C41" i="19"/>
  <c r="E40" i="19"/>
  <c r="E41" i="18"/>
  <c r="C42" i="18"/>
  <c r="E42" i="18" s="1"/>
  <c r="E40" i="17"/>
  <c r="C41" i="17"/>
  <c r="K35" i="47"/>
  <c r="J36" i="47"/>
  <c r="G39" i="19"/>
  <c r="K36" i="48"/>
  <c r="G40" i="18"/>
  <c r="G39" i="17"/>
  <c r="J37" i="48"/>
  <c r="F42" i="18"/>
  <c r="K35" i="50"/>
  <c r="F40" i="17"/>
  <c r="F40" i="19"/>
  <c r="F41" i="18"/>
  <c r="J36" i="50"/>
  <c r="F4" i="18"/>
  <c r="H37" i="50" l="1"/>
  <c r="H38" i="48"/>
  <c r="H39" i="48"/>
  <c r="H37" i="47"/>
  <c r="C42" i="19"/>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51" i="14"/>
  <c r="J39" i="48"/>
  <c r="G42" i="13"/>
  <c r="G9" i="15"/>
  <c r="G24" i="13"/>
  <c r="F17" i="12"/>
  <c r="G42" i="18"/>
  <c r="G17" i="15"/>
  <c r="K36" i="50"/>
  <c r="G40" i="19"/>
  <c r="F16" i="12"/>
  <c r="G21" i="15"/>
  <c r="G50" i="13"/>
  <c r="G22" i="15"/>
  <c r="G62" i="13"/>
  <c r="G59" i="13"/>
  <c r="G19" i="15"/>
  <c r="G27" i="14"/>
  <c r="G52" i="13"/>
  <c r="G7" i="14"/>
  <c r="G25" i="13"/>
  <c r="G65" i="14"/>
  <c r="G41" i="15"/>
  <c r="G25" i="14"/>
  <c r="G33" i="15"/>
  <c r="G12" i="14"/>
  <c r="G64" i="15"/>
  <c r="G48" i="14"/>
  <c r="G46" i="13"/>
  <c r="G22" i="13"/>
  <c r="G51" i="13"/>
  <c r="G21" i="14"/>
  <c r="G34" i="15"/>
  <c r="G63" i="14"/>
  <c r="G64" i="13"/>
  <c r="G14" i="14"/>
  <c r="G14" i="15"/>
  <c r="G59" i="15"/>
  <c r="G14" i="13"/>
  <c r="G17" i="13"/>
  <c r="G11" i="13"/>
  <c r="G12" i="15"/>
  <c r="G57" i="15"/>
  <c r="G35" i="15"/>
  <c r="G9" i="14"/>
  <c r="G31" i="15"/>
  <c r="F42" i="17"/>
  <c r="G32" i="13"/>
  <c r="G66" i="13"/>
  <c r="G20" i="14"/>
  <c r="G58" i="14"/>
  <c r="G36" i="15"/>
  <c r="G23" i="14"/>
  <c r="G43" i="15"/>
  <c r="G57" i="14"/>
  <c r="G66" i="15"/>
  <c r="G50" i="14"/>
  <c r="G18" i="15"/>
  <c r="F6" i="12"/>
  <c r="G15" i="14"/>
  <c r="G61" i="13"/>
  <c r="G28" i="13"/>
  <c r="G11" i="14"/>
  <c r="G26" i="15"/>
  <c r="G59" i="14"/>
  <c r="G63" i="13"/>
  <c r="G13" i="13"/>
  <c r="G49" i="13"/>
  <c r="G66" i="14"/>
  <c r="G47" i="14"/>
  <c r="G15" i="13"/>
  <c r="G29" i="14"/>
  <c r="G24" i="14"/>
  <c r="G47" i="13"/>
  <c r="F7" i="12"/>
  <c r="G61" i="14"/>
  <c r="F41" i="19"/>
  <c r="G50" i="15"/>
  <c r="G15" i="15"/>
  <c r="G39" i="14"/>
  <c r="G37" i="14"/>
  <c r="G39" i="13"/>
  <c r="G44" i="14"/>
  <c r="G49" i="15"/>
  <c r="G16" i="15"/>
  <c r="G43" i="14"/>
  <c r="G30" i="15"/>
  <c r="F14" i="12"/>
  <c r="G43" i="13"/>
  <c r="F15" i="12"/>
  <c r="G62" i="15"/>
  <c r="G17" i="14"/>
  <c r="G41" i="18"/>
  <c r="G24" i="15"/>
  <c r="G61" i="15"/>
  <c r="J37" i="50"/>
  <c r="G38" i="13"/>
  <c r="G34" i="13"/>
  <c r="G42" i="15"/>
  <c r="G46" i="14"/>
  <c r="G8" i="13"/>
  <c r="F10" i="12"/>
  <c r="G55" i="13"/>
  <c r="G38" i="15"/>
  <c r="G25" i="15"/>
  <c r="G16" i="14"/>
  <c r="G20" i="13"/>
  <c r="G39" i="15"/>
  <c r="G12" i="13"/>
  <c r="G60" i="15"/>
  <c r="G27" i="13"/>
  <c r="G63" i="15"/>
  <c r="G49" i="14"/>
  <c r="G37" i="13"/>
  <c r="G54" i="15"/>
  <c r="G10" i="15"/>
  <c r="G18" i="13"/>
  <c r="G60" i="13"/>
  <c r="G45" i="14"/>
  <c r="G36" i="14"/>
  <c r="G40" i="14"/>
  <c r="G40" i="15"/>
  <c r="G27" i="15"/>
  <c r="G45" i="15"/>
  <c r="G22" i="14"/>
  <c r="F12" i="12"/>
  <c r="G13" i="15"/>
  <c r="K37" i="48"/>
  <c r="G44" i="15"/>
  <c r="G31" i="14"/>
  <c r="G54" i="13"/>
  <c r="G21" i="13"/>
  <c r="F11" i="12"/>
  <c r="G8" i="14"/>
  <c r="G42" i="14"/>
  <c r="G37" i="15"/>
  <c r="F9" i="12"/>
  <c r="G7" i="15"/>
  <c r="G26" i="13"/>
  <c r="G65" i="13"/>
  <c r="G30" i="14"/>
  <c r="G28" i="15"/>
  <c r="G28" i="14"/>
  <c r="J38" i="48"/>
  <c r="G46" i="15"/>
  <c r="G48" i="15"/>
  <c r="G16" i="13"/>
  <c r="G38" i="14"/>
  <c r="G53" i="13"/>
  <c r="G41" i="13"/>
  <c r="G52" i="15"/>
  <c r="G8" i="15"/>
  <c r="G10" i="13"/>
  <c r="G40" i="13"/>
  <c r="K36" i="47"/>
  <c r="G19" i="14"/>
  <c r="G32" i="14"/>
  <c r="G31" i="13"/>
  <c r="G53" i="15"/>
  <c r="F13" i="12"/>
  <c r="F20" i="12"/>
  <c r="G23" i="15"/>
  <c r="G33" i="14"/>
  <c r="G57" i="13"/>
  <c r="G58" i="15"/>
  <c r="G18" i="14"/>
  <c r="G55" i="15"/>
  <c r="G54" i="14"/>
  <c r="G13" i="14"/>
  <c r="G65" i="15"/>
  <c r="G47" i="15"/>
  <c r="G44" i="13"/>
  <c r="G52" i="14"/>
  <c r="G62" i="14"/>
  <c r="G32" i="15"/>
  <c r="F42" i="19"/>
  <c r="F19" i="12"/>
  <c r="G30" i="13"/>
  <c r="G33" i="13"/>
  <c r="G35" i="13"/>
  <c r="F8" i="12"/>
  <c r="G53" i="14"/>
  <c r="G51" i="15"/>
  <c r="J37" i="47"/>
  <c r="G29" i="15"/>
  <c r="G56" i="15"/>
  <c r="G29" i="13"/>
  <c r="G11" i="15"/>
  <c r="G48" i="13"/>
  <c r="G26" i="14"/>
  <c r="G36" i="13"/>
  <c r="G56" i="13"/>
  <c r="G7" i="13"/>
  <c r="G19" i="13"/>
  <c r="G64" i="14"/>
  <c r="G60" i="14"/>
  <c r="F18" i="12"/>
  <c r="G35" i="14"/>
  <c r="G40" i="17"/>
  <c r="G58" i="13"/>
  <c r="G23" i="13"/>
  <c r="F41" i="17"/>
  <c r="G34" i="14"/>
  <c r="G45" i="13"/>
  <c r="G41" i="14"/>
  <c r="G9" i="13"/>
  <c r="G55" i="14"/>
  <c r="G10" i="14"/>
  <c r="G20" i="15"/>
  <c r="G56" i="14"/>
  <c r="F4" i="19"/>
  <c r="G6" i="14"/>
  <c r="F4" i="17"/>
  <c r="G4" i="18"/>
  <c r="H39" i="50" l="1"/>
  <c r="H38" i="50"/>
  <c r="H38" i="47"/>
  <c r="H39" i="47"/>
  <c r="F6" i="10"/>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M6" i="6"/>
  <c r="S3" i="19"/>
  <c r="G35" i="9"/>
  <c r="H64" i="14"/>
  <c r="H49" i="13"/>
  <c r="K38" i="48"/>
  <c r="G64" i="9"/>
  <c r="G17" i="9"/>
  <c r="H46" i="13"/>
  <c r="G37" i="10"/>
  <c r="J9" i="6"/>
  <c r="H63" i="13"/>
  <c r="H62" i="14"/>
  <c r="G63" i="10"/>
  <c r="J14" i="6"/>
  <c r="H49" i="14"/>
  <c r="H22" i="13"/>
  <c r="H30" i="15"/>
  <c r="H45" i="14"/>
  <c r="G22" i="9"/>
  <c r="G33" i="10"/>
  <c r="H9" i="15"/>
  <c r="K39" i="48"/>
  <c r="G24" i="10"/>
  <c r="G10" i="12"/>
  <c r="J11" i="6"/>
  <c r="F15" i="7"/>
  <c r="G42" i="10"/>
  <c r="H22" i="15"/>
  <c r="G33" i="8"/>
  <c r="H66" i="15"/>
  <c r="H31" i="13"/>
  <c r="G41" i="10"/>
  <c r="H63" i="14"/>
  <c r="J39" i="47"/>
  <c r="H44" i="13"/>
  <c r="H25" i="13"/>
  <c r="G21" i="10"/>
  <c r="H27" i="15"/>
  <c r="H32" i="13"/>
  <c r="H40" i="14"/>
  <c r="G27" i="10"/>
  <c r="G13" i="10"/>
  <c r="G49" i="9"/>
  <c r="H40" i="15"/>
  <c r="H61" i="14"/>
  <c r="F17" i="7"/>
  <c r="G7" i="12"/>
  <c r="G22" i="10"/>
  <c r="G42" i="8"/>
  <c r="H7" i="14"/>
  <c r="H11" i="15"/>
  <c r="G39" i="9"/>
  <c r="G31" i="9"/>
  <c r="G51" i="10"/>
  <c r="F14" i="7"/>
  <c r="G23" i="8"/>
  <c r="H54" i="14"/>
  <c r="H27" i="14"/>
  <c r="H35" i="14"/>
  <c r="G30" i="8"/>
  <c r="H48" i="13"/>
  <c r="G66" i="9"/>
  <c r="G61" i="9"/>
  <c r="G56" i="9"/>
  <c r="G13" i="9"/>
  <c r="H45" i="13"/>
  <c r="H39" i="15"/>
  <c r="H34" i="15"/>
  <c r="G58" i="8"/>
  <c r="H16" i="14"/>
  <c r="H30" i="13"/>
  <c r="G57" i="9"/>
  <c r="J10" i="6"/>
  <c r="H65" i="14"/>
  <c r="G16" i="9"/>
  <c r="G59" i="8"/>
  <c r="G63" i="9"/>
  <c r="K37" i="47"/>
  <c r="H28" i="15"/>
  <c r="H37" i="14"/>
  <c r="G42" i="9"/>
  <c r="G18" i="12"/>
  <c r="F11" i="7"/>
  <c r="F8" i="7"/>
  <c r="G32" i="10"/>
  <c r="G45" i="10"/>
  <c r="G29" i="8"/>
  <c r="G57" i="10"/>
  <c r="G64" i="10"/>
  <c r="G42" i="17"/>
  <c r="G19" i="10"/>
  <c r="H65" i="15"/>
  <c r="H50" i="14"/>
  <c r="G60" i="10"/>
  <c r="H29" i="13"/>
  <c r="H49" i="15"/>
  <c r="G21" i="8"/>
  <c r="G47" i="10"/>
  <c r="G49" i="10"/>
  <c r="H32" i="14"/>
  <c r="G34" i="10"/>
  <c r="H40" i="13"/>
  <c r="G54" i="9"/>
  <c r="H13" i="13"/>
  <c r="H56" i="13"/>
  <c r="H41" i="15"/>
  <c r="H19" i="13"/>
  <c r="G42" i="19"/>
  <c r="G18" i="8"/>
  <c r="G11" i="12"/>
  <c r="G27" i="8"/>
  <c r="H33" i="15"/>
  <c r="G48" i="10"/>
  <c r="G15" i="9"/>
  <c r="G61" i="10"/>
  <c r="G29" i="9"/>
  <c r="H56" i="14"/>
  <c r="G55" i="10"/>
  <c r="H34" i="13"/>
  <c r="G43" i="9"/>
  <c r="G60" i="8"/>
  <c r="G57" i="8"/>
  <c r="G24" i="9"/>
  <c r="H59" i="13"/>
  <c r="H61" i="13"/>
  <c r="J19" i="6"/>
  <c r="H55" i="15"/>
  <c r="H25" i="15"/>
  <c r="G55" i="8"/>
  <c r="H38" i="13"/>
  <c r="H36" i="13"/>
  <c r="G37" i="8"/>
  <c r="H36" i="14"/>
  <c r="H43" i="14"/>
  <c r="G8" i="12"/>
  <c r="H31" i="14"/>
  <c r="H34" i="14"/>
  <c r="G34" i="9"/>
  <c r="G65" i="10"/>
  <c r="G43" i="10"/>
  <c r="H33" i="13"/>
  <c r="H41" i="14"/>
  <c r="H51" i="13"/>
  <c r="G54" i="8"/>
  <c r="G53" i="8"/>
  <c r="H36" i="15"/>
  <c r="G26" i="8"/>
  <c r="G31" i="10"/>
  <c r="H38" i="14"/>
  <c r="G44" i="9"/>
  <c r="H44" i="14"/>
  <c r="H43" i="15"/>
  <c r="G8" i="8"/>
  <c r="H8" i="13"/>
  <c r="H53" i="14"/>
  <c r="H19" i="14"/>
  <c r="F6" i="7"/>
  <c r="G41" i="8"/>
  <c r="G23" i="10"/>
  <c r="G28" i="9"/>
  <c r="H8" i="15"/>
  <c r="G59" i="9"/>
  <c r="G11" i="8"/>
  <c r="H16" i="13"/>
  <c r="H11" i="14"/>
  <c r="F7" i="7"/>
  <c r="G24" i="8"/>
  <c r="G55" i="9"/>
  <c r="G19" i="12"/>
  <c r="H8" i="14"/>
  <c r="G65" i="9"/>
  <c r="G59" i="10"/>
  <c r="G14" i="12"/>
  <c r="H59" i="14"/>
  <c r="G14" i="9"/>
  <c r="H48" i="14"/>
  <c r="G16" i="10"/>
  <c r="G17" i="8"/>
  <c r="G40" i="8"/>
  <c r="H12" i="14"/>
  <c r="H57" i="15"/>
  <c r="H20" i="13"/>
  <c r="H29" i="15"/>
  <c r="G62" i="8"/>
  <c r="F9" i="7"/>
  <c r="G44" i="8"/>
  <c r="G49" i="8"/>
  <c r="H63" i="15"/>
  <c r="G58" i="9"/>
  <c r="G13" i="12"/>
  <c r="H26" i="15"/>
  <c r="G32" i="9"/>
  <c r="G35" i="8"/>
  <c r="G23" i="9"/>
  <c r="H14" i="15"/>
  <c r="H35" i="15"/>
  <c r="J38" i="47"/>
  <c r="G15" i="8"/>
  <c r="H54" i="15"/>
  <c r="J12" i="6"/>
  <c r="G15" i="10"/>
  <c r="G39" i="8"/>
  <c r="G39" i="10"/>
  <c r="H12" i="15"/>
  <c r="J38" i="50"/>
  <c r="G28" i="10"/>
  <c r="G10" i="10"/>
  <c r="F20" i="7"/>
  <c r="H14" i="13"/>
  <c r="G58" i="10"/>
  <c r="G45" i="9"/>
  <c r="G34" i="8"/>
  <c r="G10" i="9"/>
  <c r="G30" i="9"/>
  <c r="G9" i="8"/>
  <c r="H64" i="15"/>
  <c r="H47" i="13"/>
  <c r="H17" i="13"/>
  <c r="H60" i="15"/>
  <c r="G25" i="9"/>
  <c r="H61" i="15"/>
  <c r="G25" i="8"/>
  <c r="G41" i="9"/>
  <c r="H20" i="15"/>
  <c r="H30" i="14"/>
  <c r="F12" i="7"/>
  <c r="H10" i="15"/>
  <c r="G11" i="9"/>
  <c r="G41" i="17"/>
  <c r="G18" i="9"/>
  <c r="H15" i="13"/>
  <c r="H28" i="14"/>
  <c r="H50" i="13"/>
  <c r="H10" i="13"/>
  <c r="G36" i="9"/>
  <c r="G28" i="8"/>
  <c r="G8" i="9"/>
  <c r="G14" i="8"/>
  <c r="H42" i="15"/>
  <c r="G44" i="10"/>
  <c r="J21" i="6"/>
  <c r="H66" i="13"/>
  <c r="H50" i="15"/>
  <c r="G63" i="8"/>
  <c r="G56" i="8"/>
  <c r="G54" i="10"/>
  <c r="G36" i="8"/>
  <c r="G52" i="10"/>
  <c r="G62" i="10"/>
  <c r="H39" i="14"/>
  <c r="G20" i="9"/>
  <c r="G26" i="9"/>
  <c r="H59" i="15"/>
  <c r="G47" i="8"/>
  <c r="H15" i="14"/>
  <c r="G16" i="8"/>
  <c r="H58" i="14"/>
  <c r="H57" i="14"/>
  <c r="H29" i="14"/>
  <c r="G15" i="12"/>
  <c r="H33" i="14"/>
  <c r="H28" i="13"/>
  <c r="G20" i="12"/>
  <c r="H47" i="15"/>
  <c r="G30" i="10"/>
  <c r="F13" i="7"/>
  <c r="G45" i="8"/>
  <c r="H7" i="13"/>
  <c r="H26" i="13"/>
  <c r="J22" i="6"/>
  <c r="G32" i="8"/>
  <c r="G37" i="9"/>
  <c r="G40" i="9"/>
  <c r="G65" i="8"/>
  <c r="H54" i="13"/>
  <c r="H14" i="14"/>
  <c r="H53" i="13"/>
  <c r="G21" i="9"/>
  <c r="H37" i="15"/>
  <c r="G48" i="8"/>
  <c r="G26" i="10"/>
  <c r="G52" i="8"/>
  <c r="H35" i="13"/>
  <c r="H16" i="15"/>
  <c r="G64" i="8"/>
  <c r="H32" i="15"/>
  <c r="H64" i="13"/>
  <c r="H27" i="13"/>
  <c r="G50" i="10"/>
  <c r="G51" i="9"/>
  <c r="H65" i="13"/>
  <c r="F16" i="7"/>
  <c r="H13" i="15"/>
  <c r="G18" i="10"/>
  <c r="G50" i="9"/>
  <c r="H66" i="14"/>
  <c r="G11" i="10"/>
  <c r="G12" i="8"/>
  <c r="Y48" i="28"/>
  <c r="H9" i="13"/>
  <c r="G19" i="8"/>
  <c r="H23" i="14"/>
  <c r="J8" i="6"/>
  <c r="K37" i="50"/>
  <c r="H19" i="15"/>
  <c r="G12" i="12"/>
  <c r="H31" i="15"/>
  <c r="G31" i="8"/>
  <c r="G60" i="9"/>
  <c r="G38" i="10"/>
  <c r="G20" i="10"/>
  <c r="J15" i="6"/>
  <c r="G46" i="9"/>
  <c r="H7" i="15"/>
  <c r="H38" i="15"/>
  <c r="H22" i="14"/>
  <c r="H21" i="15"/>
  <c r="H26" i="14"/>
  <c r="H51" i="15"/>
  <c r="G53" i="10"/>
  <c r="G43" i="8"/>
  <c r="G48" i="9"/>
  <c r="H52" i="13"/>
  <c r="J17" i="6"/>
  <c r="G22" i="8"/>
  <c r="H10" i="14"/>
  <c r="H58" i="13"/>
  <c r="H37" i="13"/>
  <c r="H21" i="14"/>
  <c r="G66" i="8"/>
  <c r="H56" i="15"/>
  <c r="G16" i="12"/>
  <c r="H62" i="13"/>
  <c r="G53" i="9"/>
  <c r="H41" i="13"/>
  <c r="G9" i="10"/>
  <c r="H25" i="14"/>
  <c r="G61" i="8"/>
  <c r="H17" i="15"/>
  <c r="G17" i="12"/>
  <c r="H57" i="13"/>
  <c r="H44" i="15"/>
  <c r="J20" i="6"/>
  <c r="J13" i="6"/>
  <c r="H39" i="13"/>
  <c r="H43" i="13"/>
  <c r="H55" i="13"/>
  <c r="H45" i="15"/>
  <c r="G25" i="10"/>
  <c r="H46" i="15"/>
  <c r="H24" i="14"/>
  <c r="F19" i="7"/>
  <c r="G14" i="10"/>
  <c r="H18" i="15"/>
  <c r="G12" i="10"/>
  <c r="H24" i="13"/>
  <c r="G7" i="10"/>
  <c r="G52" i="9"/>
  <c r="J16" i="6"/>
  <c r="G13" i="8"/>
  <c r="G38" i="9"/>
  <c r="H18" i="14"/>
  <c r="G38" i="8"/>
  <c r="F10" i="7"/>
  <c r="G27" i="9"/>
  <c r="H23" i="13"/>
  <c r="G51" i="8"/>
  <c r="G50" i="8"/>
  <c r="H20" i="14"/>
  <c r="H46" i="14"/>
  <c r="G41" i="19"/>
  <c r="G36" i="10"/>
  <c r="H51" i="14"/>
  <c r="H15" i="15"/>
  <c r="G29" i="10"/>
  <c r="G9" i="12"/>
  <c r="H24" i="15"/>
  <c r="H18" i="13"/>
  <c r="H62" i="15"/>
  <c r="G46" i="10"/>
  <c r="H60" i="13"/>
  <c r="H11" i="13"/>
  <c r="G46" i="8"/>
  <c r="G19" i="9"/>
  <c r="H55" i="14"/>
  <c r="J39" i="50"/>
  <c r="H53" i="15"/>
  <c r="G56" i="10"/>
  <c r="G7" i="8"/>
  <c r="G62" i="9"/>
  <c r="G66" i="10"/>
  <c r="G40" i="10"/>
  <c r="G7" i="9"/>
  <c r="G47" i="9"/>
  <c r="J18" i="6"/>
  <c r="G33" i="9"/>
  <c r="G35" i="10"/>
  <c r="L6" i="6"/>
  <c r="H52" i="14"/>
  <c r="G17" i="10"/>
  <c r="H60" i="14"/>
  <c r="H58" i="15"/>
  <c r="H52" i="15"/>
  <c r="G9" i="9"/>
  <c r="H42" i="14"/>
  <c r="H47" i="14"/>
  <c r="H17" i="14"/>
  <c r="F18" i="7"/>
  <c r="H13" i="14"/>
  <c r="H9" i="14"/>
  <c r="H42" i="13"/>
  <c r="G6" i="12"/>
  <c r="G10" i="8"/>
  <c r="G8" i="10"/>
  <c r="H21" i="13"/>
  <c r="G12" i="9"/>
  <c r="G20" i="8"/>
  <c r="H48" i="15"/>
  <c r="H12" i="13"/>
  <c r="H23" i="15"/>
  <c r="G4" i="17"/>
  <c r="G6" i="15"/>
  <c r="G6" i="13"/>
  <c r="G4" i="19"/>
  <c r="F5" i="7"/>
  <c r="H6" i="14"/>
  <c r="Y3" i="28"/>
  <c r="F5" i="12"/>
  <c r="Y9" i="6" l="1"/>
  <c r="X5" i="19" a="1"/>
  <c r="H64" i="10"/>
  <c r="H18" i="8"/>
  <c r="G19" i="7"/>
  <c r="H63" i="10"/>
  <c r="H13" i="8"/>
  <c r="H44" i="8"/>
  <c r="H26" i="9"/>
  <c r="H28" i="8"/>
  <c r="H27" i="9"/>
  <c r="H47" i="9"/>
  <c r="H54" i="9"/>
  <c r="H28" i="9"/>
  <c r="H38" i="10"/>
  <c r="H17" i="8"/>
  <c r="H12" i="8"/>
  <c r="H42" i="8"/>
  <c r="H17" i="9"/>
  <c r="H48" i="8"/>
  <c r="L20" i="6"/>
  <c r="H56" i="8"/>
  <c r="H66" i="8"/>
  <c r="K11" i="6"/>
  <c r="H32" i="8"/>
  <c r="H48" i="9"/>
  <c r="H57" i="9"/>
  <c r="H21" i="10"/>
  <c r="H55" i="8"/>
  <c r="H28" i="10"/>
  <c r="H58" i="10"/>
  <c r="H50" i="8"/>
  <c r="G14" i="7"/>
  <c r="H60" i="10"/>
  <c r="H53" i="10"/>
  <c r="H46" i="9"/>
  <c r="H45" i="9"/>
  <c r="H30" i="9"/>
  <c r="H24" i="9"/>
  <c r="H58" i="8"/>
  <c r="K19" i="6"/>
  <c r="H64" i="8"/>
  <c r="H51" i="10"/>
  <c r="L19" i="6"/>
  <c r="H29" i="8"/>
  <c r="H40" i="9"/>
  <c r="H14" i="9"/>
  <c r="H37" i="9"/>
  <c r="H56" i="9"/>
  <c r="H34" i="10"/>
  <c r="H30" i="10"/>
  <c r="H53" i="8"/>
  <c r="H58" i="9"/>
  <c r="G18" i="7"/>
  <c r="H62" i="8"/>
  <c r="K7" i="6"/>
  <c r="H11" i="9"/>
  <c r="H51" i="8"/>
  <c r="H37" i="8"/>
  <c r="H13" i="10"/>
  <c r="H35" i="9"/>
  <c r="L7" i="6"/>
  <c r="H39" i="8"/>
  <c r="L14" i="6"/>
  <c r="H7" i="10"/>
  <c r="H10" i="8"/>
  <c r="H20" i="8"/>
  <c r="H8" i="10"/>
  <c r="G15" i="7"/>
  <c r="H51" i="9"/>
  <c r="H57" i="8"/>
  <c r="H25" i="8"/>
  <c r="H19" i="8"/>
  <c r="H23" i="9"/>
  <c r="H7" i="8"/>
  <c r="H54" i="10"/>
  <c r="H14" i="10"/>
  <c r="H63" i="8"/>
  <c r="H42" i="10"/>
  <c r="H19" i="9"/>
  <c r="L17" i="6"/>
  <c r="H22" i="10"/>
  <c r="H36" i="10"/>
  <c r="H19" i="10"/>
  <c r="H55" i="9"/>
  <c r="H63" i="9"/>
  <c r="H52" i="9"/>
  <c r="H49" i="10"/>
  <c r="G11" i="7"/>
  <c r="K9" i="6"/>
  <c r="H49" i="9"/>
  <c r="H46" i="10"/>
  <c r="H21" i="9"/>
  <c r="H9" i="9"/>
  <c r="H9" i="10"/>
  <c r="L11" i="6"/>
  <c r="H14" i="8"/>
  <c r="H31" i="10"/>
  <c r="K39" i="47"/>
  <c r="K38" i="50"/>
  <c r="H43" i="10"/>
  <c r="H59" i="8"/>
  <c r="H24" i="8"/>
  <c r="H62" i="9"/>
  <c r="H33" i="8"/>
  <c r="H25" i="10"/>
  <c r="H15" i="10"/>
  <c r="H18" i="10"/>
  <c r="H56" i="10"/>
  <c r="H38" i="9"/>
  <c r="H66" i="10"/>
  <c r="H24" i="10"/>
  <c r="H43" i="8"/>
  <c r="H52" i="8"/>
  <c r="G6" i="7"/>
  <c r="H12" i="9"/>
  <c r="H47" i="8"/>
  <c r="G16" i="7"/>
  <c r="H18" i="9"/>
  <c r="G13" i="7"/>
  <c r="H13" i="9"/>
  <c r="H33" i="9"/>
  <c r="H65" i="9"/>
  <c r="H49" i="8"/>
  <c r="H16" i="8"/>
  <c r="H10" i="9"/>
  <c r="H27" i="8"/>
  <c r="H65" i="10"/>
  <c r="H21" i="8"/>
  <c r="H10" i="10"/>
  <c r="H48" i="10"/>
  <c r="H53" i="9"/>
  <c r="H54" i="8"/>
  <c r="H35" i="8"/>
  <c r="H41" i="8"/>
  <c r="H45" i="10"/>
  <c r="H66" i="9"/>
  <c r="G17" i="7"/>
  <c r="H29" i="9"/>
  <c r="H43" i="9"/>
  <c r="H36" i="8"/>
  <c r="H41" i="9"/>
  <c r="H11" i="10"/>
  <c r="L13" i="6"/>
  <c r="H64" i="9"/>
  <c r="H41" i="10"/>
  <c r="H40" i="10"/>
  <c r="H15" i="8"/>
  <c r="Z9" i="6"/>
  <c r="H26" i="8"/>
  <c r="H35" i="10"/>
  <c r="K39" i="50"/>
  <c r="H9" i="8"/>
  <c r="H52" i="10"/>
  <c r="H22" i="9"/>
  <c r="H11" i="8"/>
  <c r="H61" i="10"/>
  <c r="H15" i="9"/>
  <c r="H65" i="8"/>
  <c r="L9" i="6"/>
  <c r="H39" i="10"/>
  <c r="H8" i="9"/>
  <c r="H59" i="9"/>
  <c r="H62" i="10"/>
  <c r="H59" i="10"/>
  <c r="H60" i="9"/>
  <c r="H47" i="10"/>
  <c r="H16" i="10"/>
  <c r="H44" i="10"/>
  <c r="G9" i="7"/>
  <c r="H20" i="10"/>
  <c r="H60" i="8"/>
  <c r="G12" i="7"/>
  <c r="G10" i="7"/>
  <c r="H26" i="10"/>
  <c r="H30" i="8"/>
  <c r="H42" i="9"/>
  <c r="H50" i="10"/>
  <c r="H61" i="8"/>
  <c r="G8" i="7"/>
  <c r="H46" i="8"/>
  <c r="H31" i="8"/>
  <c r="H12" i="10"/>
  <c r="H32" i="10"/>
  <c r="H50" i="9"/>
  <c r="H8" i="8"/>
  <c r="H44" i="9"/>
  <c r="H37" i="10"/>
  <c r="H45" i="8"/>
  <c r="H20" i="9"/>
  <c r="H16" i="9"/>
  <c r="H7" i="9"/>
  <c r="H34" i="9"/>
  <c r="K38" i="47"/>
  <c r="H23" i="8"/>
  <c r="G7" i="7"/>
  <c r="H27" i="10"/>
  <c r="H34" i="8"/>
  <c r="H39" i="9"/>
  <c r="H55" i="10"/>
  <c r="H61" i="9"/>
  <c r="G20" i="7"/>
  <c r="H17" i="10"/>
  <c r="K13" i="6"/>
  <c r="H25" i="9"/>
  <c r="H31" i="9"/>
  <c r="H22" i="8"/>
  <c r="H23" i="10"/>
  <c r="H40" i="8"/>
  <c r="H32" i="9"/>
  <c r="H38" i="8"/>
  <c r="H29" i="10"/>
  <c r="H33" i="10"/>
  <c r="H57" i="10"/>
  <c r="H36" i="9"/>
  <c r="K20" i="6"/>
  <c r="H6" i="15"/>
  <c r="G5" i="12"/>
  <c r="G6" i="9"/>
  <c r="G6" i="8"/>
  <c r="G6" i="10"/>
  <c r="H6" i="13"/>
  <c r="G5" i="7"/>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X5" i="18" a="1"/>
  <c r="L16" i="6"/>
  <c r="Z20" i="6"/>
  <c r="M7" i="6"/>
  <c r="Z12" i="6"/>
  <c r="K14" i="6"/>
  <c r="K10" i="6"/>
  <c r="L22" i="6"/>
  <c r="M19" i="6"/>
  <c r="K17" i="6"/>
  <c r="K21" i="6"/>
  <c r="Z19" i="6"/>
  <c r="Z18" i="6"/>
  <c r="Z8" i="6"/>
  <c r="M11" i="6"/>
  <c r="Z16" i="6"/>
  <c r="Z17" i="6"/>
  <c r="Z21" i="6"/>
  <c r="Z13" i="6"/>
  <c r="Z22" i="6"/>
  <c r="K18" i="6"/>
  <c r="L21" i="6"/>
  <c r="K12" i="6"/>
  <c r="K8" i="6"/>
  <c r="L10" i="6"/>
  <c r="Z10" i="6"/>
  <c r="M20" i="6"/>
  <c r="K22" i="6"/>
  <c r="W9" i="6"/>
  <c r="Z11" i="6"/>
  <c r="L8" i="6"/>
  <c r="L15" i="6"/>
  <c r="Z15" i="6"/>
  <c r="Z14" i="6"/>
  <c r="M9" i="6"/>
  <c r="L18" i="6"/>
  <c r="K16" i="6"/>
  <c r="L12" i="6"/>
  <c r="M13" i="6"/>
  <c r="K15" i="6"/>
  <c r="J5" i="6"/>
  <c r="H6" i="8"/>
  <c r="H6" i="9"/>
  <c r="H6" i="10"/>
  <c r="X8" i="18" l="1"/>
  <c r="X7" i="18"/>
  <c r="X5" i="18"/>
  <c r="X6" i="18"/>
  <c r="X9" i="18"/>
  <c r="X10" i="18"/>
  <c r="W11" i="6"/>
  <c r="W13" i="6"/>
  <c r="M15" i="6"/>
  <c r="W15" i="6"/>
  <c r="W14" i="6"/>
  <c r="W21" i="6"/>
  <c r="M14" i="6"/>
  <c r="W19" i="6"/>
  <c r="M16" i="6"/>
  <c r="W10" i="6"/>
  <c r="AA9" i="6"/>
  <c r="W12" i="6"/>
  <c r="W22" i="6"/>
  <c r="W20" i="6"/>
  <c r="W17" i="6"/>
  <c r="M8" i="6"/>
  <c r="M18" i="6"/>
  <c r="W8" i="6"/>
  <c r="M21" i="6"/>
  <c r="M12" i="6"/>
  <c r="M17" i="6"/>
  <c r="W16" i="6"/>
  <c r="M22" i="6"/>
  <c r="M10" i="6"/>
  <c r="W18" i="6"/>
  <c r="L5" i="6"/>
  <c r="AB9" i="6" l="1"/>
  <c r="AD9"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A20" i="6"/>
  <c r="AA16" i="6"/>
  <c r="AA21" i="6"/>
  <c r="AA22" i="6"/>
  <c r="AA8" i="6"/>
  <c r="AA12" i="6"/>
  <c r="AA18" i="6"/>
  <c r="AA13" i="6"/>
  <c r="AA10" i="6"/>
  <c r="AA14" i="6"/>
  <c r="AA11" i="6"/>
  <c r="AC9" i="6"/>
  <c r="AA15" i="6"/>
  <c r="AA17" i="6"/>
  <c r="AA19" i="6"/>
  <c r="AC25" i="19"/>
  <c r="AC38" i="19"/>
  <c r="AC21" i="19"/>
  <c r="AC36" i="19"/>
  <c r="AC40" i="19"/>
  <c r="AC18" i="19"/>
  <c r="AC27" i="19"/>
  <c r="AC7" i="19"/>
  <c r="AC14" i="19"/>
  <c r="AC37" i="19"/>
  <c r="AC30" i="19"/>
  <c r="AC10" i="19"/>
  <c r="AC8" i="19"/>
  <c r="AC29" i="19"/>
  <c r="AC39" i="19"/>
  <c r="AC35" i="19"/>
  <c r="AC19" i="19"/>
  <c r="AC26" i="19"/>
  <c r="AC28" i="19"/>
  <c r="AC6" i="19"/>
  <c r="AC11" i="19"/>
  <c r="AC31" i="19"/>
  <c r="AC12" i="19"/>
  <c r="AC23" i="19"/>
  <c r="AC16" i="19"/>
  <c r="AC42" i="19"/>
  <c r="AC34" i="19"/>
  <c r="AC9" i="19"/>
  <c r="AC22" i="19"/>
  <c r="AC20" i="19"/>
  <c r="AC24" i="19"/>
  <c r="AC17" i="19"/>
  <c r="AC33" i="19"/>
  <c r="AC32" i="19"/>
  <c r="AC5" i="19"/>
  <c r="AC15" i="19"/>
  <c r="AC41" i="19"/>
  <c r="AC13" i="19"/>
  <c r="AB10" i="6" l="1"/>
  <c r="AD10" i="6" s="1"/>
  <c r="AB11" i="6"/>
  <c r="AD11" i="6" s="1"/>
  <c r="AB13" i="6"/>
  <c r="AD13" i="6" s="1"/>
  <c r="AB21" i="6"/>
  <c r="AD21" i="6" s="1"/>
  <c r="AB14" i="6"/>
  <c r="AD14" i="6" s="1"/>
  <c r="AB16" i="6"/>
  <c r="AD16" i="6" s="1"/>
  <c r="AB17" i="6"/>
  <c r="AD17" i="6" s="1"/>
  <c r="AB20" i="6"/>
  <c r="AD20" i="6" s="1"/>
  <c r="AB22" i="6"/>
  <c r="AD22" i="6" s="1"/>
  <c r="AB19" i="6"/>
  <c r="AD19" i="6" s="1"/>
  <c r="AB8" i="6"/>
  <c r="AD8" i="6" s="1"/>
  <c r="AB12" i="6"/>
  <c r="AD12" i="6" s="1"/>
  <c r="AB15" i="6"/>
  <c r="AD15" i="6" s="1"/>
  <c r="AB18" i="6"/>
  <c r="AD18" i="6" s="1"/>
  <c r="Y40" i="18"/>
  <c r="Y41" i="18"/>
  <c r="AC10" i="6"/>
  <c r="AC22" i="6"/>
  <c r="AC8" i="6"/>
  <c r="AC11" i="6"/>
  <c r="AC16" i="6"/>
  <c r="AC21" i="6"/>
  <c r="AC15" i="6"/>
  <c r="AC18" i="6"/>
  <c r="AC19" i="6"/>
  <c r="AC14" i="6"/>
  <c r="AC17" i="6"/>
  <c r="AC12" i="6"/>
  <c r="AC13" i="6"/>
  <c r="AC20" i="6"/>
  <c r="AC3" i="19"/>
  <c r="AB2" i="6" l="1"/>
  <c r="Y42" i="18"/>
  <c r="X42" i="18" s="1"/>
  <c r="S3" i="17"/>
  <c r="AJ7" i="18" l="1"/>
  <c r="X5" i="17" a="1"/>
  <c r="AC41" i="18"/>
  <c r="AC34" i="18"/>
  <c r="AC33" i="18"/>
  <c r="AC15" i="18"/>
  <c r="AC6" i="18"/>
  <c r="AC8" i="18"/>
  <c r="AC7" i="18"/>
  <c r="AC14" i="18"/>
  <c r="AC13" i="18"/>
  <c r="AC18" i="18"/>
  <c r="AC25" i="18"/>
  <c r="AC20" i="18"/>
  <c r="AC5" i="18"/>
  <c r="AC11" i="18"/>
  <c r="AC31" i="18"/>
  <c r="AC26" i="18"/>
  <c r="AC12" i="18"/>
  <c r="AC17" i="18"/>
  <c r="AC9" i="18"/>
  <c r="AC32" i="18"/>
  <c r="AC22" i="18"/>
  <c r="AC21" i="18"/>
  <c r="AC35" i="18"/>
  <c r="AC42" i="18"/>
  <c r="AC37" i="18"/>
  <c r="AC16" i="18"/>
  <c r="AC23" i="18"/>
  <c r="AC38" i="18"/>
  <c r="AC36" i="18"/>
  <c r="AC30" i="18"/>
  <c r="AC39" i="18"/>
  <c r="AC27" i="18"/>
  <c r="AC40" i="18"/>
  <c r="AC29" i="18"/>
  <c r="AC24" i="18"/>
  <c r="AC10" i="18"/>
  <c r="AC28" i="18"/>
  <c r="AC19" i="18"/>
  <c r="AJ27" i="18" l="1"/>
  <c r="AJ18" i="18"/>
  <c r="AJ42" i="18"/>
  <c r="AJ33" i="18"/>
  <c r="AJ10" i="18"/>
  <c r="AJ8" i="18"/>
  <c r="AJ22" i="18"/>
  <c r="AJ39" i="18"/>
  <c r="AJ41" i="18"/>
  <c r="AJ36" i="18"/>
  <c r="AJ34" i="18"/>
  <c r="AJ32" i="18"/>
  <c r="AJ17" i="18"/>
  <c r="AJ9" i="18"/>
  <c r="AJ14" i="18"/>
  <c r="AJ6" i="18"/>
  <c r="AJ31" i="18"/>
  <c r="AJ23" i="18"/>
  <c r="AJ5" i="18"/>
  <c r="AJ24" i="18"/>
  <c r="AJ37" i="18"/>
  <c r="AJ29" i="18"/>
  <c r="AJ35" i="18"/>
  <c r="AJ11" i="18"/>
  <c r="AJ21" i="18"/>
  <c r="AJ12" i="18"/>
  <c r="AJ40" i="18"/>
  <c r="AJ13" i="18"/>
  <c r="AJ26" i="18"/>
  <c r="AJ20" i="18"/>
  <c r="AJ38" i="18"/>
  <c r="AJ19" i="18"/>
  <c r="AJ15" i="18"/>
  <c r="AJ16" i="18"/>
  <c r="AJ25" i="18"/>
  <c r="AJ30" i="18"/>
  <c r="AJ28" i="18"/>
  <c r="X5" i="17"/>
  <c r="X6" i="17"/>
  <c r="X7" i="17"/>
  <c r="X8" i="17"/>
  <c r="X9" i="17"/>
  <c r="X10" i="17"/>
  <c r="AC3" i="18"/>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M6" i="25" a="1"/>
  <c r="Y3" i="29"/>
  <c r="Y3" i="30"/>
  <c r="AC3" i="32"/>
  <c r="AC3" i="31"/>
  <c r="M7" i="25" l="1"/>
  <c r="M6" i="25"/>
  <c r="M8" i="25"/>
  <c r="AC26" i="17"/>
  <c r="AC25" i="17"/>
  <c r="AC5" i="17"/>
  <c r="AC36" i="17"/>
  <c r="AC15" i="17"/>
  <c r="AC37" i="17"/>
  <c r="AC33" i="17"/>
  <c r="AC30" i="17"/>
  <c r="AC16" i="17"/>
  <c r="AC29" i="17"/>
  <c r="AC27" i="17"/>
  <c r="AC18" i="17"/>
  <c r="AC32" i="17"/>
  <c r="AC38" i="17"/>
  <c r="AC10" i="17"/>
  <c r="AC6" i="17"/>
  <c r="AC20" i="17"/>
  <c r="AC7" i="17"/>
  <c r="AC21" i="17"/>
  <c r="AC34" i="17"/>
  <c r="AC12" i="17"/>
  <c r="AC42" i="17"/>
  <c r="AC31" i="17"/>
  <c r="AC11" i="17"/>
  <c r="AC9" i="17"/>
  <c r="AC35" i="17"/>
  <c r="AC8" i="17"/>
  <c r="AC41" i="17"/>
  <c r="AC17" i="17"/>
  <c r="AC28" i="17"/>
  <c r="AC19" i="17"/>
  <c r="AC14" i="17"/>
  <c r="AC13" i="17"/>
  <c r="AC23" i="17"/>
  <c r="AC40" i="17"/>
  <c r="AC24" i="17"/>
  <c r="AC22" i="17"/>
  <c r="AC39" i="17"/>
  <c r="M9" i="25" l="1"/>
  <c r="M7" i="24" a="1"/>
  <c r="AC3" i="17"/>
  <c r="M7" i="24" l="1"/>
  <c r="M8" i="24"/>
  <c r="M9" i="24"/>
  <c r="M10" i="24"/>
  <c r="Z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O6" i="23" l="1" a="1"/>
  <c r="O6" i="23" l="1"/>
  <c r="O7" i="23"/>
  <c r="O8" i="23"/>
  <c r="O9" i="23"/>
  <c r="O10" i="23"/>
  <c r="O11" i="23"/>
  <c r="O12" i="23"/>
  <c r="O13" i="23"/>
  <c r="O14" i="23"/>
  <c r="O15" i="23"/>
  <c r="O16" i="23"/>
  <c r="O17" i="23"/>
  <c r="D7" i="24" a="1"/>
  <c r="W3" i="22"/>
  <c r="P3" i="21"/>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7" i="24"/>
  <c r="F8" i="24"/>
  <c r="F39" i="24"/>
  <c r="F27" i="24"/>
  <c r="F15" i="24"/>
  <c r="F34" i="24"/>
  <c r="F25" i="24"/>
  <c r="F36" i="24"/>
  <c r="F19" i="24"/>
  <c r="F26" i="24"/>
  <c r="F37" i="24"/>
  <c r="F48" i="24"/>
  <c r="F22" i="24"/>
  <c r="F43" i="24"/>
  <c r="AK7" i="24" a="1"/>
  <c r="F21" i="24"/>
  <c r="F24" i="24"/>
  <c r="F14" i="24"/>
  <c r="F23" i="24"/>
  <c r="F38" i="24"/>
  <c r="F17" i="24"/>
  <c r="F33" i="24"/>
  <c r="F29" i="24"/>
  <c r="F9" i="24"/>
  <c r="F10" i="24"/>
  <c r="F46" i="24"/>
  <c r="F30" i="24"/>
  <c r="F45" i="24"/>
  <c r="F12" i="24"/>
  <c r="F31" i="24"/>
  <c r="F18" i="24"/>
  <c r="F40" i="24"/>
  <c r="F20" i="24"/>
  <c r="F13" i="24"/>
  <c r="F28" i="24"/>
  <c r="F32" i="24"/>
  <c r="F35" i="24"/>
  <c r="F42" i="24"/>
  <c r="F16" i="24"/>
  <c r="F47" i="24"/>
  <c r="F11" i="24"/>
  <c r="F44" i="24"/>
  <c r="F41" i="24"/>
  <c r="Z4" i="23"/>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33" i="24"/>
  <c r="G18" i="24"/>
  <c r="G26" i="24"/>
  <c r="G27" i="24"/>
  <c r="G21" i="24"/>
  <c r="G7" i="24"/>
  <c r="G42" i="24"/>
  <c r="G40" i="24"/>
  <c r="G35" i="24"/>
  <c r="G28" i="24"/>
  <c r="G37" i="24"/>
  <c r="G36" i="24"/>
  <c r="G25" i="24"/>
  <c r="G41" i="24"/>
  <c r="G9" i="24"/>
  <c r="G12" i="24"/>
  <c r="G23" i="24"/>
  <c r="G47" i="24"/>
  <c r="G34" i="24"/>
  <c r="G38" i="24"/>
  <c r="G48" i="24"/>
  <c r="G32" i="24"/>
  <c r="G11" i="24"/>
  <c r="G43" i="24"/>
  <c r="G39" i="24"/>
  <c r="G29" i="24"/>
  <c r="G19" i="24"/>
  <c r="G46" i="24"/>
  <c r="G24" i="24"/>
  <c r="G15" i="24"/>
  <c r="G31" i="24"/>
  <c r="G10" i="24"/>
  <c r="G8" i="24"/>
  <c r="G14" i="24"/>
  <c r="G30" i="24"/>
  <c r="G17" i="24"/>
  <c r="G22" i="24"/>
  <c r="G45" i="24"/>
  <c r="G16" i="24"/>
  <c r="G20" i="24"/>
  <c r="G13" i="24"/>
  <c r="G44" i="24"/>
  <c r="Z40" i="24"/>
  <c r="Z44" i="24"/>
  <c r="Z16" i="24"/>
  <c r="Z12" i="24"/>
  <c r="Z26" i="24"/>
  <c r="Z19" i="24"/>
  <c r="Z14" i="24"/>
  <c r="Z24" i="24"/>
  <c r="Z32" i="24"/>
  <c r="Z21" i="24"/>
  <c r="Z33" i="24"/>
  <c r="Z39" i="24"/>
  <c r="Z7" i="24"/>
  <c r="Z48" i="24"/>
  <c r="Z29" i="24"/>
  <c r="Z17" i="24"/>
  <c r="Z31" i="24"/>
  <c r="Z47" i="24"/>
  <c r="Z11" i="24"/>
  <c r="Z23" i="24"/>
  <c r="Z34" i="24"/>
  <c r="Z27" i="24"/>
  <c r="Z9" i="24"/>
  <c r="Z35" i="24"/>
  <c r="Z8" i="24"/>
  <c r="Z18" i="24"/>
  <c r="Z41" i="24"/>
  <c r="Z43" i="24"/>
  <c r="Z28" i="24"/>
  <c r="Z38" i="24"/>
  <c r="Z45" i="24"/>
  <c r="Z46" i="24"/>
  <c r="Z37" i="24"/>
  <c r="Z22" i="24"/>
  <c r="Z36" i="24"/>
  <c r="Z20" i="24"/>
  <c r="Z30" i="24"/>
  <c r="Z42" i="24"/>
  <c r="Z15" i="24"/>
  <c r="Z10" i="24"/>
  <c r="Z25" i="24"/>
  <c r="Z13"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11" i="24"/>
  <c r="AN26" i="24"/>
  <c r="AN20" i="24"/>
  <c r="AN19" i="24"/>
  <c r="AN10" i="24"/>
  <c r="AN29" i="24"/>
  <c r="AO19" i="24"/>
  <c r="AO10" i="24"/>
  <c r="AN33" i="24"/>
  <c r="AN35" i="24"/>
  <c r="AN38" i="24"/>
  <c r="AN42" i="24"/>
  <c r="AN24" i="24"/>
  <c r="AN46" i="24"/>
  <c r="AN36" i="24"/>
  <c r="AN40" i="24"/>
  <c r="AO40" i="24"/>
  <c r="AO29" i="24"/>
  <c r="AN7" i="24"/>
  <c r="AN47" i="24"/>
  <c r="AO33" i="24"/>
  <c r="AN34" i="24"/>
  <c r="AO34" i="24" s="1"/>
  <c r="AN14" i="24"/>
  <c r="AN9" i="24"/>
  <c r="AN48" i="24"/>
  <c r="AO48" i="24" s="1"/>
  <c r="AN22" i="24"/>
  <c r="AO22" i="24" s="1"/>
  <c r="AN13" i="24"/>
  <c r="AN44" i="24"/>
  <c r="AN37" i="24"/>
  <c r="AO37" i="24" s="1"/>
  <c r="AO44" i="24"/>
  <c r="AO24" i="24"/>
  <c r="AO38" i="24"/>
  <c r="AO20" i="24"/>
  <c r="AN25" i="24"/>
  <c r="AO25" i="24" s="1"/>
  <c r="AN12" i="24"/>
  <c r="AN23" i="24"/>
  <c r="AO23" i="24" s="1"/>
  <c r="AN32" i="24"/>
  <c r="AO32" i="24" s="1"/>
  <c r="AO13" i="24"/>
  <c r="AN15" i="24"/>
  <c r="AO15" i="24" s="1"/>
  <c r="AO14" i="24"/>
  <c r="AO11" i="24"/>
  <c r="AN17" i="24"/>
  <c r="AO17" i="24" s="1"/>
  <c r="AN27" i="24"/>
  <c r="AN30" i="24"/>
  <c r="AN45" i="24"/>
  <c r="AO42" i="24"/>
  <c r="AO7" i="24"/>
  <c r="AN16" i="24"/>
  <c r="AO16" i="24" s="1"/>
  <c r="AN18" i="24"/>
  <c r="AO18" i="24" s="1"/>
  <c r="AN21" i="24"/>
  <c r="AO21" i="24" s="1"/>
  <c r="AN39" i="24"/>
  <c r="AO47" i="24"/>
  <c r="AN28" i="24"/>
  <c r="AO28" i="24" s="1"/>
  <c r="AO26" i="24"/>
  <c r="AO46" i="24"/>
  <c r="AO30" i="24"/>
  <c r="AO35" i="24"/>
  <c r="AN43" i="24"/>
  <c r="AO43" i="24" s="1"/>
  <c r="AN8" i="24"/>
  <c r="AO36" i="24"/>
  <c r="AN41" i="24"/>
  <c r="AO41" i="24" s="1"/>
  <c r="AN31" i="24"/>
  <c r="AO31" i="24" s="1"/>
  <c r="O3" i="36"/>
  <c r="O3" i="35"/>
  <c r="Z5" i="24"/>
  <c r="AN6" i="24"/>
  <c r="AO6" i="24"/>
  <c r="J2" i="48"/>
  <c r="K2" i="48" s="1"/>
  <c r="J2" i="50"/>
  <c r="K2" i="50" s="1"/>
  <c r="J2" i="47"/>
  <c r="K2" i="47"/>
  <c r="D7" i="67"/>
  <c r="AO39" i="24" l="1"/>
  <c r="AO45" i="24"/>
  <c r="AO27" i="24"/>
  <c r="AO9" i="24"/>
  <c r="AO8" i="24"/>
  <c r="AO12" i="24"/>
</calcChain>
</file>

<file path=xl/sharedStrings.xml><?xml version="1.0" encoding="utf-8"?>
<sst xmlns="http://schemas.openxmlformats.org/spreadsheetml/2006/main" count="6066" uniqueCount="2113">
  <si>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</si>
  <si>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</si>
  <si>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</si>
  <si>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</si>
  <si>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</si>
  <si>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</si>
  <si>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</si>
  <si>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</si>
  <si>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</si>
  <si>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</si>
  <si>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</si>
  <si>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</si>
  <si>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</si>
  <si>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</si>
  <si>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</si>
  <si>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</si>
  <si>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</si>
  <si>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</si>
  <si>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</si>
  <si>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</si>
  <si>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</si>
  <si>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</si>
  <si>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</si>
  <si>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</si>
  <si>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</si>
  <si>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</si>
  <si>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</si>
  <si>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</si>
  <si>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</si>
  <si>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</si>
  <si>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</si>
  <si>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</si>
  <si>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</si>
  <si>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</si>
  <si>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</si>
  <si>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</si>
  <si>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</si>
  <si>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</si>
  <si>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</si>
  <si>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</si>
  <si>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</si>
  <si>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</si>
  <si>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</si>
  <si>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</si>
  <si>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</si>
  <si>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</si>
  <si>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</si>
  <si>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</si>
  <si>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</si>
  <si>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</si>
  <si>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</si>
  <si>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</si>
  <si>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</si>
  <si>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</si>
  <si>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</si>
  <si>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</si>
  <si>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</si>
  <si>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</si>
  <si>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</si>
  <si>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</si>
  <si>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</si>
  <si>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</si>
  <si>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</si>
  <si>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</si>
  <si>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</si>
  <si>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</si>
  <si>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</si>
  <si>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</si>
  <si>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</si>
  <si>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</si>
  <si>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</si>
  <si>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</si>
  <si>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</si>
  <si>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</si>
  <si>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</si>
  <si>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</si>
  <si>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</si>
  <si>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</si>
  <si>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</si>
  <si>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</si>
  <si>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</si>
  <si>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</si>
  <si>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</si>
  <si>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</si>
  <si>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</si>
  <si>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</si>
  <si>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</si>
  <si>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</si>
  <si>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</si>
  <si>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</si>
  <si>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</si>
  <si>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</si>
  <si>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</si>
  <si>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</si>
  <si>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</si>
  <si>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</si>
  <si>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</si>
  <si>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</si>
  <si>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</si>
  <si>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</si>
  <si>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</si>
  <si>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</si>
  <si>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</si>
  <si>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</si>
  <si>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</si>
  <si>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</si>
  <si>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</si>
  <si>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</si>
  <si>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</si>
  <si>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</si>
  <si>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</si>
  <si>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</si>
  <si>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</si>
  <si>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</si>
  <si>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</si>
  <si>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</si>
  <si>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</si>
  <si>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</si>
  <si>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</si>
  <si>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</si>
  <si>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</si>
  <si>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</si>
  <si>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</si>
  <si>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</si>
  <si>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</si>
  <si>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</si>
  <si>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</si>
  <si>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</si>
  <si>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</si>
  <si>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</si>
  <si>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</si>
  <si>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</si>
  <si>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</si>
  <si>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</si>
  <si>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</si>
  <si>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</si>
  <si>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</si>
  <si>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</si>
  <si>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</si>
  <si>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</si>
  <si>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</si>
  <si>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</si>
  <si>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</si>
  <si>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</si>
  <si>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</si>
  <si>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</si>
  <si>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</si>
  <si>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</si>
  <si>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</si>
  <si>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</si>
  <si>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</si>
  <si>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</si>
  <si>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</si>
  <si>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</si>
  <si>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</si>
  <si>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</si>
  <si>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</si>
  <si>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</si>
  <si>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</si>
  <si>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</si>
  <si>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</si>
  <si>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</si>
  <si>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</si>
  <si>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</si>
  <si>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</si>
  <si>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</si>
  <si>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</si>
  <si>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</si>
  <si>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</si>
  <si>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</si>
  <si>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</si>
  <si>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</si>
  <si>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</si>
  <si>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</si>
  <si>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</si>
  <si>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</si>
  <si>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</si>
  <si>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</si>
  <si>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</si>
  <si>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</si>
  <si>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</si>
  <si>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</si>
  <si>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</si>
  <si>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</si>
  <si>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</si>
  <si>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</si>
  <si>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</si>
  <si>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</si>
  <si>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</si>
  <si>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</si>
  <si>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</si>
  <si>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</si>
  <si>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</si>
  <si>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</si>
  <si>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</si>
  <si>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</si>
  <si>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</si>
  <si>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</si>
  <si>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</si>
  <si>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</si>
  <si>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</si>
  <si>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</si>
  <si>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</si>
  <si>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</si>
  <si>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</si>
  <si>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</si>
  <si>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</si>
  <si>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</si>
  <si>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</si>
  <si>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</si>
  <si>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</si>
  <si>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</si>
  <si>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</si>
  <si>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</si>
  <si>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</si>
  <si>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</si>
  <si>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</si>
  <si>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</si>
  <si>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</si>
  <si>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</si>
  <si>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</si>
  <si>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</si>
  <si>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</si>
  <si>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</si>
  <si>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</si>
  <si>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</si>
  <si>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</si>
  <si>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</si>
  <si>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</si>
  <si>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</si>
  <si>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</si>
  <si>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</si>
  <si>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</si>
  <si>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</si>
  <si>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</si>
  <si>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</si>
  <si>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</si>
  <si>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</si>
  <si>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</si>
  <si>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</si>
  <si>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ASK-BID</t>
  </si>
  <si>
    <t>Mid Safe</t>
  </si>
  <si>
    <t>HST_CLOSE</t>
  </si>
  <si>
    <t>BID</t>
  </si>
  <si>
    <t>The record could not be found</t>
  </si>
  <si>
    <t>EM</t>
  </si>
  <si>
    <t>CODES</t>
  </si>
  <si>
    <t>LIFFE</t>
  </si>
  <si>
    <t>EXPIRE DATE</t>
  </si>
  <si>
    <t>Effective Date</t>
  </si>
  <si>
    <t>ED</t>
  </si>
  <si>
    <t>FSS</t>
  </si>
  <si>
    <t>FEI</t>
  </si>
  <si>
    <t>FES</t>
  </si>
  <si>
    <t>FUT3M</t>
  </si>
  <si>
    <t xml:space="preserve">           </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</si>
  <si>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</si>
  <si>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</si>
  <si>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</si>
  <si>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</si>
  <si>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</si>
  <si>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</si>
  <si>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</si>
  <si>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</si>
  <si>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</si>
  <si>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</si>
  <si>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</si>
  <si>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</si>
  <si>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</si>
  <si>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</si>
  <si>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</si>
  <si>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</si>
  <si>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</si>
  <si>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</si>
  <si>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</si>
  <si>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</si>
  <si>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</si>
  <si>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</si>
  <si>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</si>
  <si>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</si>
  <si>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</si>
  <si>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</si>
  <si>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</si>
  <si>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</si>
  <si>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</si>
  <si>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</si>
  <si>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</si>
  <si>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</si>
  <si>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</si>
  <si>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</si>
  <si>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</si>
  <si>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</si>
  <si>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</si>
  <si>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</si>
  <si>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</si>
  <si>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</si>
  <si>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</si>
  <si>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</si>
  <si>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</si>
  <si>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</si>
  <si>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</si>
  <si>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</si>
  <si>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</si>
  <si>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</si>
  <si>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</si>
  <si>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</si>
  <si>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</si>
  <si>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</si>
  <si>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</si>
  <si>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</si>
  <si>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</si>
  <si>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</si>
  <si>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</si>
  <si>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</si>
  <si>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</si>
  <si>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</si>
  <si>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</si>
  <si>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</si>
  <si>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</si>
  <si>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EUR_SynthDepoQuotesFeed</t>
  </si>
  <si>
    <t>EUR_Synth1YFRAQuotesFeed</t>
  </si>
  <si>
    <t>EUR_InterestRateQuotesFeed!OIS</t>
  </si>
  <si>
    <t>C:\Users\erik\Documents\junk\o.xml</t>
  </si>
  <si>
    <t>EoniaLastFixing_Quote</t>
  </si>
  <si>
    <t>EUR10MD_Quote</t>
  </si>
  <si>
    <t>EUR10MD_SYNTH1Y_Quote</t>
  </si>
  <si>
    <t>EUR10x16F_Quote</t>
  </si>
  <si>
    <t>EUR10X1S_Quote</t>
  </si>
  <si>
    <t>EUR10x22F_SYNTH1Y_Quote</t>
  </si>
  <si>
    <t>EUR11MD_Quote</t>
  </si>
  <si>
    <t>EUR11MD_SYNTH1Y_Quote</t>
  </si>
  <si>
    <t>EUR11x17F_Quote</t>
  </si>
  <si>
    <t>EUR11X1S_Quote</t>
  </si>
  <si>
    <t>EUR11x23F_SYNTH1Y_Quote</t>
  </si>
  <si>
    <t>EUR12x18F_Quote</t>
  </si>
  <si>
    <t>EUR12X1S_Quote</t>
  </si>
  <si>
    <t>EUR12x24F_Quote</t>
  </si>
  <si>
    <t>EUR13x19F_Quote</t>
  </si>
  <si>
    <t>EUR13x25F_SYNTH1Y_Quote</t>
  </si>
  <si>
    <t>EUR14x20F_Quote</t>
  </si>
  <si>
    <t>EUR14x26F_SYNTH1Y_Quote</t>
  </si>
  <si>
    <t>EUR15x21F_Quote</t>
  </si>
  <si>
    <t>EUR15x27F_SYNTH1Y_Quote</t>
  </si>
  <si>
    <t>EUR16x22F_Quote</t>
  </si>
  <si>
    <t>EUR16x28F_SYNTH1Y_Quote</t>
  </si>
  <si>
    <t>EUR17x23F_Quote</t>
  </si>
  <si>
    <t>EUR17x29F_SYNTH1Y_Quote</t>
  </si>
  <si>
    <t>EUR18x24F_Quote</t>
  </si>
  <si>
    <t>EUR18x30F_SYNTH1Y_Quote</t>
  </si>
  <si>
    <t>EUR19x31F_SYNTH1Y_Quote</t>
  </si>
  <si>
    <t>EUR1E6E10Y_Quote</t>
  </si>
  <si>
    <t>EUR1E6E11Y_Quote</t>
  </si>
  <si>
    <t>EUR1E6E12Y_Quote</t>
  </si>
  <si>
    <t>EUR1E6E13Y_Quote</t>
  </si>
  <si>
    <t>EUR1E6E14Y_Quote</t>
  </si>
  <si>
    <t>EUR1E6E15M_Quote</t>
  </si>
  <si>
    <t>EUR1E6E15Y_Quote</t>
  </si>
  <si>
    <t>EUR1E6E16Y_Quote</t>
  </si>
  <si>
    <t>EUR1E6E17Y_Quote</t>
  </si>
  <si>
    <t>EUR1E6E18M_Quote</t>
  </si>
  <si>
    <t>EUR1E6E18Y_Quote</t>
  </si>
  <si>
    <t>EUR1E6E19Y_Quote</t>
  </si>
  <si>
    <t>EUR1E6E1Y_Quote</t>
  </si>
  <si>
    <t>EUR1E6E20Y_Quote</t>
  </si>
  <si>
    <t>EUR1E6E21M_Quote</t>
  </si>
  <si>
    <t>EUR1E6E21Y_Quote</t>
  </si>
  <si>
    <t>EUR1E6E22Y_Quote</t>
  </si>
  <si>
    <t>EUR1E6E23Y_Quote</t>
  </si>
  <si>
    <t>EUR1E6E24Y_Quote</t>
  </si>
  <si>
    <t>EUR1E6E25Y_Quote</t>
  </si>
  <si>
    <t>EUR1E6E26Y_Quote</t>
  </si>
  <si>
    <t>EUR1E6E27Y_Quote</t>
  </si>
  <si>
    <t>EUR1E6E28Y_Quote</t>
  </si>
  <si>
    <t>EUR1E6E29Y_Quote</t>
  </si>
  <si>
    <t>EUR1E6E2Y_Quote</t>
  </si>
  <si>
    <t>EUR1E6E30Y_Quote</t>
  </si>
  <si>
    <t>EUR1E6E35Y_Quote</t>
  </si>
  <si>
    <t>EUR1E6E3Y_Quote</t>
  </si>
  <si>
    <t>EUR1E6E40Y_Quote</t>
  </si>
  <si>
    <t>EUR1E6E4Y_Quote</t>
  </si>
  <si>
    <t>EUR1E6E50Y_Quote</t>
  </si>
  <si>
    <t>EUR1E6E5Y_Quote</t>
  </si>
  <si>
    <t>EUR1E6E60Y_Quote</t>
  </si>
  <si>
    <t>EUR1E6E6M_Quote</t>
  </si>
  <si>
    <t>EUR1E6E6Y_Quote</t>
  </si>
  <si>
    <t>EUR1E6E7Y_Quote</t>
  </si>
  <si>
    <t>EUR1E6E8Y_Quote</t>
  </si>
  <si>
    <t>EUR1E6E9Y_Quote</t>
  </si>
  <si>
    <t>EUR1MD_Quote</t>
  </si>
  <si>
    <t>EUR1MD_SYNTH1M_Quote</t>
  </si>
  <si>
    <t>EUR1MD_SYNTH1Y_Quote</t>
  </si>
  <si>
    <t>EUR1MD_SYNTH3M_Quote</t>
  </si>
  <si>
    <t>EUR1MD_SYNTH6M_Quote</t>
  </si>
  <si>
    <t>EUR1S12_Quote</t>
  </si>
  <si>
    <t>EUR1S24_Quote</t>
  </si>
  <si>
    <t>EUR1S36_Quote</t>
  </si>
  <si>
    <t>EUR1x13F_SYNTH1Y_Quote</t>
  </si>
  <si>
    <t>EUR1x4F_Quote</t>
  </si>
  <si>
    <t>EUR1x7F_Quote</t>
  </si>
  <si>
    <t>EUR1YD_Quote</t>
  </si>
  <si>
    <t>EUR1YD_SYNTH1Y_Quote</t>
  </si>
  <si>
    <t>EUR20x32F_SYNTH1Y_Quote</t>
  </si>
  <si>
    <t>EUR21x33F_SYNTH1Y_Quote</t>
  </si>
  <si>
    <t>EUR22x34F_SYNTH1Y_Quote</t>
  </si>
  <si>
    <t>EUR23x35F_SYNTH1Y_Quote</t>
  </si>
  <si>
    <t>EUR25x37F_SYNTH1Y_Quote</t>
  </si>
  <si>
    <t>EUR26x38F_SYNTH1Y_Quote</t>
  </si>
  <si>
    <t>EUR27x39F_SYNTH1Y_Quote</t>
  </si>
  <si>
    <t>EUR28x40F_SYNTH1Y_Quote</t>
  </si>
  <si>
    <t>EUR29x41F_SYNTH1Y_Quote</t>
  </si>
  <si>
    <t>EUR2MD_Quote</t>
  </si>
  <si>
    <t>EUR2MD_SYNTH1Y_Quote</t>
  </si>
  <si>
    <t>EUR2MD_SYNTH3M_Quote</t>
  </si>
  <si>
    <t>EUR2MD_SYNTH6M_Quote</t>
  </si>
  <si>
    <t>EUR2S12_Quote</t>
  </si>
  <si>
    <t>EUR2S24_Quote</t>
  </si>
  <si>
    <t>EUR2WD_Quote</t>
  </si>
  <si>
    <t>EUR2WD_SYNTH1M_Quote</t>
  </si>
  <si>
    <t>EUR2WD_SYNTH1Y_Quote</t>
  </si>
  <si>
    <t>EUR2WD_SYNTH3M_Quote</t>
  </si>
  <si>
    <t>EUR2WD_SYNTH6M_Quote</t>
  </si>
  <si>
    <t>EUR2x14F_SYNTH1Y_Quote</t>
  </si>
  <si>
    <t>EUR2X1S_Quote</t>
  </si>
  <si>
    <t>EUR2x5F_Quote</t>
  </si>
  <si>
    <t>EUR2x8F_Quote</t>
  </si>
  <si>
    <t>EUR30x42F_SYNTH1Y_Quote</t>
  </si>
  <si>
    <t>EUR31x43F_SYNTH1Y_Quote</t>
  </si>
  <si>
    <t>EUR32x44F_SYNTH1Y_Quote</t>
  </si>
  <si>
    <t>EUR33x45F_SYNTH1Y_Quote</t>
  </si>
  <si>
    <t>EUR34x46F_SYNTH1Y_Quote</t>
  </si>
  <si>
    <t>EUR35x47F_SYNTH1Y_Quote</t>
  </si>
  <si>
    <t>EUR37x49F_SYNTH1Y_Quote</t>
  </si>
  <si>
    <t>EUR38x50F_SYNTH1Y_Quote</t>
  </si>
  <si>
    <t>EUR39x51F_SYNTH1Y_Quote</t>
  </si>
  <si>
    <t>EUR3E6E10Y_Quote</t>
  </si>
  <si>
    <t>EUR3E6E11Y_Quote</t>
  </si>
  <si>
    <t>EUR3E6E12Y_Quote</t>
  </si>
  <si>
    <t>EUR3E6E13Y_Quote</t>
  </si>
  <si>
    <t>EUR3E6E14Y_Quote</t>
  </si>
  <si>
    <t>EUR3E6E15M_Quote</t>
  </si>
  <si>
    <t>EUR3E6E15Y_Quote</t>
  </si>
  <si>
    <t>EUR3E6E16Y_Quote</t>
  </si>
  <si>
    <t>EUR3E6E17Y_Quote</t>
  </si>
  <si>
    <t>EUR3E6E18M_Quote</t>
  </si>
  <si>
    <t>EUR3E6E18Y_Quote</t>
  </si>
  <si>
    <t>EUR3E6E19Y_Quote</t>
  </si>
  <si>
    <t>EUR3E6E1Y_Quote</t>
  </si>
  <si>
    <t>EUR3E6E20Y_Quote</t>
  </si>
  <si>
    <t>EUR3E6E21M_Quote</t>
  </si>
  <si>
    <t>EUR3E6E21Y_Quote</t>
  </si>
  <si>
    <t>EUR3E6E22Y_Quote</t>
  </si>
  <si>
    <t>EUR3E6E23Y_Quote</t>
  </si>
  <si>
    <t>EUR3E6E24Y_Quote</t>
  </si>
  <si>
    <t>EUR3E6E25Y_Quote</t>
  </si>
  <si>
    <t>EUR3E6E26Y_Quote</t>
  </si>
  <si>
    <t>EUR3E6E27Y_Quote</t>
  </si>
  <si>
    <t>EUR3E6E28Y_Quote</t>
  </si>
  <si>
    <t>EUR3E6E29Y_Quote</t>
  </si>
  <si>
    <t>EUR3E6E2Y_Quote</t>
  </si>
  <si>
    <t>EUR3E6E30Y_Quote</t>
  </si>
  <si>
    <t>EUR3E6E35Y_Quote</t>
  </si>
  <si>
    <t>EUR3E6E3Y_Quote</t>
  </si>
  <si>
    <t>EUR3E6E40Y_Quote</t>
  </si>
  <si>
    <t>EUR3E6E4Y_Quote</t>
  </si>
  <si>
    <t>EUR3E6E50Y_Quote</t>
  </si>
  <si>
    <t>EUR3E6E5Y_Quote</t>
  </si>
  <si>
    <t>EUR3E6E60Y_Quote</t>
  </si>
  <si>
    <t>EUR3E6E6M_Quote</t>
  </si>
  <si>
    <t>EUR3E6E6Y_Quote</t>
  </si>
  <si>
    <t>EUR3E6E7Y_Quote</t>
  </si>
  <si>
    <t>EUR3E6E8Y_Quote</t>
  </si>
  <si>
    <t>EUR3E6E9Y_Quote</t>
  </si>
  <si>
    <t>EUR3MD_Quote</t>
  </si>
  <si>
    <t>EUR3MD_SYNTH1Y_Quote</t>
  </si>
  <si>
    <t>EUR3MD_SYNTH3M_Quote</t>
  </si>
  <si>
    <t>EUR3MD_SYNTH6M_Quote</t>
  </si>
  <si>
    <t>EUR3S12_Quote</t>
  </si>
  <si>
    <t>EUR3WD_Quote</t>
  </si>
  <si>
    <t>EUR3WD_SYNTH1M_Quote</t>
  </si>
  <si>
    <t>EUR3WD_SYNTH1Y_Quote</t>
  </si>
  <si>
    <t>EUR3WD_SYNTH3M_Quote</t>
  </si>
  <si>
    <t>EUR3WD_SYNTH6M_Quote</t>
  </si>
  <si>
    <t>EUR3x15F_SYNTH1Y_Quote</t>
  </si>
  <si>
    <t>EUR3X1S_Quote</t>
  </si>
  <si>
    <t>EUR3x6F_Quote</t>
  </si>
  <si>
    <t>EUR3x9F_Quote</t>
  </si>
  <si>
    <t>EUR40x52F_SYNTH1Y_Quote</t>
  </si>
  <si>
    <t>EUR41x53F_SYNTH1Y_Quote</t>
  </si>
  <si>
    <t>EUR42x54F_SYNTH1Y_Quote</t>
  </si>
  <si>
    <t>EUR43x55F_SYNTH1Y_Quote</t>
  </si>
  <si>
    <t>EUR44x56F_SYNTH1Y_Quote</t>
  </si>
  <si>
    <t>EUR45x57F_SYNTH1Y_Quote</t>
  </si>
  <si>
    <t>EUR46x58F_SYNTH1Y_Quote</t>
  </si>
  <si>
    <t>EUR47x59F_SYNTH1Y_Quote</t>
  </si>
  <si>
    <t>EUR4MD_Quote</t>
  </si>
  <si>
    <t>EUR4MD_SYNTH1Y_Quote</t>
  </si>
  <si>
    <t>EUR4MD_SYNTH6M_Quote</t>
  </si>
  <si>
    <t>EUR4S12_Quote</t>
  </si>
  <si>
    <t>EUR4x10F_Quote</t>
  </si>
  <si>
    <t>EUR4x16F_SYNTH1Y_Quote</t>
  </si>
  <si>
    <t>EUR4X1S_Quote</t>
  </si>
  <si>
    <t>EUR4x7F_Quote</t>
  </si>
  <si>
    <t>EUR5MD_Quote</t>
  </si>
  <si>
    <t>EUR5MD_SYNTH1Y_Quote</t>
  </si>
  <si>
    <t>EUR5MD_SYNTH6M_Quote</t>
  </si>
  <si>
    <t>EUR5x11F_Quote</t>
  </si>
  <si>
    <t>EUR5x17F_SYNTH1Y_Quote</t>
  </si>
  <si>
    <t>EUR5X1S_Quote</t>
  </si>
  <si>
    <t>EUR5x8F_Quote</t>
  </si>
  <si>
    <t>EUR6E12E10Y_Quote</t>
  </si>
  <si>
    <t>EUR6E12E11Y_Quote</t>
  </si>
  <si>
    <t>EUR6E12E12Y_Quote</t>
  </si>
  <si>
    <t>EUR6E12E13Y_Quote</t>
  </si>
  <si>
    <t>EUR6E12E14Y_Quote</t>
  </si>
  <si>
    <t>EUR6E12E15M_Quote</t>
  </si>
  <si>
    <t>EUR6E12E15Y_Quote</t>
  </si>
  <si>
    <t>EUR6E12E16Y_Quote</t>
  </si>
  <si>
    <t>EUR6E12E17Y_Quote</t>
  </si>
  <si>
    <t>EUR6E12E18M_Quote</t>
  </si>
  <si>
    <t>EUR6E12E18Y_Quote</t>
  </si>
  <si>
    <t>EUR6E12E19Y_Quote</t>
  </si>
  <si>
    <t>EUR6E12E1Y_Quote</t>
  </si>
  <si>
    <t>EUR6E12E20Y_Quote</t>
  </si>
  <si>
    <t>EUR6E12E21M_Quote</t>
  </si>
  <si>
    <t>EUR6E12E21Y_Quote</t>
  </si>
  <si>
    <t>EUR6E12E22Y_Quote</t>
  </si>
  <si>
    <t>EUR6E12E23Y_Quote</t>
  </si>
  <si>
    <t>EUR6E12E24Y_Quote</t>
  </si>
  <si>
    <t>EUR6E12E25Y_Quote</t>
  </si>
  <si>
    <t>EUR6E12E26Y_Quote</t>
  </si>
  <si>
    <t>EUR6E12E27Y_Quote</t>
  </si>
  <si>
    <t>EUR6E12E28Y_Quote</t>
  </si>
  <si>
    <t>EUR6E12E29Y_Quote</t>
  </si>
  <si>
    <t>EUR6E12E2Y_Quote</t>
  </si>
  <si>
    <t>EUR6E12E30Y_Quote</t>
  </si>
  <si>
    <t>EUR6E12E35Y_Quote</t>
  </si>
  <si>
    <t>EUR6E12E3Y_Quote</t>
  </si>
  <si>
    <t>EUR6E12E40Y_Quote</t>
  </si>
  <si>
    <t>EUR6E12E4Y_Quote</t>
  </si>
  <si>
    <t>EUR6E12E50Y_Quote</t>
  </si>
  <si>
    <t>EUR6E12E5Y_Quote</t>
  </si>
  <si>
    <t>EUR6E12E60Y_Quote</t>
  </si>
  <si>
    <t>EUR6E12E6M_Quote</t>
  </si>
  <si>
    <t>EUR6E12E6Y_Quote</t>
  </si>
  <si>
    <t>EUR6E12E7Y_Quote</t>
  </si>
  <si>
    <t>EUR6E12E8Y_Quote</t>
  </si>
  <si>
    <t>EUR6E12E9Y_Quote</t>
  </si>
  <si>
    <t>EUR6MD_Quote</t>
  </si>
  <si>
    <t>EUR6MD_SYNTH1Y_Quote</t>
  </si>
  <si>
    <t>EUR6MD_SYNTH6M_Quote</t>
  </si>
  <si>
    <t>EUR6x12F_Quote</t>
  </si>
  <si>
    <t>EUR6x18F_SYNTH1Y_Quote</t>
  </si>
  <si>
    <t>EUR6X1S_Quote</t>
  </si>
  <si>
    <t>EUR6x9F_Quote</t>
  </si>
  <si>
    <t>EUR7MD_Quote</t>
  </si>
  <si>
    <t>EUR7MD_SYNTH1Y_Quote</t>
  </si>
  <si>
    <t>EUR7x13F_Quote</t>
  </si>
  <si>
    <t>EUR7x19F_SYNTH1Y_Quote</t>
  </si>
  <si>
    <t>EUR7X1S_Quote</t>
  </si>
  <si>
    <t>EUR8MD_Quote</t>
  </si>
  <si>
    <t>EUR8MD_SYNTH1Y_Quote</t>
  </si>
  <si>
    <t>EUR8x14F_Quote</t>
  </si>
  <si>
    <t>EUR8X1S_Quote</t>
  </si>
  <si>
    <t>EUR8x20F_SYNTH1Y_Quote</t>
  </si>
  <si>
    <t>EUR9MD_Quote</t>
  </si>
  <si>
    <t>EUR9MD_SYNTH1Y_Quote</t>
  </si>
  <si>
    <t>EUR9x15F_Quote</t>
  </si>
  <si>
    <t>EUR9X1S_Quote</t>
  </si>
  <si>
    <t>EUR9x21F_SYNTH1Y_Quote</t>
  </si>
  <si>
    <t>EURAB12EBASIS10Y_Quote</t>
  </si>
  <si>
    <t>EURAB12EBASIS11Y_Quote</t>
  </si>
  <si>
    <t>EURAB12EBASIS12Y_Quote</t>
  </si>
  <si>
    <t>EURAB12EBASIS13Y_Quote</t>
  </si>
  <si>
    <t>EURAB12EBASIS14Y_Quote</t>
  </si>
  <si>
    <t>EURAB12EBASIS15M_Quote</t>
  </si>
  <si>
    <t>EURAB12EBASIS15Y_Quote</t>
  </si>
  <si>
    <t>EURAB12EBASIS16Y_Quote</t>
  </si>
  <si>
    <t>EURAB12EBASIS17Y_Quote</t>
  </si>
  <si>
    <t>EURAB12EBASIS18M_Quote</t>
  </si>
  <si>
    <t>EURAB12EBASIS18Y_Quote</t>
  </si>
  <si>
    <t>EURAB12EBASIS19Y_Quote</t>
  </si>
  <si>
    <t>EURAB12EBASIS1Y_Quote</t>
  </si>
  <si>
    <t>EURAB12EBASIS20Y_Quote</t>
  </si>
  <si>
    <t>EURAB12EBASIS21M_Quote</t>
  </si>
  <si>
    <t>EURAB12EBASIS21Y_Quote</t>
  </si>
  <si>
    <t>EURAB12EBASIS22Y_Quote</t>
  </si>
  <si>
    <t>EURAB12EBASIS23Y_Quote</t>
  </si>
  <si>
    <t>EURAB12EBASIS24Y_Quote</t>
  </si>
  <si>
    <t>EURAB12EBASIS25Y_Quote</t>
  </si>
  <si>
    <t>EURAB12EBASIS26Y_Quote</t>
  </si>
  <si>
    <t>EURAB12EBASIS27Y_Quote</t>
  </si>
  <si>
    <t>EURAB12EBASIS28Y_Quote</t>
  </si>
  <si>
    <t>EURAB12EBASIS29Y_Quote</t>
  </si>
  <si>
    <t>EURAB12EBASIS2Y_Quote</t>
  </si>
  <si>
    <t>EURAB12EBASIS30Y_Quote</t>
  </si>
  <si>
    <t>EURAB12EBASIS35Y_Quote</t>
  </si>
  <si>
    <t>EURAB12EBASIS3Y_Quote</t>
  </si>
  <si>
    <t>EURAB12EBASIS40Y_Quote</t>
  </si>
  <si>
    <t>EURAB12EBASIS4Y_Quote</t>
  </si>
  <si>
    <t>EURAB12EBASIS50Y_Quote</t>
  </si>
  <si>
    <t>EURAB12EBASIS5Y_Quote</t>
  </si>
  <si>
    <t>EURAB12EBASIS60Y_Quote</t>
  </si>
  <si>
    <t>EURAB12EBASIS6Y_Quote</t>
  </si>
  <si>
    <t>EURAB12EBASIS7Y_Quote</t>
  </si>
  <si>
    <t>EURAB12EBASIS8Y_Quote</t>
  </si>
  <si>
    <t>EURAB12EBASIS9Y_Quote</t>
  </si>
  <si>
    <t>EURAB1EBASIS10Y_Quote</t>
  </si>
  <si>
    <t>EURAB1EBASIS11Y_Quote</t>
  </si>
  <si>
    <t>EURAB1EBASIS12Y_Quote</t>
  </si>
  <si>
    <t>EURAB1EBASIS13Y_Quote</t>
  </si>
  <si>
    <t>EURAB1EBASIS14Y_Quote</t>
  </si>
  <si>
    <t>EURAB1EBASIS15M_Quote</t>
  </si>
  <si>
    <t>EURAB1EBASIS15Y_Quote</t>
  </si>
  <si>
    <t>EURAB1EBASIS16Y_Quote</t>
  </si>
  <si>
    <t>EURAB1EBASIS17Y_Quote</t>
  </si>
  <si>
    <t>EURAB1EBASIS18M_Quote</t>
  </si>
  <si>
    <t>EURAB1EBASIS18Y_Quote</t>
  </si>
  <si>
    <t>EURAB1EBASIS19Y_Quote</t>
  </si>
  <si>
    <t>EURAB1EBASIS1Y_Quote</t>
  </si>
  <si>
    <t>EURAB1EBASIS20Y_Quote</t>
  </si>
  <si>
    <t>EURAB1EBASIS21M_Quote</t>
  </si>
  <si>
    <t>EURAB1EBASIS21Y_Quote</t>
  </si>
  <si>
    <t>EURAB1EBASIS22Y_Quote</t>
  </si>
  <si>
    <t>EURAB1EBASIS23Y_Quote</t>
  </si>
  <si>
    <t>EURAB1EBASIS24Y_Quote</t>
  </si>
  <si>
    <t>EURAB1EBASIS25Y_Quote</t>
  </si>
  <si>
    <t>EURAB1EBASIS26Y_Quote</t>
  </si>
  <si>
    <t>EURAB1EBASIS27Y_Quote</t>
  </si>
  <si>
    <t>EURAB1EBASIS28Y_Quote</t>
  </si>
  <si>
    <t>EURAB1EBASIS29Y_Quote</t>
  </si>
  <si>
    <t>EURAB1EBASIS2Y_Quote</t>
  </si>
  <si>
    <t>EURAB1EBASIS30Y_Quote</t>
  </si>
  <si>
    <t>EURAB1EBASIS35Y_Quote</t>
  </si>
  <si>
    <t>EURAB1EBASIS3Y_Quote</t>
  </si>
  <si>
    <t>EURAB1EBASIS40Y_Quote</t>
  </si>
  <si>
    <t>EURAB1EBASIS4Y_Quote</t>
  </si>
  <si>
    <t>EURAB1EBASIS50Y_Quote</t>
  </si>
  <si>
    <t>EURAB1EBASIS5Y_Quote</t>
  </si>
  <si>
    <t>EURAB1EBASIS60Y_Quote</t>
  </si>
  <si>
    <t>EURAB1EBASIS6Y_Quote</t>
  </si>
  <si>
    <t>EURAB1EBASIS7Y_Quote</t>
  </si>
  <si>
    <t>EURAB1EBASIS8Y_Quote</t>
  </si>
  <si>
    <t>EURAB1EBASIS9Y_Quote</t>
  </si>
  <si>
    <t>EURAB3E10Y_Quote</t>
  </si>
  <si>
    <t>EURAB3E11Y_Quote</t>
  </si>
  <si>
    <t>EURAB3E12Y_Quote</t>
  </si>
  <si>
    <t>EURAB3E13Y_Quote</t>
  </si>
  <si>
    <t>EURAB3E14Y_Quote</t>
  </si>
  <si>
    <t>EURAB3E15M_Quote</t>
  </si>
  <si>
    <t>EURAB3E15Y_Quote</t>
  </si>
  <si>
    <t>EURAB3E16Y_Quote</t>
  </si>
  <si>
    <t>EURAB3E17Y_Quote</t>
  </si>
  <si>
    <t>EURAB3E18M_Quote</t>
  </si>
  <si>
    <t>EURAB3E18Y_Quote</t>
  </si>
  <si>
    <t>EURAB3E19Y_Quote</t>
  </si>
  <si>
    <t>EURAB3E1Y_Quote</t>
  </si>
  <si>
    <t>EURAB3E20Y_Quote</t>
  </si>
  <si>
    <t>EURAB3E21M_Quote</t>
  </si>
  <si>
    <t>EURAB3E21Y_Quote</t>
  </si>
  <si>
    <t>EURAB3E22Y_Quote</t>
  </si>
  <si>
    <t>EURAB3E23Y_Quote</t>
  </si>
  <si>
    <t>EURAB3E24Y_Quote</t>
  </si>
  <si>
    <t>EURAB3E25Y_Quote</t>
  </si>
  <si>
    <t>EURAB3E26Y_Quote</t>
  </si>
  <si>
    <t>EURAB3E27Y_Quote</t>
  </si>
  <si>
    <t>EURAB3E28Y_Quote</t>
  </si>
  <si>
    <t>EURAB3E29Y_Quote</t>
  </si>
  <si>
    <t>EURAB3E2Y_Quote</t>
  </si>
  <si>
    <t>EURAB3E30Y_Quote</t>
  </si>
  <si>
    <t>EURAB3E35Y_Quote</t>
  </si>
  <si>
    <t>EURAB3E3Y_Quote</t>
  </si>
  <si>
    <t>EURAB3E40Y_Quote</t>
  </si>
  <si>
    <t>EURAB3E4Y_Quote</t>
  </si>
  <si>
    <t>EURAB3E50Y_Quote</t>
  </si>
  <si>
    <t>EURAB3E5Y_Quote</t>
  </si>
  <si>
    <t>EURAB3E60Y_Quote</t>
  </si>
  <si>
    <t>EURAB3E6Y_Quote</t>
  </si>
  <si>
    <t>EURAB3E7Y_Quote</t>
  </si>
  <si>
    <t>EURAB3E8Y_Quote</t>
  </si>
  <si>
    <t>EURAB3E9Y_Quote</t>
  </si>
  <si>
    <t>EURAB3EBASIS10Y_Quote</t>
  </si>
  <si>
    <t>EURAB3EBASIS11Y_Quote</t>
  </si>
  <si>
    <t>EURAB3EBASIS12Y_Quote</t>
  </si>
  <si>
    <t>EURAB3EBASIS13Y_Quote</t>
  </si>
  <si>
    <t>EURAB3EBASIS14Y_Quote</t>
  </si>
  <si>
    <t>EURAB3EBASIS15M_Quote</t>
  </si>
  <si>
    <t>EURAB3EBASIS15Y_Quote</t>
  </si>
  <si>
    <t>EURAB3EBASIS16Y_Quote</t>
  </si>
  <si>
    <t>EURAB3EBASIS17Y_Quote</t>
  </si>
  <si>
    <t>EURAB3EBASIS18M_Quote</t>
  </si>
  <si>
    <t>EURAB3EBASIS18Y_Quote</t>
  </si>
  <si>
    <t>EURAB3EBASIS19Y_Quote</t>
  </si>
  <si>
    <t>EURAB3EBASIS1Y_Quote</t>
  </si>
  <si>
    <t>EURAB3EBASIS20Y_Quote</t>
  </si>
  <si>
    <t>EURAB3EBASIS21M_Quote</t>
  </si>
  <si>
    <t>EURAB3EBASIS21Y_Quote</t>
  </si>
  <si>
    <t>EURAB3EBASIS22Y_Quote</t>
  </si>
  <si>
    <t>EURAB3EBASIS23Y_Quote</t>
  </si>
  <si>
    <t>EURAB3EBASIS24Y_Quote</t>
  </si>
  <si>
    <t>EURAB3EBASIS25Y_Quote</t>
  </si>
  <si>
    <t>EURAB3EBASIS26Y_Quote</t>
  </si>
  <si>
    <t>EURAB3EBASIS27Y_Quote</t>
  </si>
  <si>
    <t>EURAB3EBASIS28Y_Quote</t>
  </si>
  <si>
    <t>EURAB3EBASIS29Y_Quote</t>
  </si>
  <si>
    <t>EURAB3EBASIS2Y_Quote</t>
  </si>
  <si>
    <t>EURAB3EBASIS30Y_Quote</t>
  </si>
  <si>
    <t>EURAB3EBASIS35Y_Quote</t>
  </si>
  <si>
    <t>EURAB3EBASIS3Y_Quote</t>
  </si>
  <si>
    <t>EURAB3EBASIS40Y_Quote</t>
  </si>
  <si>
    <t>EURAB3EBASIS4Y_Quote</t>
  </si>
  <si>
    <t>EURAB3EBASIS50Y_Quote</t>
  </si>
  <si>
    <t>EURAB3EBASIS5Y_Quote</t>
  </si>
  <si>
    <t>EURAB3EBASIS60Y_Quote</t>
  </si>
  <si>
    <t>EURAB3EBASIS6Y_Quote</t>
  </si>
  <si>
    <t>EURAB3EBASIS7Y_Quote</t>
  </si>
  <si>
    <t>EURAB3EBASIS8Y_Quote</t>
  </si>
  <si>
    <t>EURAB3EBASIS9Y_Quote</t>
  </si>
  <si>
    <t>EURAB6E10Y_Quote</t>
  </si>
  <si>
    <t>EURAB6E11Y_Quote</t>
  </si>
  <si>
    <t>EURAB6E12Y_Quote</t>
  </si>
  <si>
    <t>EURAB6E13Y_Quote</t>
  </si>
  <si>
    <t>EURAB6E14Y_Quote</t>
  </si>
  <si>
    <t>EURAB6E15M_Quote</t>
  </si>
  <si>
    <t>EURAB6E15Y_Quote</t>
  </si>
  <si>
    <t>EURAB6E16Y_Quote</t>
  </si>
  <si>
    <t>EURAB6E17Y_Quote</t>
  </si>
  <si>
    <t>EURAB6E18M_Quote</t>
  </si>
  <si>
    <t>EURAB6E18Y_Quote</t>
  </si>
  <si>
    <t>EURAB6E19Y_Quote</t>
  </si>
  <si>
    <t>EURAB6E1Y_Quote</t>
  </si>
  <si>
    <t>EURAB6E20Y_Quote</t>
  </si>
  <si>
    <t>EURAB6E21M_Quote</t>
  </si>
  <si>
    <t>EURAB6E21Y_Quote</t>
  </si>
  <si>
    <t>EURAB6E22Y_Quote</t>
  </si>
  <si>
    <t>EURAB6E23Y_Quote</t>
  </si>
  <si>
    <t>EURAB6E24Y_Quote</t>
  </si>
  <si>
    <t>EURAB6E25Y_Quote</t>
  </si>
  <si>
    <t>EURAB6E26Y_Quote</t>
  </si>
  <si>
    <t>EURAB6E27Y_Quote</t>
  </si>
  <si>
    <t>EURAB6E28Y_Quote</t>
  </si>
  <si>
    <t>EURAB6E29Y_Quote</t>
  </si>
  <si>
    <t>EURAB6E2Y_Quote</t>
  </si>
  <si>
    <t>EURAB6E30Y_Quote</t>
  </si>
  <si>
    <t>EURAB6E35Y_Quote</t>
  </si>
  <si>
    <t>EURAB6E3Y_Quote</t>
  </si>
  <si>
    <t>EURAB6E40Y_Quote</t>
  </si>
  <si>
    <t>EURAB6E4Y_Quote</t>
  </si>
  <si>
    <t>EURAB6E50Y_Quote</t>
  </si>
  <si>
    <t>EURAB6E5Y_Quote</t>
  </si>
  <si>
    <t>EURAB6E60Y_Quote</t>
  </si>
  <si>
    <t>EURAB6E6Y_Quote</t>
  </si>
  <si>
    <t>EURAB6E7Y_Quote</t>
  </si>
  <si>
    <t>EURAB6E8Y_Quote</t>
  </si>
  <si>
    <t>EURAB6E9Y_Quote</t>
  </si>
  <si>
    <t>EURECBOISAPR13_Quote</t>
  </si>
  <si>
    <t>EURECBOISAUG13_Quote</t>
  </si>
  <si>
    <t>EURECBOISDEC13_Quote</t>
  </si>
  <si>
    <t>EURECBOISJUL13_Quote</t>
  </si>
  <si>
    <t>EURECBOISJUN13_Quote</t>
  </si>
  <si>
    <t>EURECBOISMAR13_Quote</t>
  </si>
  <si>
    <t>EURECBOISMAY13_Quote</t>
  </si>
  <si>
    <t>EURECBOISNOV13_Quote</t>
  </si>
  <si>
    <t>EURECBOISOCT13_Quote</t>
  </si>
  <si>
    <t>EURECBOISSEP13_Quote</t>
  </si>
  <si>
    <t>EUREON10M_Quote</t>
  </si>
  <si>
    <t>EUREON10Y_Quote</t>
  </si>
  <si>
    <t>EUREON11M_Quote</t>
  </si>
  <si>
    <t>EUREON11Y_Quote</t>
  </si>
  <si>
    <t>EUREON12Y_Quote</t>
  </si>
  <si>
    <t>EUREON15M_Quote</t>
  </si>
  <si>
    <t>EUREON15Y_Quote</t>
  </si>
  <si>
    <t>EUREON18M_Quote</t>
  </si>
  <si>
    <t>EUREON1M_Quote</t>
  </si>
  <si>
    <t>EUREON1Y_Quote</t>
  </si>
  <si>
    <t>EUREON20Y_Quote</t>
  </si>
  <si>
    <t>EUREON21M_Quote</t>
  </si>
  <si>
    <t>EUREON25Y_Quote</t>
  </si>
  <si>
    <t>EUREON2M_Quote</t>
  </si>
  <si>
    <t>EUREON2W_Quote</t>
  </si>
  <si>
    <t>EUREON2Y_Quote</t>
  </si>
  <si>
    <t>EUREON30Y_Quote</t>
  </si>
  <si>
    <t>EUREON3M_Quote</t>
  </si>
  <si>
    <t>EUREON3W_Quote</t>
  </si>
  <si>
    <t>EUREON3Y_Quote</t>
  </si>
  <si>
    <t>EUREON40Y_Quote</t>
  </si>
  <si>
    <t>EUREON4M_Quote</t>
  </si>
  <si>
    <t>EUREON4Y_Quote</t>
  </si>
  <si>
    <t>EUREON50Y_Quote</t>
  </si>
  <si>
    <t>EUREON5M_Quote</t>
  </si>
  <si>
    <t>EUREON5Y_Quote</t>
  </si>
  <si>
    <t>EUREON60Y_Quote</t>
  </si>
  <si>
    <t>EUREON6M_Quote</t>
  </si>
  <si>
    <t>EUREON6Y_Quote</t>
  </si>
  <si>
    <t>EUREON7M_Quote</t>
  </si>
  <si>
    <t>EUREON7Y_Quote</t>
  </si>
  <si>
    <t>EUREON8M_Quote</t>
  </si>
  <si>
    <t>EUREON8Y_Quote</t>
  </si>
  <si>
    <t>EUREON9M_Quote</t>
  </si>
  <si>
    <t>EUREON9Y_Quote</t>
  </si>
  <si>
    <t>EUREONSW_Quote</t>
  </si>
  <si>
    <t>EURFUT1MF0_Quote</t>
  </si>
  <si>
    <t>EURFUT1MF1_Quote</t>
  </si>
  <si>
    <t>EURFUT1MF2_Quote</t>
  </si>
  <si>
    <t>EURFUT1MF3_Quote</t>
  </si>
  <si>
    <t>EURFUT1MF4_Quote</t>
  </si>
  <si>
    <t>EURFUT1MF5_Quote</t>
  </si>
  <si>
    <t>EURFUT1MF6_Quote</t>
  </si>
  <si>
    <t>EURFUT1MF7_Quote</t>
  </si>
  <si>
    <t>EURFUT1MF8_Quote</t>
  </si>
  <si>
    <t>EURFUT1MF9_Quote</t>
  </si>
  <si>
    <t>EURFUT1MG0_Quote</t>
  </si>
  <si>
    <t>EURFUT1MG1_Quote</t>
  </si>
  <si>
    <t>EURFUT1MG2_Quote</t>
  </si>
  <si>
    <t>EURFUT1MG3_Quote</t>
  </si>
  <si>
    <t>EURFUT1MG4_Quote</t>
  </si>
  <si>
    <t>EURFUT1MG5_Quote</t>
  </si>
  <si>
    <t>EURFUT1MG6_Quote</t>
  </si>
  <si>
    <t>EURFUT1MG7_Quote</t>
  </si>
  <si>
    <t>EURFUT1MG8_Quote</t>
  </si>
  <si>
    <t>EURFUT1MG9_Quote</t>
  </si>
  <si>
    <t>EURFUT1MH0_Quote</t>
  </si>
  <si>
    <t>EURFUT1MH1_Quote</t>
  </si>
  <si>
    <t>EURFUT1MH2_Quote</t>
  </si>
  <si>
    <t>EURFUT1MH3_Quote</t>
  </si>
  <si>
    <t>EURFUT1MH4_Quote</t>
  </si>
  <si>
    <t>EURFUT1MH5_Quote</t>
  </si>
  <si>
    <t>EURFUT1MH6_Quote</t>
  </si>
  <si>
    <t>EURFUT1MH7_Quote</t>
  </si>
  <si>
    <t>EURFUT1MH8_Quote</t>
  </si>
  <si>
    <t>EURFUT1MH9_Quote</t>
  </si>
  <si>
    <t>EURFUT1MJ0_Quote</t>
  </si>
  <si>
    <t>EURFUT1MJ1_Quote</t>
  </si>
  <si>
    <t>EURFUT1MJ2_Quote</t>
  </si>
  <si>
    <t>EURFUT1MJ3_Quote</t>
  </si>
  <si>
    <t>EURFUT1MJ4_Quote</t>
  </si>
  <si>
    <t>EURFUT1MJ5_Quote</t>
  </si>
  <si>
    <t>EURFUT1MJ6_Quote</t>
  </si>
  <si>
    <t>EURFUT1MJ7_Quote</t>
  </si>
  <si>
    <t>EURFUT1MJ8_Quote</t>
  </si>
  <si>
    <t>EURFUT1MJ9_Quote</t>
  </si>
  <si>
    <t>EURFUT1MK0_Quote</t>
  </si>
  <si>
    <t>EURFUT1MK1_Quote</t>
  </si>
  <si>
    <t>EURFUT1MK2_Quote</t>
  </si>
  <si>
    <t>EURFUT1MK3_Quote</t>
  </si>
  <si>
    <t>EURFUT1MK4_Quote</t>
  </si>
  <si>
    <t>EURFUT1MK5_Quote</t>
  </si>
  <si>
    <t>EURFUT1MK6_Quote</t>
  </si>
  <si>
    <t>EURFUT1MK7_Quote</t>
  </si>
  <si>
    <t>EURFUT1MK8_Quote</t>
  </si>
  <si>
    <t>EURFUT1MK9_Quote</t>
  </si>
  <si>
    <t>EURFUT1MM0_Quote</t>
  </si>
  <si>
    <t>EURFUT1MM1_Quote</t>
  </si>
  <si>
    <t>EURFUT1MM2_Quote</t>
  </si>
  <si>
    <t>EURFUT1MM3_Quote</t>
  </si>
  <si>
    <t>EURFUT1MM4_Quote</t>
  </si>
  <si>
    <t>EURFUT1MM5_Quote</t>
  </si>
  <si>
    <t>EURFUT1MM6_Quote</t>
  </si>
  <si>
    <t>EURFUT1MM7_Quote</t>
  </si>
  <si>
    <t>EURFUT1MM8_Quote</t>
  </si>
  <si>
    <t>EURFUT1MM9_Quote</t>
  </si>
  <si>
    <t>EURFUT1MN0_Quote</t>
  </si>
  <si>
    <t>EURFUT1MN1_Quote</t>
  </si>
  <si>
    <t>EURFUT1MN2_Quote</t>
  </si>
  <si>
    <t>EURFUT1MN3_Quote</t>
  </si>
  <si>
    <t>EURFUT1MN4_Quote</t>
  </si>
  <si>
    <t>EURFUT1MN5_Quote</t>
  </si>
  <si>
    <t>EURFUT1MN6_Quote</t>
  </si>
  <si>
    <t>EURFUT1MN7_Quote</t>
  </si>
  <si>
    <t>EURFUT1MN8_Quote</t>
  </si>
  <si>
    <t>EURFUT1MN9_Quote</t>
  </si>
  <si>
    <t>EURFUT1MQ0_Quote</t>
  </si>
  <si>
    <t>EURFUT1MQ1_Quote</t>
  </si>
  <si>
    <t>EURFUT1MQ2_Quote</t>
  </si>
  <si>
    <t>EURFUT1MQ3_Quote</t>
  </si>
  <si>
    <t>EURFUT1MQ4_Quote</t>
  </si>
  <si>
    <t>EURFUT1MQ5_Quote</t>
  </si>
  <si>
    <t>EURFUT1MQ6_Quote</t>
  </si>
  <si>
    <t>EURFUT1MQ7_Quote</t>
  </si>
  <si>
    <t>EURFUT1MQ8_Quote</t>
  </si>
  <si>
    <t>EURFUT1MQ9_Quote</t>
  </si>
  <si>
    <t>EURFUT1MU0_Quote</t>
  </si>
  <si>
    <t>EURFUT1MU1_Quote</t>
  </si>
  <si>
    <t>EURFUT1MU2_Quote</t>
  </si>
  <si>
    <t>EURFUT1MU3_Quote</t>
  </si>
  <si>
    <t>EURFUT1MU4_Quote</t>
  </si>
  <si>
    <t>EURFUT1MU5_Quote</t>
  </si>
  <si>
    <t>EURFUT1MU6_Quote</t>
  </si>
  <si>
    <t>EURFUT1MU7_Quote</t>
  </si>
  <si>
    <t>EURFUT1MU8_Quote</t>
  </si>
  <si>
    <t>EURFUT1MU9_Quote</t>
  </si>
  <si>
    <t>EURFUT1MV0_Quote</t>
  </si>
  <si>
    <t>EURFUT1MV1_Quote</t>
  </si>
  <si>
    <t>EURFUT1MV2_Quote</t>
  </si>
  <si>
    <t>EURFUT1MV3_Quote</t>
  </si>
  <si>
    <t>EURFUT1MV4_Quote</t>
  </si>
  <si>
    <t>EURFUT1MV5_Quote</t>
  </si>
  <si>
    <t>EURFUT1MV6_Quote</t>
  </si>
  <si>
    <t>EURFUT1MV7_Quote</t>
  </si>
  <si>
    <t>EURFUT1MV8_Quote</t>
  </si>
  <si>
    <t>EURFUT1MV9_Quote</t>
  </si>
  <si>
    <t>EURFUT1MX0_Quote</t>
  </si>
  <si>
    <t>EURFUT1MX1_Quote</t>
  </si>
  <si>
    <t>EURFUT1MX2_Quote</t>
  </si>
  <si>
    <t>EURFUT1MX3_Quote</t>
  </si>
  <si>
    <t>EURFUT1MX4_Quote</t>
  </si>
  <si>
    <t>EURFUT1MX5_Quote</t>
  </si>
  <si>
    <t>EURFUT1MX6_Quote</t>
  </si>
  <si>
    <t>EURFUT1MX7_Quote</t>
  </si>
  <si>
    <t>EURFUT1MX8_Quote</t>
  </si>
  <si>
    <t>EURFUT1MX9_Quote</t>
  </si>
  <si>
    <t>EURFUT1MZ0_Quote</t>
  </si>
  <si>
    <t>EURFUT1MZ1_Quote</t>
  </si>
  <si>
    <t>EURFUT1MZ2_Quote</t>
  </si>
  <si>
    <t>EURFUT1MZ3_Quote</t>
  </si>
  <si>
    <t>EURFUT1MZ4_Quote</t>
  </si>
  <si>
    <t>EURFUT1MZ5_Quote</t>
  </si>
  <si>
    <t>EURFUT1MZ6_Quote</t>
  </si>
  <si>
    <t>EURFUT1MZ7_Quote</t>
  </si>
  <si>
    <t>EURFUT1MZ8_Quote</t>
  </si>
  <si>
    <t>EURFUT1MZ9_Quote</t>
  </si>
  <si>
    <t>EURFUT3MF5ConvAdj_Quote</t>
  </si>
  <si>
    <t>EURFUT3MF5_Quote</t>
  </si>
  <si>
    <t>EURFUT3MG5ConvAdj_Quote</t>
  </si>
  <si>
    <t>EURFUT3MG5_Quote</t>
  </si>
  <si>
    <t>EURFUT3MH0ConvAdj_Quote</t>
  </si>
  <si>
    <t>EURFUT3MH0_Quote</t>
  </si>
  <si>
    <t>EURFUT3MH1ConvAdj_Quote</t>
  </si>
  <si>
    <t>EURFUT3MH1_Quote</t>
  </si>
  <si>
    <t>EURFUT3MH2ConvAdj_Quote</t>
  </si>
  <si>
    <t>EURFUT3MH2_Quote</t>
  </si>
  <si>
    <t>EURFUT3MH4ConvAdj_Quote</t>
  </si>
  <si>
    <t>EURFUT3MH4_Quote</t>
  </si>
  <si>
    <t>EURFUT3MH5ConvAdj_Quote</t>
  </si>
  <si>
    <t>EURFUT3MH5_Quote</t>
  </si>
  <si>
    <t>EURFUT3MH6ConvAdj_Quote</t>
  </si>
  <si>
    <t>EURFUT3MH6_Quote</t>
  </si>
  <si>
    <t>EURFUT3MH7ConvAdj_Quote</t>
  </si>
  <si>
    <t>EURFUT3MH7_Quote</t>
  </si>
  <si>
    <t>EURFUT3MH8ConvAdj_Quote</t>
  </si>
  <si>
    <t>EURFUT3MH8_Quote</t>
  </si>
  <si>
    <t>EURFUT3MH9ConvAdj_Quote</t>
  </si>
  <si>
    <t>EURFUT3MH9_Quote</t>
  </si>
  <si>
    <t>EURFUT3MJ4ConvAdj_Quote</t>
  </si>
  <si>
    <t>EURFUT3MJ4_Quote</t>
  </si>
  <si>
    <t>EURFUT3MK4ConvAdj_Quote</t>
  </si>
  <si>
    <t>EURFUT3MK4_Quote</t>
  </si>
  <si>
    <t>EURFUT3MM0ConvAdj_Quote</t>
  </si>
  <si>
    <t>EURFUT3MM0_Quote</t>
  </si>
  <si>
    <t>EURFUT3MM1ConvAdj_Quote</t>
  </si>
  <si>
    <t>EURFUT3MM1_Quote</t>
  </si>
  <si>
    <t>EURFUT3MM2ConvAdj_Quote</t>
  </si>
  <si>
    <t>EURFUT3MM2_Quote</t>
  </si>
  <si>
    <t>EURFUT3MM4ConvAdj_Quote</t>
  </si>
  <si>
    <t>EURFUT3MM4_Quote</t>
  </si>
  <si>
    <t>EURFUT3MM5ConvAdj_Quote</t>
  </si>
  <si>
    <t>EURFUT3MM5_Quote</t>
  </si>
  <si>
    <t>EURFUT3MM6ConvAdj_Quote</t>
  </si>
  <si>
    <t>EURFUT3MM6_Quote</t>
  </si>
  <si>
    <t>EURFUT3MM7ConvAdj_Quote</t>
  </si>
  <si>
    <t>EURFUT3MM7_Quote</t>
  </si>
  <si>
    <t>EURFUT3MM8ConvAdj_Quote</t>
  </si>
  <si>
    <t>EURFUT3MM8_Quote</t>
  </si>
  <si>
    <t>EURFUT3MM9ConvAdj_Quote</t>
  </si>
  <si>
    <t>EURFUT3MM9_Quote</t>
  </si>
  <si>
    <t>EURFUT3MN4ConvAdj_Quote</t>
  </si>
  <si>
    <t>EURFUT3MN4_Quote</t>
  </si>
  <si>
    <t>EURFUT3MQ4ConvAdj_Quote</t>
  </si>
  <si>
    <t>EURFUT3MQ4_Quote</t>
  </si>
  <si>
    <t>EURFUT3MU0ConvAdj_Quote</t>
  </si>
  <si>
    <t>EURFUT3MU0_Quote</t>
  </si>
  <si>
    <t>EURFUT3MU1ConvAdj_Quote</t>
  </si>
  <si>
    <t>EURFUT3MU1_Quote</t>
  </si>
  <si>
    <t>EURFUT3MU4ConvAdj_Quote</t>
  </si>
  <si>
    <t>EURFUT3MU4_Quote</t>
  </si>
  <si>
    <t>EURFUT3MU5ConvAdj_Quote</t>
  </si>
  <si>
    <t>EURFUT3MU5_Quote</t>
  </si>
  <si>
    <t>EURFUT3MU6ConvAdj_Quote</t>
  </si>
  <si>
    <t>EURFUT3MU6_Quote</t>
  </si>
  <si>
    <t>EURFUT3MU7ConvAdj_Quote</t>
  </si>
  <si>
    <t>EURFUT3MU7_Quote</t>
  </si>
  <si>
    <t>EURFUT3MU8ConvAdj_Quote</t>
  </si>
  <si>
    <t>EURFUT3MU8_Quote</t>
  </si>
  <si>
    <t>EURFUT3MU9ConvAdj_Quote</t>
  </si>
  <si>
    <t>EURFUT3MU9_Quote</t>
  </si>
  <si>
    <t>EURFUT3MV4ConvAdj_Quote</t>
  </si>
  <si>
    <t>EURFUT3MV4_Quote</t>
  </si>
  <si>
    <t>EURFUT3MX4ConvAdj_Quote</t>
  </si>
  <si>
    <t>EURFUT3MX4_Quote</t>
  </si>
  <si>
    <t>EURFUT3MZ0ConvAdj_Quote</t>
  </si>
  <si>
    <t>EURFUT3MZ0_Quote</t>
  </si>
  <si>
    <t>EURFUT3MZ1ConvAdj_Quote</t>
  </si>
  <si>
    <t>EURFUT3MZ1_Quote</t>
  </si>
  <si>
    <t>EURFUT3MZ4ConvAdj_Quote</t>
  </si>
  <si>
    <t>EURFUT3MZ4_Quote</t>
  </si>
  <si>
    <t>EURFUT3MZ5ConvAdj_Quote</t>
  </si>
  <si>
    <t>EURFUT3MZ5_Quote</t>
  </si>
  <si>
    <t>EURFUT3MZ6ConvAdj_Quote</t>
  </si>
  <si>
    <t>EURFUT3MZ6_Quote</t>
  </si>
  <si>
    <t>EURFUT3MZ7ConvAdj_Quote</t>
  </si>
  <si>
    <t>EURFUT3MZ7_Quote</t>
  </si>
  <si>
    <t>EURFUT3MZ8ConvAdj_Quote</t>
  </si>
  <si>
    <t>EURFUT3MZ8_Quote</t>
  </si>
  <si>
    <t>EURFUT3MZ9ConvAdj_Quote</t>
  </si>
  <si>
    <t>EURFUT3MZ9_Quote</t>
  </si>
  <si>
    <t>EURHW_MeanReversion_Quote</t>
  </si>
  <si>
    <t>EURHW_Volatility_Quote</t>
  </si>
  <si>
    <t>Euribor10M</t>
  </si>
  <si>
    <t>Euribor10MLastFixing_Quote</t>
  </si>
  <si>
    <t>Euribor11M</t>
  </si>
  <si>
    <t>Euribor11MLastFixing_Quote</t>
  </si>
  <si>
    <t>Euribor1M</t>
  </si>
  <si>
    <t>Euribor1MLastFixing_Quote</t>
  </si>
  <si>
    <t>Euribor1Y</t>
  </si>
  <si>
    <t>Euribor1YLastFixing_Quote</t>
  </si>
  <si>
    <t>Euribor2M</t>
  </si>
  <si>
    <t>Euribor2MLastFixing_Quote</t>
  </si>
  <si>
    <t>Euribor2W</t>
  </si>
  <si>
    <t>Euribor2WLastFixing_Quote</t>
  </si>
  <si>
    <t>Euribor36510M</t>
  </si>
  <si>
    <t>Euribor36511M</t>
  </si>
  <si>
    <t>Euribor3651M</t>
  </si>
  <si>
    <t>Euribor3651Y</t>
  </si>
  <si>
    <t>Euribor3652M</t>
  </si>
  <si>
    <t>Euribor3652W</t>
  </si>
  <si>
    <t>Euribor3653M</t>
  </si>
  <si>
    <t>Euribor3653W</t>
  </si>
  <si>
    <t>Euribor3654M</t>
  </si>
  <si>
    <t>Euribor3655M</t>
  </si>
  <si>
    <t>Euribor3656M</t>
  </si>
  <si>
    <t>Euribor3657M</t>
  </si>
  <si>
    <t>Euribor3658M</t>
  </si>
  <si>
    <t>Euribor3659M</t>
  </si>
  <si>
    <t>Euribor365SW</t>
  </si>
  <si>
    <t>Euribor3M</t>
  </si>
  <si>
    <t>Euribor3MLastFixing_Quote</t>
  </si>
  <si>
    <t>Euribor3W</t>
  </si>
  <si>
    <t>Euribor3WLastFixing_Quote</t>
  </si>
  <si>
    <t>Euribor4M</t>
  </si>
  <si>
    <t>Euribor4MLastFixing_Quote</t>
  </si>
  <si>
    <t>Euribor5M</t>
  </si>
  <si>
    <t>Euribor5MLastFixing_Quote</t>
  </si>
  <si>
    <t>Euribor6M</t>
  </si>
  <si>
    <t>Euribor6MLastFixing_Quote</t>
  </si>
  <si>
    <t>Euribor7M</t>
  </si>
  <si>
    <t>Euribor7MLastFixing_Quote</t>
  </si>
  <si>
    <t>Euribor8M</t>
  </si>
  <si>
    <t>Euribor8MLastFixing_Quote</t>
  </si>
  <si>
    <t>Euribor9M</t>
  </si>
  <si>
    <t>Euribor9MLastFixing_Quote</t>
  </si>
  <si>
    <t>EuriborSW</t>
  </si>
  <si>
    <t>EuriborSwapIfrFix10Y</t>
  </si>
  <si>
    <t>EuriborSwapIfrFix11Y</t>
  </si>
  <si>
    <t>EuriborSwapIfrFix12Y</t>
  </si>
  <si>
    <t>EuriborSwapIfrFix13Y</t>
  </si>
  <si>
    <t>EuriborSwapIfrFix14Y</t>
  </si>
  <si>
    <t>EuriborSwapIfrFix15Y</t>
  </si>
  <si>
    <t>EuriborSwapIfrFix16Y</t>
  </si>
  <si>
    <t>EuriborSwapIfrFix17Y</t>
  </si>
  <si>
    <t>EuriborSwapIfrFix18Y</t>
  </si>
  <si>
    <t>EuriborSwapIfrFix19Y</t>
  </si>
  <si>
    <t>EuriborSwapIfrFix1Y</t>
  </si>
  <si>
    <t>EuriborSwapIfrFix20Y</t>
  </si>
  <si>
    <t>EuriborSwapIfrFix21Y</t>
  </si>
  <si>
    <t>EuriborSwapIfrFix22Y</t>
  </si>
  <si>
    <t>EuriborSwapIfrFix23Y</t>
  </si>
  <si>
    <t>EuriborSwapIfrFix24Y</t>
  </si>
  <si>
    <t>EuriborSwapIfrFix25Y</t>
  </si>
  <si>
    <t>EuriborSwapIfrFix26Y</t>
  </si>
  <si>
    <t>EuriborSwapIfrFix27Y</t>
  </si>
  <si>
    <t>EuriborSwapIfrFix28Y</t>
  </si>
  <si>
    <t>EuriborSwapIfrFix29Y</t>
  </si>
  <si>
    <t>EuriborSwapIfrFix2Y</t>
  </si>
  <si>
    <t>EuriborSwapIfrFix30Y</t>
  </si>
  <si>
    <t>EuriborSwapIfrFix31Y</t>
  </si>
  <si>
    <t>EuriborSwapIfrFix32Y</t>
  </si>
  <si>
    <t>EuriborSwapIfrFix33Y</t>
  </si>
  <si>
    <t>EuriborSwapIfrFix34Y</t>
  </si>
  <si>
    <t>EuriborSwapIfrFix35Y</t>
  </si>
  <si>
    <t>EuriborSwapIfrFix36Y</t>
  </si>
  <si>
    <t>EuriborSwapIfrFix37Y</t>
  </si>
  <si>
    <t>EuriborSwapIfrFix38Y</t>
  </si>
  <si>
    <t>EuriborSwapIfrFix39Y</t>
  </si>
  <si>
    <t>EuriborSwapIfrFix3Y</t>
  </si>
  <si>
    <t>EuriborSwapIfrFix40Y</t>
  </si>
  <si>
    <t>EuriborSwapIfrFix41Y</t>
  </si>
  <si>
    <t>EuriborSwapIfrFix42Y</t>
  </si>
  <si>
    <t>EuriborSwapIfrFix43Y</t>
  </si>
  <si>
    <t>EuriborSwapIfrFix44Y</t>
  </si>
  <si>
    <t>EuriborSwapIfrFix45Y</t>
  </si>
  <si>
    <t>EuriborSwapIfrFix46Y</t>
  </si>
  <si>
    <t>EuriborSwapIfrFix47Y</t>
  </si>
  <si>
    <t>EuriborSwapIfrFix48Y</t>
  </si>
  <si>
    <t>EuriborSwapIfrFix49Y</t>
  </si>
  <si>
    <t>EuriborSwapIfrFix4Y</t>
  </si>
  <si>
    <t>EuriborSwapIfrFix50Y</t>
  </si>
  <si>
    <t>EuriborSwapIfrFix51Y</t>
  </si>
  <si>
    <t>EuriborSwapIfrFix52Y</t>
  </si>
  <si>
    <t>EuriborSwapIfrFix53Y</t>
  </si>
  <si>
    <t>EuriborSwapIfrFix54Y</t>
  </si>
  <si>
    <t>EuriborSwapIfrFix55Y</t>
  </si>
  <si>
    <t>EuriborSwapIfrFix56Y</t>
  </si>
  <si>
    <t>EuriborSwapIfrFix57Y</t>
  </si>
  <si>
    <t>EuriborSwapIfrFix58Y</t>
  </si>
  <si>
    <t>EuriborSwapIfrFix59Y</t>
  </si>
  <si>
    <t>EuriborSwapIfrFix5Y</t>
  </si>
  <si>
    <t>EuriborSwapIfrFix60Y</t>
  </si>
  <si>
    <t>EuriborSwapIfrFix6Y</t>
  </si>
  <si>
    <t>EuriborSwapIfrFix7Y</t>
  </si>
  <si>
    <t>EuriborSwapIfrFix8Y</t>
  </si>
  <si>
    <t>EuriborSwapIfrFix9Y</t>
  </si>
  <si>
    <t>EuriborSwapIsdaFixA10Y</t>
  </si>
  <si>
    <t>EuriborSwapIsdaFixA11Y</t>
  </si>
  <si>
    <t>EuriborSwapIsdaFixA12Y</t>
  </si>
  <si>
    <t>EuriborSwapIsdaFixA13Y</t>
  </si>
  <si>
    <t>EuriborSwapIsdaFixA14Y</t>
  </si>
  <si>
    <t>EuriborSwapIsdaFixA15Y</t>
  </si>
  <si>
    <t>EuriborSwapIsdaFixA16Y</t>
  </si>
  <si>
    <t>EuriborSwapIsdaFixA17Y</t>
  </si>
  <si>
    <t>EuriborSwapIsdaFixA18Y</t>
  </si>
  <si>
    <t>EuriborSwapIsdaFixA19Y</t>
  </si>
  <si>
    <t>EuriborSwapIsdaFixA1Y</t>
  </si>
  <si>
    <t>EuriborSwapIsdaFixA20Y</t>
  </si>
  <si>
    <t>EuriborSwapIsdaFixA21Y</t>
  </si>
  <si>
    <t>EuriborSwapIsdaFixA22Y</t>
  </si>
  <si>
    <t>EuriborSwapIsdaFixA23Y</t>
  </si>
  <si>
    <t>EuriborSwapIsdaFixA24Y</t>
  </si>
  <si>
    <t>EuriborSwapIsdaFixA25Y</t>
  </si>
  <si>
    <t>EuriborSwapIsdaFixA26Y</t>
  </si>
  <si>
    <t>EuriborSwapIsdaFixA27Y</t>
  </si>
  <si>
    <t>EuriborSwapIsdaFixA28Y</t>
  </si>
  <si>
    <t>EuriborSwapIsdaFixA29Y</t>
  </si>
  <si>
    <t>EuriborSwapIsdaFixA2Y</t>
  </si>
  <si>
    <t>EuriborSwapIsdaFixA30Y</t>
  </si>
  <si>
    <t>EuriborSwapIsdaFixA31Y</t>
  </si>
  <si>
    <t>EuriborSwapIsdaFixA32Y</t>
  </si>
  <si>
    <t>EuriborSwapIsdaFixA33Y</t>
  </si>
  <si>
    <t>EuriborSwapIsdaFixA34Y</t>
  </si>
  <si>
    <t>EuriborSwapIsdaFixA35Y</t>
  </si>
  <si>
    <t>EuriborSwapIsdaFixA36Y</t>
  </si>
  <si>
    <t>EuriborSwapIsdaFixA37Y</t>
  </si>
  <si>
    <t>EuriborSwapIsdaFixA38Y</t>
  </si>
  <si>
    <t>EuriborSwapIsdaFixA39Y</t>
  </si>
  <si>
    <t>EuriborSwapIsdaFixA3Y</t>
  </si>
  <si>
    <t>EuriborSwapIsdaFixA40Y</t>
  </si>
  <si>
    <t>EuriborSwapIsdaFixA41Y</t>
  </si>
  <si>
    <t>EuriborSwapIsdaFixA42Y</t>
  </si>
  <si>
    <t>EuriborSwapIsdaFixA43Y</t>
  </si>
  <si>
    <t>EuriborSwapIsdaFixA44Y</t>
  </si>
  <si>
    <t>EuriborSwapIsdaFixA45Y</t>
  </si>
  <si>
    <t>EuriborSwapIsdaFixA46Y</t>
  </si>
  <si>
    <t>EuriborSwapIsdaFixA47Y</t>
  </si>
  <si>
    <t>EuriborSwapIsdaFixA48Y</t>
  </si>
  <si>
    <t>EuriborSwapIsdaFixA49Y</t>
  </si>
  <si>
    <t>EuriborSwapIsdaFixA4Y</t>
  </si>
  <si>
    <t>EuriborSwapIsdaFixA50Y</t>
  </si>
  <si>
    <t>EuriborSwapIsdaFixA51Y</t>
  </si>
  <si>
    <t>EuriborSwapIsdaFixA52Y</t>
  </si>
  <si>
    <t>EuriborSwapIsdaFixA53Y</t>
  </si>
  <si>
    <t>EuriborSwapIsdaFixA54Y</t>
  </si>
  <si>
    <t>EuriborSwapIsdaFixA55Y</t>
  </si>
  <si>
    <t>EuriborSwapIsdaFixA56Y</t>
  </si>
  <si>
    <t>EuriborSwapIsdaFixA57Y</t>
  </si>
  <si>
    <t>EuriborSwapIsdaFixA58Y</t>
  </si>
  <si>
    <t>EuriborSwapIsdaFixA59Y</t>
  </si>
  <si>
    <t>EuriborSwapIsdaFixA5Y</t>
  </si>
  <si>
    <t>EuriborSwapIsdaFixA60Y</t>
  </si>
  <si>
    <t>EuriborSwapIsdaFixA6Y</t>
  </si>
  <si>
    <t>EuriborSwapIsdaFixA7Y</t>
  </si>
  <si>
    <t>EuriborSwapIsdaFixA8Y</t>
  </si>
  <si>
    <t>EuriborSwapIsdaFixA9Y</t>
  </si>
  <si>
    <t>EuriborSwapIsdaFixB10Y</t>
  </si>
  <si>
    <t>EuriborSwapIsdaFixB11Y</t>
  </si>
  <si>
    <t>EuriborSwapIsdaFixB12Y</t>
  </si>
  <si>
    <t>EuriborSwapIsdaFixB13Y</t>
  </si>
  <si>
    <t>EuriborSwapIsdaFixB14Y</t>
  </si>
  <si>
    <t>EuriborSwapIsdaFixB15Y</t>
  </si>
  <si>
    <t>EuriborSwapIsdaFixB16Y</t>
  </si>
  <si>
    <t>EuriborSwapIsdaFixB17Y</t>
  </si>
  <si>
    <t>EuriborSwapIsdaFixB18Y</t>
  </si>
  <si>
    <t>EuriborSwapIsdaFixB19Y</t>
  </si>
  <si>
    <t>EuriborSwapIsdaFixB1Y</t>
  </si>
  <si>
    <t>EuriborSwapIsdaFixB20Y</t>
  </si>
  <si>
    <t>EuriborSwapIsdaFixB21Y</t>
  </si>
  <si>
    <t>EuriborSwapIsdaFixB22Y</t>
  </si>
  <si>
    <t>EuriborSwapIsdaFixB23Y</t>
  </si>
  <si>
    <t>EuriborSwapIsdaFixB24Y</t>
  </si>
  <si>
    <t>EuriborSwapIsdaFixB25Y</t>
  </si>
  <si>
    <t>EuriborSwapIsdaFixB26Y</t>
  </si>
  <si>
    <t>EuriborSwapIsdaFixB27Y</t>
  </si>
  <si>
    <t>EuriborSwapIsdaFixB28Y</t>
  </si>
  <si>
    <t>EuriborSwapIsdaFixB29Y</t>
  </si>
  <si>
    <t>EuriborSwapIsdaFixB2Y</t>
  </si>
  <si>
    <t>EuriborSwapIsdaFixB30Y</t>
  </si>
  <si>
    <t>EuriborSwapIsdaFixB31Y</t>
  </si>
  <si>
    <t>EuriborSwapIsdaFixB32Y</t>
  </si>
  <si>
    <t>EuriborSwapIsdaFixB33Y</t>
  </si>
  <si>
    <t>EuriborSwapIsdaFixB34Y</t>
  </si>
  <si>
    <t>EuriborSwapIsdaFixB35Y</t>
  </si>
  <si>
    <t>EuriborSwapIsdaFixB36Y</t>
  </si>
  <si>
    <t>EuriborSwapIsdaFixB37Y</t>
  </si>
  <si>
    <t>EuriborSwapIsdaFixB38Y</t>
  </si>
  <si>
    <t>EuriborSwapIsdaFixB39Y</t>
  </si>
  <si>
    <t>EuriborSwapIsdaFixB3Y</t>
  </si>
  <si>
    <t>EuriborSwapIsdaFixB40Y</t>
  </si>
  <si>
    <t>EuriborSwapIsdaFixB41Y</t>
  </si>
  <si>
    <t>EuriborSwapIsdaFixB42Y</t>
  </si>
  <si>
    <t>EuriborSwapIsdaFixB43Y</t>
  </si>
  <si>
    <t>EuriborSwapIsdaFixB44Y</t>
  </si>
  <si>
    <t>EuriborSwapIsdaFixB45Y</t>
  </si>
  <si>
    <t>EuriborSwapIsdaFixB46Y</t>
  </si>
  <si>
    <t>EuriborSwapIsdaFixB47Y</t>
  </si>
  <si>
    <t>EuriborSwapIsdaFixB48Y</t>
  </si>
  <si>
    <t>EuriborSwapIsdaFixB49Y</t>
  </si>
  <si>
    <t>EuriborSwapIsdaFixB4Y</t>
  </si>
  <si>
    <t>EuriborSwapIsdaFixB50Y</t>
  </si>
  <si>
    <t>EuriborSwapIsdaFixB51Y</t>
  </si>
  <si>
    <t>EuriborSwapIsdaFixB52Y</t>
  </si>
  <si>
    <t>EuriborSwapIsdaFixB53Y</t>
  </si>
  <si>
    <t>EuriborSwapIsdaFixB54Y</t>
  </si>
  <si>
    <t>EuriborSwapIsdaFixB55Y</t>
  </si>
  <si>
    <t>EuriborSwapIsdaFixB56Y</t>
  </si>
  <si>
    <t>EuriborSwapIsdaFixB57Y</t>
  </si>
  <si>
    <t>EuriborSwapIsdaFixB58Y</t>
  </si>
  <si>
    <t>EuriborSwapIsdaFixB59Y</t>
  </si>
  <si>
    <t>EuriborSwapIsdaFixB5Y</t>
  </si>
  <si>
    <t>EuriborSwapIsdaFixB60Y</t>
  </si>
  <si>
    <t>EuriborSwapIsdaFixB6Y</t>
  </si>
  <si>
    <t>EuriborSwapIsdaFixB7Y</t>
  </si>
  <si>
    <t>EuriborSwapIsdaFixB8Y</t>
  </si>
  <si>
    <t>EuriborSwapIsdaFixB9Y</t>
  </si>
  <si>
    <t>EuriborSWLastFixing_Quote</t>
  </si>
  <si>
    <t>EURiborYC1M</t>
  </si>
  <si>
    <t>EURiborYC1M-Mx</t>
  </si>
  <si>
    <t>EURiborYC1Y</t>
  </si>
  <si>
    <t>EURiborYC1Y-Mx</t>
  </si>
  <si>
    <t>EURiborYC3M</t>
  </si>
  <si>
    <t>EURiborYC3M-Mx</t>
  </si>
  <si>
    <t>EURiborYC6M</t>
  </si>
  <si>
    <t>EURiborYC6M-Mx</t>
  </si>
  <si>
    <t>EURiborYCON</t>
  </si>
  <si>
    <t>EURiborYCON-Mx</t>
  </si>
  <si>
    <t>EURIMMFRA6MF0_Quote</t>
  </si>
  <si>
    <t>EURIMMFRA6MF1_Quote</t>
  </si>
  <si>
    <t>EURIMMFRA6MF2_Quote</t>
  </si>
  <si>
    <t>EURIMMFRA6MF3_Quote</t>
  </si>
  <si>
    <t>EURIMMFRA6MF4_Quote</t>
  </si>
  <si>
    <t>EURIMMFRA6MF5_Quote</t>
  </si>
  <si>
    <t>EURIMMFRA6MF6_Quote</t>
  </si>
  <si>
    <t>EURIMMFRA6MF7_Quote</t>
  </si>
  <si>
    <t>EURIMMFRA6MF8_Quote</t>
  </si>
  <si>
    <t>EURIMMFRA6MF9_Quote</t>
  </si>
  <si>
    <t>EURIMMFRA6MG0_Quote</t>
  </si>
  <si>
    <t>EURIMMFRA6MG1_Quote</t>
  </si>
  <si>
    <t>EURIMMFRA6MG2_Quote</t>
  </si>
  <si>
    <t>EURIMMFRA6MG3_Quote</t>
  </si>
  <si>
    <t>EURIMMFRA6MG4_Quote</t>
  </si>
  <si>
    <t>EURIMMFRA6MG5_Quote</t>
  </si>
  <si>
    <t>EURIMMFRA6MG6_Quote</t>
  </si>
  <si>
    <t>EURIMMFRA6MG7_Quote</t>
  </si>
  <si>
    <t>EURIMMFRA6MG8_Quote</t>
  </si>
  <si>
    <t>EURIMMFRA6MG9_Quote</t>
  </si>
  <si>
    <t>EURIMMFRA6MH0_Quote</t>
  </si>
  <si>
    <t>EURIMMFRA6MH1_Quote</t>
  </si>
  <si>
    <t>EURIMMFRA6MH2_Quote</t>
  </si>
  <si>
    <t>EURIMMFRA6MH3_Quote</t>
  </si>
  <si>
    <t>EURIMMFRA6MH4_Quote</t>
  </si>
  <si>
    <t>EURIMMFRA6MH5_Quote</t>
  </si>
  <si>
    <t>EURIMMFRA6MH6_Quote</t>
  </si>
  <si>
    <t>EURIMMFRA6MH7_Quote</t>
  </si>
  <si>
    <t>EURIMMFRA6MH8_Quote</t>
  </si>
  <si>
    <t>EURIMMFRA6MH9_Quote</t>
  </si>
  <si>
    <t>EURIMMFRA6MJ0_Quote</t>
  </si>
  <si>
    <t>EURIMMFRA6MJ1_Quote</t>
  </si>
  <si>
    <t>EURIMMFRA6MJ2_Quote</t>
  </si>
  <si>
    <t>EURIMMFRA6MJ3_Quote</t>
  </si>
  <si>
    <t>EURIMMFRA6MJ4_Quote</t>
  </si>
  <si>
    <t>EURIMMFRA6MJ5_Quote</t>
  </si>
  <si>
    <t>EURIMMFRA6MJ6_Quote</t>
  </si>
  <si>
    <t>EURIMMFRA6MJ7_Quote</t>
  </si>
  <si>
    <t>EURIMMFRA6MJ8_Quote</t>
  </si>
  <si>
    <t>EURIMMFRA6MJ9_Quote</t>
  </si>
  <si>
    <t>EURIMMFRA6MK0_Quote</t>
  </si>
  <si>
    <t>EURIMMFRA6MK1_Quote</t>
  </si>
  <si>
    <t>EURIMMFRA6MK2_Quote</t>
  </si>
  <si>
    <t>EURIMMFRA6MK3_Quote</t>
  </si>
  <si>
    <t>EURIMMFRA6MK4_Quote</t>
  </si>
  <si>
    <t>EURIMMFRA6MK5_Quote</t>
  </si>
  <si>
    <t>EURIMMFRA6MK6_Quote</t>
  </si>
  <si>
    <t>EURIMMFRA6MK7_Quote</t>
  </si>
  <si>
    <t>EURIMMFRA6MK8_Quote</t>
  </si>
  <si>
    <t>EURIMMFRA6MK9_Quote</t>
  </si>
  <si>
    <t>EURIMMFRA6MM0_Quote</t>
  </si>
  <si>
    <t>EURIMMFRA6MM1_Quote</t>
  </si>
  <si>
    <t>EURIMMFRA6MM2_Quote</t>
  </si>
  <si>
    <t>EURIMMFRA6MM3_Quote</t>
  </si>
  <si>
    <t>EURIMMFRA6MM4_Quote</t>
  </si>
  <si>
    <t>EURIMMFRA6MM5_Quote</t>
  </si>
  <si>
    <t>EURIMMFRA6MM6_Quote</t>
  </si>
  <si>
    <t>EURIMMFRA6MM7_Quote</t>
  </si>
  <si>
    <t>EURIMMFRA6MM8_Quote</t>
  </si>
  <si>
    <t>EURIMMFRA6MM9_Quote</t>
  </si>
  <si>
    <t>EURIMMFRA6MN0_Quote</t>
  </si>
  <si>
    <t>EURIMMFRA6MN1_Quote</t>
  </si>
  <si>
    <t>EURIMMFRA6MN2_Quote</t>
  </si>
  <si>
    <t>EURIMMFRA6MN3_Quote</t>
  </si>
  <si>
    <t>EURIMMFRA6MN4_Quote</t>
  </si>
  <si>
    <t>EURIMMFRA6MN5_Quote</t>
  </si>
  <si>
    <t>EURIMMFRA6MN6_Quote</t>
  </si>
  <si>
    <t>EURIMMFRA6MN7_Quote</t>
  </si>
  <si>
    <t>EURIMMFRA6MN8_Quote</t>
  </si>
  <si>
    <t>EURIMMFRA6MN9_Quote</t>
  </si>
  <si>
    <t>EURIMMFRA6MQ0_Quote</t>
  </si>
  <si>
    <t>EURIMMFRA6MQ1_Quote</t>
  </si>
  <si>
    <t>EURIMMFRA6MQ2_Quote</t>
  </si>
  <si>
    <t>EURIMMFRA6MQ3_Quote</t>
  </si>
  <si>
    <t>EURIMMFRA6MQ4_Quote</t>
  </si>
  <si>
    <t>EURIMMFRA6MQ5_Quote</t>
  </si>
  <si>
    <t>EURIMMFRA6MQ6_Quote</t>
  </si>
  <si>
    <t>EURIMMFRA6MQ7_Quote</t>
  </si>
  <si>
    <t>EURIMMFRA6MQ8_Quote</t>
  </si>
  <si>
    <t>EURIMMFRA6MQ9_Quote</t>
  </si>
  <si>
    <t>EURIMMFRA6MU0_Quote</t>
  </si>
  <si>
    <t>EURIMMFRA6MU1_Quote</t>
  </si>
  <si>
    <t>EURIMMFRA6MU2_Quote</t>
  </si>
  <si>
    <t>EURIMMFRA6MU3_Quote</t>
  </si>
  <si>
    <t>EURIMMFRA6MU4_Quote</t>
  </si>
  <si>
    <t>EURIMMFRA6MU5_Quote</t>
  </si>
  <si>
    <t>EURIMMFRA6MU6_Quote</t>
  </si>
  <si>
    <t>EURIMMFRA6MU7_Quote</t>
  </si>
  <si>
    <t>EURIMMFRA6MU8_Quote</t>
  </si>
  <si>
    <t>EURIMMFRA6MU9_Quote</t>
  </si>
  <si>
    <t>EURIMMFRA6MV0_Quote</t>
  </si>
  <si>
    <t>EURIMMFRA6MV1_Quote</t>
  </si>
  <si>
    <t>EURIMMFRA6MV2_Quote</t>
  </si>
  <si>
    <t>EURIMMFRA6MV3_Quote</t>
  </si>
  <si>
    <t>EURIMMFRA6MV4_Quote</t>
  </si>
  <si>
    <t>EURIMMFRA6MV5_Quote</t>
  </si>
  <si>
    <t>EURIMMFRA6MV6_Quote</t>
  </si>
  <si>
    <t>EURIMMFRA6MV7_Quote</t>
  </si>
  <si>
    <t>EURIMMFRA6MV8_Quote</t>
  </si>
  <si>
    <t>EURIMMFRA6MV9_Quote</t>
  </si>
  <si>
    <t>EURIMMFRA6MX0_Quote</t>
  </si>
  <si>
    <t>EURIMMFRA6MX1_Quote</t>
  </si>
  <si>
    <t>EURIMMFRA6MX2_Quote</t>
  </si>
  <si>
    <t>EURIMMFRA6MX3_Quote</t>
  </si>
  <si>
    <t>EURIMMFRA6MX4_Quote</t>
  </si>
  <si>
    <t>EURIMMFRA6MX5_Quote</t>
  </si>
  <si>
    <t>EURIMMFRA6MX6_Quote</t>
  </si>
  <si>
    <t>EURIMMFRA6MX7_Quote</t>
  </si>
  <si>
    <t>EURIMMFRA6MX8_Quote</t>
  </si>
  <si>
    <t>EURIMMFRA6MX9_Quote</t>
  </si>
  <si>
    <t>EURIMMFRA6MZ0_Quote</t>
  </si>
  <si>
    <t>EURIMMFRA6MZ1_Quote</t>
  </si>
  <si>
    <t>EURIMMFRA6MZ2_Quote</t>
  </si>
  <si>
    <t>EURIMMFRA6MZ3_Quote</t>
  </si>
  <si>
    <t>EURIMMFRA6MZ4_Quote</t>
  </si>
  <si>
    <t>EURIMMFRA6MZ5_Quote</t>
  </si>
  <si>
    <t>EURIMMFRA6MZ6_Quote</t>
  </si>
  <si>
    <t>EURIMMFRA6MZ7_Quote</t>
  </si>
  <si>
    <t>EURIMMFRA6MZ8_Quote</t>
  </si>
  <si>
    <t>EURIMMFRA6MZ9_Quote</t>
  </si>
  <si>
    <t>EurLibor10M</t>
  </si>
  <si>
    <t>EurLibor11M</t>
  </si>
  <si>
    <t>EurLibor1M</t>
  </si>
  <si>
    <t>EurLibor1Y</t>
  </si>
  <si>
    <t>EurLibor2M</t>
  </si>
  <si>
    <t>EurLibor2W</t>
  </si>
  <si>
    <t>EurLibor3M</t>
  </si>
  <si>
    <t>EurLibor4M</t>
  </si>
  <si>
    <t>EurLibor5M</t>
  </si>
  <si>
    <t>EurLibor6M</t>
  </si>
  <si>
    <t>EurLibor7M</t>
  </si>
  <si>
    <t>EurLibor8M</t>
  </si>
  <si>
    <t>EurLibor9M</t>
  </si>
  <si>
    <t>EurLiborON</t>
  </si>
  <si>
    <t>EurLiborSW</t>
  </si>
  <si>
    <t>EurLiborSwapIfrFix10Y</t>
  </si>
  <si>
    <t>EurLiborSwapIfrFix11Y</t>
  </si>
  <si>
    <t>EurLiborSwapIfrFix12Y</t>
  </si>
  <si>
    <t>EurLiborSwapIfrFix13Y</t>
  </si>
  <si>
    <t>EurLiborSwapIfrFix14Y</t>
  </si>
  <si>
    <t>EurLiborSwapIfrFix15Y</t>
  </si>
  <si>
    <t>EurLiborSwapIfrFix16Y</t>
  </si>
  <si>
    <t>EurLiborSwapIfrFix17Y</t>
  </si>
  <si>
    <t>EurLiborSwapIfrFix18Y</t>
  </si>
  <si>
    <t>EurLiborSwapIfrFix19Y</t>
  </si>
  <si>
    <t>EurLiborSwapIfrFix1Y</t>
  </si>
  <si>
    <t>EurLiborSwapIfrFix20Y</t>
  </si>
  <si>
    <t>EurLiborSwapIfrFix21Y</t>
  </si>
  <si>
    <t>EurLiborSwapIfrFix22Y</t>
  </si>
  <si>
    <t>EurLiborSwapIfrFix23Y</t>
  </si>
  <si>
    <t>EurLiborSwapIfrFix24Y</t>
  </si>
  <si>
    <t>EurLiborSwapIfrFix25Y</t>
  </si>
  <si>
    <t>EurLiborSwapIfrFix26Y</t>
  </si>
  <si>
    <t>EurLiborSwapIfrFix27Y</t>
  </si>
  <si>
    <t>EurLiborSwapIfrFix28Y</t>
  </si>
  <si>
    <t>EurLiborSwapIfrFix29Y</t>
  </si>
  <si>
    <t>EurLiborSwapIfrFix2Y</t>
  </si>
  <si>
    <t>EurLiborSwapIfrFix30Y</t>
  </si>
  <si>
    <t>EurLiborSwapIfrFix31Y</t>
  </si>
  <si>
    <t>EurLiborSwapIfrFix32Y</t>
  </si>
  <si>
    <t>EurLiborSwapIfrFix33Y</t>
  </si>
  <si>
    <t>EurLiborSwapIfrFix34Y</t>
  </si>
  <si>
    <t>EurLiborSwapIfrFix35Y</t>
  </si>
  <si>
    <t>EurLiborSwapIfrFix36Y</t>
  </si>
  <si>
    <t>EurLiborSwapIfrFix37Y</t>
  </si>
  <si>
    <t>EurLiborSwapIfrFix38Y</t>
  </si>
  <si>
    <t>EurLiborSwapIfrFix39Y</t>
  </si>
  <si>
    <t>EurLiborSwapIfrFix3Y</t>
  </si>
  <si>
    <t>EurLiborSwapIfrFix40Y</t>
  </si>
  <si>
    <t>EurLiborSwapIfrFix41Y</t>
  </si>
  <si>
    <t>EurLiborSwapIfrFix42Y</t>
  </si>
  <si>
    <t>EurLiborSwapIfrFix43Y</t>
  </si>
  <si>
    <t>EurLiborSwapIfrFix44Y</t>
  </si>
  <si>
    <t>EurLiborSwapIfrFix45Y</t>
  </si>
  <si>
    <t>EurLiborSwapIfrFix46Y</t>
  </si>
  <si>
    <t>EurLiborSwapIfrFix47Y</t>
  </si>
  <si>
    <t>EurLiborSwapIfrFix48Y</t>
  </si>
  <si>
    <t>EurLiborSwapIfrFix49Y</t>
  </si>
  <si>
    <t>EurLiborSwapIfrFix4Y</t>
  </si>
  <si>
    <t>EurLiborSwapIfrFix50Y</t>
  </si>
  <si>
    <t>EurLiborSwapIfrFix51Y</t>
  </si>
  <si>
    <t>EurLiborSwapIfrFix52Y</t>
  </si>
  <si>
    <t>EurLiborSwapIfrFix53Y</t>
  </si>
  <si>
    <t>EurLiborSwapIfrFix54Y</t>
  </si>
  <si>
    <t>EurLiborSwapIfrFix55Y</t>
  </si>
  <si>
    <t>EurLiborSwapIfrFix56Y</t>
  </si>
  <si>
    <t>EurLiborSwapIfrFix57Y</t>
  </si>
  <si>
    <t>EurLiborSwapIfrFix58Y</t>
  </si>
  <si>
    <t>EurLiborSwapIfrFix59Y</t>
  </si>
  <si>
    <t>EurLiborSwapIfrFix5Y</t>
  </si>
  <si>
    <t>EurLiborSwapIfrFix60Y</t>
  </si>
  <si>
    <t>EurLiborSwapIfrFix6Y</t>
  </si>
  <si>
    <t>EurLiborSwapIfrFix7Y</t>
  </si>
  <si>
    <t>EurLiborSwapIfrFix8Y</t>
  </si>
  <si>
    <t>EurLiborSwapIfrFix9Y</t>
  </si>
  <si>
    <t>EurLiborSwapIsdaFixA10Y</t>
  </si>
  <si>
    <t>EurLiborSwapIsdaFixA11Y</t>
  </si>
  <si>
    <t>EurLiborSwapIsdaFixA12Y</t>
  </si>
  <si>
    <t>EurLiborSwapIsdaFixA13Y</t>
  </si>
  <si>
    <t>EurLiborSwapIsdaFixA14Y</t>
  </si>
  <si>
    <t>EurLiborSwapIsdaFixA15Y</t>
  </si>
  <si>
    <t>EurLiborSwapIsdaFixA16Y</t>
  </si>
  <si>
    <t>EurLiborSwapIsdaFixA17Y</t>
  </si>
  <si>
    <t>EurLiborSwapIsdaFixA18Y</t>
  </si>
  <si>
    <t>EurLiborSwapIsdaFixA19Y</t>
  </si>
  <si>
    <t>EurLiborSwapIsdaFixA1Y</t>
  </si>
  <si>
    <t>EurLiborSwapIsdaFixA20Y</t>
  </si>
  <si>
    <t>EurLiborSwapIsdaFixA21Y</t>
  </si>
  <si>
    <t>EurLiborSwapIsdaFixA22Y</t>
  </si>
  <si>
    <t>EurLiborSwapIsdaFixA23Y</t>
  </si>
  <si>
    <t>EurLiborSwapIsdaFixA24Y</t>
  </si>
  <si>
    <t>EurLiborSwapIsdaFixA25Y</t>
  </si>
  <si>
    <t>EurLiborSwapIsdaFixA26Y</t>
  </si>
  <si>
    <t>EurLiborSwapIsdaFixA27Y</t>
  </si>
  <si>
    <t>EurLiborSwapIsdaFixA28Y</t>
  </si>
  <si>
    <t>EurLiborSwapIsdaFixA29Y</t>
  </si>
  <si>
    <t>EurLiborSwapIsdaFixA2Y</t>
  </si>
  <si>
    <t>EurLiborSwapIsdaFixA30Y</t>
  </si>
  <si>
    <t>EurLiborSwapIsdaFixA31Y</t>
  </si>
  <si>
    <t>EurLiborSwapIsdaFixA32Y</t>
  </si>
  <si>
    <t>EurLiborSwapIsdaFixA33Y</t>
  </si>
  <si>
    <t>EurLiborSwapIsdaFixA34Y</t>
  </si>
  <si>
    <t>EurLiborSwapIsdaFixA35Y</t>
  </si>
  <si>
    <t>EurLiborSwapIsdaFixA36Y</t>
  </si>
  <si>
    <t>EurLiborSwapIsdaFixA37Y</t>
  </si>
  <si>
    <t>EurLiborSwapIsdaFixA38Y</t>
  </si>
  <si>
    <t>EurLiborSwapIsdaFixA39Y</t>
  </si>
  <si>
    <t>EurLiborSwapIsdaFixA3Y</t>
  </si>
  <si>
    <t>EurLiborSwapIsdaFixA40Y</t>
  </si>
  <si>
    <t>EurLiborSwapIsdaFixA41Y</t>
  </si>
  <si>
    <t>EurLiborSwapIsdaFixA42Y</t>
  </si>
  <si>
    <t>EurLiborSwapIsdaFixA43Y</t>
  </si>
  <si>
    <t>EurLiborSwapIsdaFixA44Y</t>
  </si>
  <si>
    <t>EurLiborSwapIsdaFixA45Y</t>
  </si>
  <si>
    <t>EurLiborSwapIsdaFixA46Y</t>
  </si>
  <si>
    <t>EurLiborSwapIsdaFixA47Y</t>
  </si>
  <si>
    <t>EurLiborSwapIsdaFixA48Y</t>
  </si>
  <si>
    <t>EurLiborSwapIsdaFixA49Y</t>
  </si>
  <si>
    <t>EurLiborSwapIsdaFixA4Y</t>
  </si>
  <si>
    <t>EurLiborSwapIsdaFixA50Y</t>
  </si>
  <si>
    <t>EurLiborSwapIsdaFixA51Y</t>
  </si>
  <si>
    <t>EurLiborSwapIsdaFixA52Y</t>
  </si>
  <si>
    <t>EurLiborSwapIsdaFixA53Y</t>
  </si>
  <si>
    <t>EurLiborSwapIsdaFixA54Y</t>
  </si>
  <si>
    <t>EurLiborSwapIsdaFixA55Y</t>
  </si>
  <si>
    <t>EurLiborSwapIsdaFixA56Y</t>
  </si>
  <si>
    <t>EurLiborSwapIsdaFixA57Y</t>
  </si>
  <si>
    <t>EurLiborSwapIsdaFixA58Y</t>
  </si>
  <si>
    <t>EurLiborSwapIsdaFixA59Y</t>
  </si>
  <si>
    <t>EurLiborSwapIsdaFixA5Y</t>
  </si>
  <si>
    <t>EurLiborSwapIsdaFixA60Y</t>
  </si>
  <si>
    <t>EurLiborSwapIsdaFixA6Y</t>
  </si>
  <si>
    <t>EurLiborSwapIsdaFixA7Y</t>
  </si>
  <si>
    <t>EurLiborSwapIsdaFixA8Y</t>
  </si>
  <si>
    <t>EurLiborSwapIsdaFixA9Y</t>
  </si>
  <si>
    <t>EurLiborSwapIsdaFixB10Y</t>
  </si>
  <si>
    <t>EurLiborSwapIsdaFixB11Y</t>
  </si>
  <si>
    <t>EurLiborSwapIsdaFixB12Y</t>
  </si>
  <si>
    <t>EurLiborSwapIsdaFixB13Y</t>
  </si>
  <si>
    <t>EurLiborSwapIsdaFixB14Y</t>
  </si>
  <si>
    <t>EurLiborSwapIsdaFixB15Y</t>
  </si>
  <si>
    <t>EurLiborSwapIsdaFixB16Y</t>
  </si>
  <si>
    <t>EurLiborSwapIsdaFixB17Y</t>
  </si>
  <si>
    <t>EurLiborSwapIsdaFixB18Y</t>
  </si>
  <si>
    <t>EurLiborSwapIsdaFixB19Y</t>
  </si>
  <si>
    <t>EurLiborSwapIsdaFixB1Y</t>
  </si>
  <si>
    <t>EurLiborSwapIsdaFixB20Y</t>
  </si>
  <si>
    <t>EurLiborSwapIsdaFixB21Y</t>
  </si>
  <si>
    <t>EurLiborSwapIsdaFixB22Y</t>
  </si>
  <si>
    <t>EurLiborSwapIsdaFixB23Y</t>
  </si>
  <si>
    <t>EurLiborSwapIsdaFixB24Y</t>
  </si>
  <si>
    <t>EurLiborSwapIsdaFixB25Y</t>
  </si>
  <si>
    <t>EurLiborSwapIsdaFixB26Y</t>
  </si>
  <si>
    <t>EurLiborSwapIsdaFixB27Y</t>
  </si>
  <si>
    <t>EurLiborSwapIsdaFixB28Y</t>
  </si>
  <si>
    <t>EurLiborSwapIsdaFixB29Y</t>
  </si>
  <si>
    <t>EurLiborSwapIsdaFixB2Y</t>
  </si>
  <si>
    <t>EurLiborSwapIsdaFixB30Y</t>
  </si>
  <si>
    <t>EurLiborSwapIsdaFixB31Y</t>
  </si>
  <si>
    <t>EurLiborSwapIsdaFixB32Y</t>
  </si>
  <si>
    <t>EurLiborSwapIsdaFixB33Y</t>
  </si>
  <si>
    <t>EurLiborSwapIsdaFixB34Y</t>
  </si>
  <si>
    <t>EurLiborSwapIsdaFixB35Y</t>
  </si>
  <si>
    <t>EurLiborSwapIsdaFixB36Y</t>
  </si>
  <si>
    <t>EurLiborSwapIsdaFixB37Y</t>
  </si>
  <si>
    <t>EurLiborSwapIsdaFixB38Y</t>
  </si>
  <si>
    <t>EurLiborSwapIsdaFixB39Y</t>
  </si>
  <si>
    <t>EurLiborSwapIsdaFixB3Y</t>
  </si>
  <si>
    <t>EurLiborSwapIsdaFixB40Y</t>
  </si>
  <si>
    <t>EurLiborSwapIsdaFixB41Y</t>
  </si>
  <si>
    <t>EurLiborSwapIsdaFixB42Y</t>
  </si>
  <si>
    <t>EurLiborSwapIsdaFixB43Y</t>
  </si>
  <si>
    <t>EurLiborSwapIsdaFixB44Y</t>
  </si>
  <si>
    <t>EurLiborSwapIsdaFixB45Y</t>
  </si>
  <si>
    <t>EurLiborSwapIsdaFixB46Y</t>
  </si>
  <si>
    <t>EurLiborSwapIsdaFixB47Y</t>
  </si>
  <si>
    <t>EurLiborSwapIsdaFixB48Y</t>
  </si>
  <si>
    <t>EurLiborSwapIsdaFixB49Y</t>
  </si>
  <si>
    <t>EurLiborSwapIsdaFixB4Y</t>
  </si>
  <si>
    <t>EurLiborSwapIsdaFixB50Y</t>
  </si>
  <si>
    <t>EurLiborSwapIsdaFixB51Y</t>
  </si>
  <si>
    <t>EurLiborSwapIsdaFixB52Y</t>
  </si>
  <si>
    <t>EurLiborSwapIsdaFixB53Y</t>
  </si>
  <si>
    <t>EurLiborSwapIsdaFixB54Y</t>
  </si>
  <si>
    <t>EurLiborSwapIsdaFixB55Y</t>
  </si>
  <si>
    <t>EurLiborSwapIsdaFixB56Y</t>
  </si>
  <si>
    <t>EurLiborSwapIsdaFixB57Y</t>
  </si>
  <si>
    <t>EurLiborSwapIsdaFixB58Y</t>
  </si>
  <si>
    <t>EurLiborSwapIsdaFixB59Y</t>
  </si>
  <si>
    <t>EurLiborSwapIsdaFixB5Y</t>
  </si>
  <si>
    <t>EurLiborSwapIsdaFixB60Y</t>
  </si>
  <si>
    <t>EurLiborSwapIsdaFixB6Y</t>
  </si>
  <si>
    <t>EurLiborSwapIsdaFixB7Y</t>
  </si>
  <si>
    <t>EurLiborSwapIsdaFixB8Y</t>
  </si>
  <si>
    <t>EurLiborSwapIsdaFixB9Y</t>
  </si>
  <si>
    <t>EURLiborYC1M</t>
  </si>
  <si>
    <t>EURLiborYC1Y</t>
  </si>
  <si>
    <t>EURLiborYC3M</t>
  </si>
  <si>
    <t>EURLiborYC6M</t>
  </si>
  <si>
    <t>EURLiborYCON</t>
  </si>
  <si>
    <t>EUROND_Quote</t>
  </si>
  <si>
    <t>EUROND_SYNTH1M_Quote</t>
  </si>
  <si>
    <t>EUROND_SYNTH1Y_Quote</t>
  </si>
  <si>
    <t>EUROND_SYNTH3M_Quote</t>
  </si>
  <si>
    <t>EUROND_SYNTH6M_Quote</t>
  </si>
  <si>
    <t>EURSND_Quote</t>
  </si>
  <si>
    <t>EURSND_SYNTH1M_Quote</t>
  </si>
  <si>
    <t>EURSND_SYNTH1Y_Quote</t>
  </si>
  <si>
    <t>EURSND_SYNTH3M_Quote</t>
  </si>
  <si>
    <t>EURSND_SYNTH6M_Quote</t>
  </si>
  <si>
    <t>EURSWD_Quote</t>
  </si>
  <si>
    <t>EURSWD_SYNTH1M_Quote</t>
  </si>
  <si>
    <t>EURSWD_SYNTH1Y_Quote</t>
  </si>
  <si>
    <t>EURSWD_SYNTH3M_Quote</t>
  </si>
  <si>
    <t>EURSWD_SYNTH6M_Quote</t>
  </si>
  <si>
    <t>EURT12F1_Quote</t>
  </si>
  <si>
    <t>EURT1F1_Quote</t>
  </si>
  <si>
    <t>EURT3F1_Quote</t>
  </si>
  <si>
    <t>EURT6F1_Quote</t>
  </si>
  <si>
    <t>EURTND_Quote</t>
  </si>
  <si>
    <t>EURTND_SYNTH1M_Quote</t>
  </si>
  <si>
    <t>EURTND_SYNTH1Y_Quote</t>
  </si>
  <si>
    <t>EURTND_SYNTH3M_Quote</t>
  </si>
  <si>
    <t>EURTND_SYNTH6M_Quote</t>
  </si>
  <si>
    <t>EURTOM12F1_Quote</t>
  </si>
  <si>
    <t>EURTOM1F1_Quote</t>
  </si>
  <si>
    <t>EURTOM3F1_Quote</t>
  </si>
  <si>
    <t>EURTOM6F1_Quote</t>
  </si>
  <si>
    <t>EURTOY2_SYNTH1M_Quote</t>
  </si>
  <si>
    <t>EURTOY2_SYNTH3M_Quote</t>
  </si>
  <si>
    <t>EURTOY2_SYNTH6M_Quote</t>
  </si>
  <si>
    <t>EURTOY2_SYNTHON_Quote</t>
  </si>
  <si>
    <t>EURTOY_SYNTH1M_Quote</t>
  </si>
  <si>
    <t>EURTOY_SYNTH3M_Quote</t>
  </si>
  <si>
    <t>EURTOY_SYNTH6M_Quote</t>
  </si>
  <si>
    <t>EURTOY_SYNTHON_Quote</t>
  </si>
  <si>
    <t>EURYC</t>
  </si>
  <si>
    <t>EURYCSTD</t>
  </si>
  <si>
    <t>EUR_YC1MRH_10X1S</t>
  </si>
  <si>
    <t>EUR_YC1MRH_11X1S</t>
  </si>
  <si>
    <t>EUR_YC1MRH_12X1S</t>
  </si>
  <si>
    <t>EUR_YC1MRH_1MD</t>
  </si>
  <si>
    <t>EUR_YC1MRH_2WD</t>
  </si>
  <si>
    <t>EUR_YC1MRH_2X1S</t>
  </si>
  <si>
    <t>EUR_YC1MRH_3WD</t>
  </si>
  <si>
    <t>EUR_YC1MRH_3X1S</t>
  </si>
  <si>
    <t>EUR_YC1MRH_4X1S</t>
  </si>
  <si>
    <t>EUR_YC1MRH_5X1S</t>
  </si>
  <si>
    <t>EUR_YC1MRH_6X1S</t>
  </si>
  <si>
    <t>EUR_YC1MRH_7X1S</t>
  </si>
  <si>
    <t>EUR_YC1MRH_8X1S</t>
  </si>
  <si>
    <t>EUR_YC1MRH_9X1S</t>
  </si>
  <si>
    <t>EUR_YC1MRH_AB1EBASIS10Y</t>
  </si>
  <si>
    <t>EUR_YC1MRH_AB1EBASIS11Y</t>
  </si>
  <si>
    <t>EUR_YC1MRH_AB1EBASIS12Y</t>
  </si>
  <si>
    <t>EUR_YC1MRH_AB1EBASIS13Y</t>
  </si>
  <si>
    <t>EUR_YC1MRH_AB1EBASIS14Y</t>
  </si>
  <si>
    <t>EUR_YC1MRH_AB1EBASIS15M</t>
  </si>
  <si>
    <t>EUR_YC1MRH_AB1EBASIS15Y</t>
  </si>
  <si>
    <t>EUR_YC1MRH_AB1EBASIS16Y</t>
  </si>
  <si>
    <t>EUR_YC1MRH_AB1EBASIS17Y</t>
  </si>
  <si>
    <t>EUR_YC1MRH_AB1EBASIS18M</t>
  </si>
  <si>
    <t>EUR_YC1MRH_AB1EBASIS18Y</t>
  </si>
  <si>
    <t>EUR_YC1MRH_AB1EBASIS19Y</t>
  </si>
  <si>
    <t>EUR_YC1MRH_AB1EBASIS1Y</t>
  </si>
  <si>
    <t>EUR_YC1MRH_AB1EBASIS20Y</t>
  </si>
  <si>
    <t>EUR_YC1MRH_AB1EBASIS21M</t>
  </si>
  <si>
    <t>EUR_YC1MRH_AB1EBASIS21Y</t>
  </si>
  <si>
    <t>EUR_YC1MRH_AB1EBASIS22Y</t>
  </si>
  <si>
    <t>EUR_YC1MRH_AB1EBASIS23Y</t>
  </si>
  <si>
    <t>EUR_YC1MRH_AB1EBASIS24Y</t>
  </si>
  <si>
    <t>EUR_YC1MRH_AB1EBASIS25Y</t>
  </si>
  <si>
    <t>EUR_YC1MRH_AB1EBASIS26Y</t>
  </si>
  <si>
    <t>EUR_YC1MRH_AB1EBASIS27Y</t>
  </si>
  <si>
    <t>EUR_YC1MRH_AB1EBASIS28Y</t>
  </si>
  <si>
    <t>EUR_YC1MRH_AB1EBASIS29Y</t>
  </si>
  <si>
    <t>EUR_YC1MRH_AB1EBASIS2Y</t>
  </si>
  <si>
    <t>EUR_YC1MRH_AB1EBASIS30Y</t>
  </si>
  <si>
    <t>EUR_YC1MRH_AB1EBASIS35Y</t>
  </si>
  <si>
    <t>EUR_YC1MRH_AB1EBASIS3Y</t>
  </si>
  <si>
    <t>EUR_YC1MRH_AB1EBASIS40Y</t>
  </si>
  <si>
    <t>EUR_YC1MRH_AB1EBASIS4Y</t>
  </si>
  <si>
    <t>EUR_YC1MRH_AB1EBASIS50Y</t>
  </si>
  <si>
    <t>EUR_YC1MRH_AB1EBASIS5Y</t>
  </si>
  <si>
    <t>EUR_YC1MRH_AB1EBASIS60Y</t>
  </si>
  <si>
    <t>EUR_YC1MRH_AB1EBASIS6Y</t>
  </si>
  <si>
    <t>EUR_YC1MRH_AB1EBASIS7Y</t>
  </si>
  <si>
    <t>EUR_YC1MRH_AB1EBASIS8Y</t>
  </si>
  <si>
    <t>EUR_YC1MRH_AB1EBASIS9Y</t>
  </si>
  <si>
    <t>EUR_YC1MRH_AB1EBASIS_ibor1M</t>
  </si>
  <si>
    <t>EUR_YC1MRH_RateHelpersSelected</t>
  </si>
  <si>
    <t>EUR_YC1MRH_SND</t>
  </si>
  <si>
    <t>EUR_YC1MRH_SWD</t>
  </si>
  <si>
    <t>EUR_YC1MRH_xX1S_ibor1M</t>
  </si>
  <si>
    <t>EUR_YC1YRH_10MD</t>
  </si>
  <si>
    <t>EUR_YC1YRH_10x22F</t>
  </si>
  <si>
    <t>EUR_YC1YRH_11MD</t>
  </si>
  <si>
    <t>EUR_YC1YRH_11x23F</t>
  </si>
  <si>
    <t>EUR_YC1YRH_12x24F</t>
  </si>
  <si>
    <t>EUR_YC1YRH_13x25F</t>
  </si>
  <si>
    <t>EUR_YC1YRH_14x26F</t>
  </si>
  <si>
    <t>EUR_YC1YRH_15x27F</t>
  </si>
  <si>
    <t>EUR_YC1YRH_16x28F</t>
  </si>
  <si>
    <t>EUR_YC1YRH_17x29F</t>
  </si>
  <si>
    <t>EUR_YC1YRH_18x30F</t>
  </si>
  <si>
    <t>EUR_YC1YRH_19x31F</t>
  </si>
  <si>
    <t>EUR_YC1YRH_1MD</t>
  </si>
  <si>
    <t>EUR_YC1YRH_1x13F</t>
  </si>
  <si>
    <t>EUR_YC1YRH_1YD</t>
  </si>
  <si>
    <t>EUR_YC1YRH_20x32F</t>
  </si>
  <si>
    <t>EUR_YC1YRH_21x33F</t>
  </si>
  <si>
    <t>EUR_YC1YRH_22x34F</t>
  </si>
  <si>
    <t>EUR_YC1YRH_23x35F</t>
  </si>
  <si>
    <t>EUR_YC1YRH_25x37F</t>
  </si>
  <si>
    <t>EUR_YC1YRH_26x38F</t>
  </si>
  <si>
    <t>EUR_YC1YRH_27x39F</t>
  </si>
  <si>
    <t>EUR_YC1YRH_28x40F</t>
  </si>
  <si>
    <t>EUR_YC1YRH_29x41F</t>
  </si>
  <si>
    <t>EUR_YC1YRH_2MD</t>
  </si>
  <si>
    <t>EUR_YC1YRH_2WD</t>
  </si>
  <si>
    <t>EUR_YC1YRH_2x14F</t>
  </si>
  <si>
    <t>EUR_YC1YRH_30x42F</t>
  </si>
  <si>
    <t>EUR_YC1YRH_31x43F</t>
  </si>
  <si>
    <t>EUR_YC1YRH_32x44F</t>
  </si>
  <si>
    <t>EUR_YC1YRH_33x45F</t>
  </si>
  <si>
    <t>EUR_YC1YRH_34x46F</t>
  </si>
  <si>
    <t>EUR_YC1YRH_35x47F</t>
  </si>
  <si>
    <t>EUR_YC1YRH_37x49F</t>
  </si>
  <si>
    <t>EUR_YC1YRH_38x50F</t>
  </si>
  <si>
    <t>EUR_YC1YRH_39x51F</t>
  </si>
  <si>
    <t>EUR_YC1YRH_3MD</t>
  </si>
  <si>
    <t>EUR_YC1YRH_3WD</t>
  </si>
  <si>
    <t>EUR_YC1YRH_3x15F</t>
  </si>
  <si>
    <t>EUR_YC1YRH_40x52F</t>
  </si>
  <si>
    <t>EUR_YC1YRH_41x53F</t>
  </si>
  <si>
    <t>EUR_YC1YRH_42x54F</t>
  </si>
  <si>
    <t>EUR_YC1YRH_43x55F</t>
  </si>
  <si>
    <t>EUR_YC1YRH_44x56F</t>
  </si>
  <si>
    <t>EUR_YC1YRH_45x57F</t>
  </si>
  <si>
    <t>EUR_YC1YRH_46x58F</t>
  </si>
  <si>
    <t>EUR_YC1YRH_47x59F</t>
  </si>
  <si>
    <t>EUR_YC1YRH_4MD</t>
  </si>
  <si>
    <t>EUR_YC1YRH_4x16F</t>
  </si>
  <si>
    <t>EUR_YC1YRH_5MD</t>
  </si>
  <si>
    <t>EUR_YC1YRH_5x17F</t>
  </si>
  <si>
    <t>EUR_YC1YRH_6MD</t>
  </si>
  <si>
    <t>EUR_YC1YRH_6x18F</t>
  </si>
  <si>
    <t>EUR_YC1YRH_7MD</t>
  </si>
  <si>
    <t>EUR_YC1YRH_7x19F</t>
  </si>
  <si>
    <t>EUR_YC1YRH_8MD</t>
  </si>
  <si>
    <t>EUR_YC1YRH_8x20F</t>
  </si>
  <si>
    <t>EUR_YC1YRH_9MD</t>
  </si>
  <si>
    <t>EUR_YC1YRH_9x21F</t>
  </si>
  <si>
    <t>EUR_YC1YRH_AB12EBASIS10Y</t>
  </si>
  <si>
    <t>EUR_YC1YRH_AB12EBASIS11Y</t>
  </si>
  <si>
    <t>EUR_YC1YRH_AB12EBASIS12Y</t>
  </si>
  <si>
    <t>EUR_YC1YRH_AB12EBASIS13Y</t>
  </si>
  <si>
    <t>EUR_YC1YRH_AB12EBASIS14Y</t>
  </si>
  <si>
    <t>EUR_YC1YRH_AB12EBASIS15M</t>
  </si>
  <si>
    <t>EUR_YC1YRH_AB12EBASIS15Y</t>
  </si>
  <si>
    <t>EUR_YC1YRH_AB12EBASIS16Y</t>
  </si>
  <si>
    <t>EUR_YC1YRH_AB12EBASIS17Y</t>
  </si>
  <si>
    <t>EUR_YC1YRH_AB12EBASIS18M</t>
  </si>
  <si>
    <t>EUR_YC1YRH_AB12EBASIS18Y</t>
  </si>
  <si>
    <t>EUR_YC1YRH_AB12EBASIS19Y</t>
  </si>
  <si>
    <t>EUR_YC1YRH_AB12EBASIS1Y</t>
  </si>
  <si>
    <t>EUR_YC1YRH_AB12EBASIS20Y</t>
  </si>
  <si>
    <t>EUR_YC1YRH_AB12EBASIS21M</t>
  </si>
  <si>
    <t>EUR_YC1YRH_AB12EBASIS21Y</t>
  </si>
  <si>
    <t>EUR_YC1YRH_AB12EBASIS22Y</t>
  </si>
  <si>
    <t>EUR_YC1YRH_AB12EBASIS23Y</t>
  </si>
  <si>
    <t>EUR_YC1YRH_AB12EBASIS24Y</t>
  </si>
  <si>
    <t>EUR_YC1YRH_AB12EBASIS25Y</t>
  </si>
  <si>
    <t>EUR_YC1YRH_AB12EBASIS26Y</t>
  </si>
  <si>
    <t>EUR_YC1YRH_AB12EBASIS27Y</t>
  </si>
  <si>
    <t>EUR_YC1YRH_AB12EBASIS28Y</t>
  </si>
  <si>
    <t>EUR_YC1YRH_AB12EBASIS29Y</t>
  </si>
  <si>
    <t>EUR_YC1YRH_AB12EBASIS2Y</t>
  </si>
  <si>
    <t>EUR_YC1YRH_AB12EBASIS30Y</t>
  </si>
  <si>
    <t>EUR_YC1YRH_AB12EBASIS35Y</t>
  </si>
  <si>
    <t>EUR_YC1YRH_AB12EBASIS3Y</t>
  </si>
  <si>
    <t>EUR_YC1YRH_AB12EBASIS40Y</t>
  </si>
  <si>
    <t>EUR_YC1YRH_AB12EBASIS4Y</t>
  </si>
  <si>
    <t>EUR_YC1YRH_AB12EBASIS50Y</t>
  </si>
  <si>
    <t>EUR_YC1YRH_AB12EBASIS5Y</t>
  </si>
  <si>
    <t>EUR_YC1YRH_AB12EBASIS60Y</t>
  </si>
  <si>
    <t>EUR_YC1YRH_AB12EBASIS6Y</t>
  </si>
  <si>
    <t>EUR_YC1YRH_AB12EBASIS7Y</t>
  </si>
  <si>
    <t>EUR_YC1YRH_AB12EBASIS8Y</t>
  </si>
  <si>
    <t>EUR_YC1YRH_AB12EBASIS9Y</t>
  </si>
  <si>
    <t>EUR_YC1YRH_AB12EBASIS_ibor1Y</t>
  </si>
  <si>
    <t>EUR_YC1YRH_RateHelpersSelected</t>
  </si>
  <si>
    <t>EUR_YC1YRH_SND</t>
  </si>
  <si>
    <t>EUR_YC1YRH_SWD</t>
  </si>
  <si>
    <t>EUR_YC1YRH_T12F1</t>
  </si>
  <si>
    <t>EUR_YC1YRH_TOM12F1</t>
  </si>
  <si>
    <t>EUR_YC3MRH_1MD</t>
  </si>
  <si>
    <t>EUR_YC3MRH_1S12</t>
  </si>
  <si>
    <t>EUR_YC3MRH_1S24</t>
  </si>
  <si>
    <t>EUR_YC3MRH_1S36</t>
  </si>
  <si>
    <t>EUR_YC3MRH_1x4F</t>
  </si>
  <si>
    <t>EUR_YC3MRH_2MD</t>
  </si>
  <si>
    <t>EUR_YC3MRH_2S12</t>
  </si>
  <si>
    <t>EUR_YC3MRH_2S24</t>
  </si>
  <si>
    <t>EUR_YC3MRH_2WD</t>
  </si>
  <si>
    <t>EUR_YC3MRH_2x5F</t>
  </si>
  <si>
    <t>EUR_YC3MRH_3MD</t>
  </si>
  <si>
    <t>EUR_YC3MRH_3S12</t>
  </si>
  <si>
    <t>EUR_YC3MRH_3WD</t>
  </si>
  <si>
    <t>EUR_YC3MRH_3x6F</t>
  </si>
  <si>
    <t>EUR_YC3MRH_4S12</t>
  </si>
  <si>
    <t>EUR_YC3MRH_4x7F</t>
  </si>
  <si>
    <t>EUR_YC3MRH_5x8F</t>
  </si>
  <si>
    <t>EUR_YC3MRH_6x9F</t>
  </si>
  <si>
    <t>EUR_YC3MRH_AB3E10Y</t>
  </si>
  <si>
    <t>EUR_YC3MRH_AB3E11Y</t>
  </si>
  <si>
    <t>EUR_YC3MRH_AB3E12Y</t>
  </si>
  <si>
    <t>EUR_YC3MRH_AB3E13Y</t>
  </si>
  <si>
    <t>EUR_YC3MRH_AB3E14Y</t>
  </si>
  <si>
    <t>EUR_YC3MRH_AB3E15M</t>
  </si>
  <si>
    <t>EUR_YC3MRH_AB3E15Y</t>
  </si>
  <si>
    <t>EUR_YC3MRH_AB3E16Y</t>
  </si>
  <si>
    <t>EUR_YC3MRH_AB3E17Y</t>
  </si>
  <si>
    <t>EUR_YC3MRH_AB3E18M</t>
  </si>
  <si>
    <t>EUR_YC3MRH_AB3E18Y</t>
  </si>
  <si>
    <t>EUR_YC3MRH_AB3E19Y</t>
  </si>
  <si>
    <t>EUR_YC3MRH_AB3E1Y</t>
  </si>
  <si>
    <t>EUR_YC3MRH_AB3E20Y</t>
  </si>
  <si>
    <t>EUR_YC3MRH_AB3E21M</t>
  </si>
  <si>
    <t>EUR_YC3MRH_AB3E21Y</t>
  </si>
  <si>
    <t>EUR_YC3MRH_AB3E22Y</t>
  </si>
  <si>
    <t>EUR_YC3MRH_AB3E23Y</t>
  </si>
  <si>
    <t>EUR_YC3MRH_AB3E24Y</t>
  </si>
  <si>
    <t>EUR_YC3MRH_AB3E25Y</t>
  </si>
  <si>
    <t>EUR_YC3MRH_AB3E26Y</t>
  </si>
  <si>
    <t>EUR_YC3MRH_AB3E27Y</t>
  </si>
  <si>
    <t>EUR_YC3MRH_AB3E28Y</t>
  </si>
  <si>
    <t>EUR_YC3MRH_AB3E29Y</t>
  </si>
  <si>
    <t>EUR_YC3MRH_AB3E2Y</t>
  </si>
  <si>
    <t>EUR_YC3MRH_AB3E30Y</t>
  </si>
  <si>
    <t>EUR_YC3MRH_AB3E35Y</t>
  </si>
  <si>
    <t>EUR_YC3MRH_AB3E3Y</t>
  </si>
  <si>
    <t>EUR_YC3MRH_AB3E40Y</t>
  </si>
  <si>
    <t>EUR_YC3MRH_AB3E4Y</t>
  </si>
  <si>
    <t>EUR_YC3MRH_AB3E50Y</t>
  </si>
  <si>
    <t>EUR_YC3MRH_AB3E5Y</t>
  </si>
  <si>
    <t>EUR_YC3MRH_AB3E60Y</t>
  </si>
  <si>
    <t>EUR_YC3MRH_AB3E6Y</t>
  </si>
  <si>
    <t>EUR_YC3MRH_AB3E7Y</t>
  </si>
  <si>
    <t>EUR_YC3MRH_AB3E8Y</t>
  </si>
  <si>
    <t>EUR_YC3MRH_AB3E9Y</t>
  </si>
  <si>
    <t>EUR_YC3MRH_AB3EBASIS10Y</t>
  </si>
  <si>
    <t>EUR_YC3MRH_AB3EBASIS11Y</t>
  </si>
  <si>
    <t>EUR_YC3MRH_AB3EBASIS12Y</t>
  </si>
  <si>
    <t>EUR_YC3MRH_AB3EBASIS13Y</t>
  </si>
  <si>
    <t>EUR_YC3MRH_AB3EBASIS14Y</t>
  </si>
  <si>
    <t>EUR_YC3MRH_AB3EBASIS15M</t>
  </si>
  <si>
    <t>EUR_YC3MRH_AB3EBASIS15Y</t>
  </si>
  <si>
    <t>EUR_YC3MRH_AB3EBASIS16Y</t>
  </si>
  <si>
    <t>EUR_YC3MRH_AB3EBASIS17Y</t>
  </si>
  <si>
    <t>EUR_YC3MRH_AB3EBASIS18M</t>
  </si>
  <si>
    <t>EUR_YC3MRH_AB3EBASIS18Y</t>
  </si>
  <si>
    <t>EUR_YC3MRH_AB3EBASIS19Y</t>
  </si>
  <si>
    <t>EUR_YC3MRH_AB3EBASIS1Y</t>
  </si>
  <si>
    <t>EUR_YC3MRH_AB3EBASIS20Y</t>
  </si>
  <si>
    <t>EUR_YC3MRH_AB3EBASIS21M</t>
  </si>
  <si>
    <t>EUR_YC3MRH_AB3EBASIS21Y</t>
  </si>
  <si>
    <t>EUR_YC3MRH_AB3EBASIS22Y</t>
  </si>
  <si>
    <t>EUR_YC3MRH_AB3EBASIS23Y</t>
  </si>
  <si>
    <t>EUR_YC3MRH_AB3EBASIS24Y</t>
  </si>
  <si>
    <t>EUR_YC3MRH_AB3EBASIS25Y</t>
  </si>
  <si>
    <t>EUR_YC3MRH_AB3EBASIS26Y</t>
  </si>
  <si>
    <t>EUR_YC3MRH_AB3EBASIS27Y</t>
  </si>
  <si>
    <t>EUR_YC3MRH_AB3EBASIS28Y</t>
  </si>
  <si>
    <t>EUR_YC3MRH_AB3EBASIS29Y</t>
  </si>
  <si>
    <t>EUR_YC3MRH_AB3EBASIS2Y</t>
  </si>
  <si>
    <t>EUR_YC3MRH_AB3EBASIS30Y</t>
  </si>
  <si>
    <t>EUR_YC3MRH_AB3EBASIS35Y</t>
  </si>
  <si>
    <t>EUR_YC3MRH_AB3EBASIS3Y</t>
  </si>
  <si>
    <t>EUR_YC3MRH_AB3EBASIS40Y</t>
  </si>
  <si>
    <t>EUR_YC3MRH_AB3EBASIS4Y</t>
  </si>
  <si>
    <t>EUR_YC3MRH_AB3EBASIS50Y</t>
  </si>
  <si>
    <t>EUR_YC3MRH_AB3EBASIS5Y</t>
  </si>
  <si>
    <t>EUR_YC3MRH_AB3EBASIS60Y</t>
  </si>
  <si>
    <t>EUR_YC3MRH_AB3EBASIS6Y</t>
  </si>
  <si>
    <t>EUR_YC3MRH_AB3EBASIS7Y</t>
  </si>
  <si>
    <t>EUR_YC3MRH_AB3EBASIS8Y</t>
  </si>
  <si>
    <t>EUR_YC3MRH_AB3EBASIS9Y</t>
  </si>
  <si>
    <t>EUR_YC3MRH_AB3EBASIS_ibor3M</t>
  </si>
  <si>
    <t>EUR_YC3MRH_AB3E_ibor3M</t>
  </si>
  <si>
    <t>EUR_YC3MRH_FUT3MF5</t>
  </si>
  <si>
    <t>EUR_YC3MRH_FUT3MG5</t>
  </si>
  <si>
    <t>EUR_YC3MRH_FUT3MH0</t>
  </si>
  <si>
    <t>EUR_YC3MRH_FUT3MH1</t>
  </si>
  <si>
    <t>EUR_YC3MRH_FUT3MH2</t>
  </si>
  <si>
    <t>EUR_YC3MRH_FUT3MH4</t>
  </si>
  <si>
    <t>EUR_YC3MRH_FUT3MH5</t>
  </si>
  <si>
    <t>EUR_YC3MRH_FUT3MH6</t>
  </si>
  <si>
    <t>EUR_YC3MRH_FUT3MH7</t>
  </si>
  <si>
    <t>EUR_YC3MRH_FUT3MH8</t>
  </si>
  <si>
    <t>EUR_YC3MRH_FUT3MH9</t>
  </si>
  <si>
    <t>EUR_YC3MRH_FUT3MJ4</t>
  </si>
  <si>
    <t>EUR_YC3MRH_FUT3MK4</t>
  </si>
  <si>
    <t>EUR_YC3MRH_FUT3MM0</t>
  </si>
  <si>
    <t>EUR_YC3MRH_FUT3MM1</t>
  </si>
  <si>
    <t>EUR_YC3MRH_FUT3MM2</t>
  </si>
  <si>
    <t>EUR_YC3MRH_FUT3MM4</t>
  </si>
  <si>
    <t>EUR_YC3MRH_FUT3MM5</t>
  </si>
  <si>
    <t>EUR_YC3MRH_FUT3MM6</t>
  </si>
  <si>
    <t>EUR_YC3MRH_FUT3MM7</t>
  </si>
  <si>
    <t>EUR_YC3MRH_FUT3MM8</t>
  </si>
  <si>
    <t>EUR_YC3MRH_FUT3MM9</t>
  </si>
  <si>
    <t>EUR_YC3MRH_FUT3MN4</t>
  </si>
  <si>
    <t>EUR_YC3MRH_FUT3MQ4</t>
  </si>
  <si>
    <t>EUR_YC3MRH_FUT3MU0</t>
  </si>
  <si>
    <t>EUR_YC3MRH_FUT3MU1</t>
  </si>
  <si>
    <t>EUR_YC3MRH_FUT3MU4</t>
  </si>
  <si>
    <t>EUR_YC3MRH_FUT3MU5</t>
  </si>
  <si>
    <t>EUR_YC3MRH_FUT3MU6</t>
  </si>
  <si>
    <t>EUR_YC3MRH_FUT3MU7</t>
  </si>
  <si>
    <t>EUR_YC3MRH_FUT3MU8</t>
  </si>
  <si>
    <t>EUR_YC3MRH_FUT3MU9</t>
  </si>
  <si>
    <t>EUR_YC3MRH_FUT3MV4</t>
  </si>
  <si>
    <t>EUR_YC3MRH_FUT3MX4</t>
  </si>
  <si>
    <t>EUR_YC3MRH_FUT3MZ0</t>
  </si>
  <si>
    <t>EUR_YC3MRH_FUT3MZ1</t>
  </si>
  <si>
    <t>EUR_YC3MRH_FUT3MZ4</t>
  </si>
  <si>
    <t>EUR_YC3MRH_FUT3MZ5</t>
  </si>
  <si>
    <t>EUR_YC3MRH_FUT3MZ6</t>
  </si>
  <si>
    <t>EUR_YC3MRH_FUT3MZ7</t>
  </si>
  <si>
    <t>EUR_YC3MRH_FUT3MZ8</t>
  </si>
  <si>
    <t>EUR_YC3MRH_FUT3MZ9</t>
  </si>
  <si>
    <t>EUR_YC3MRH_SND</t>
  </si>
  <si>
    <t>EUR_YC3MRH_SWD</t>
  </si>
  <si>
    <t>EUR_YC3MRH_T3F1</t>
  </si>
  <si>
    <t>EUR_YC3MRH_TOM3F1</t>
  </si>
  <si>
    <t>EUR_YC6MRH_10x16F</t>
  </si>
  <si>
    <t>EUR_YC6MRH_11x17F</t>
  </si>
  <si>
    <t>EUR_YC6MRH_12x18F</t>
  </si>
  <si>
    <t>EUR_YC6MRH_13x19F</t>
  </si>
  <si>
    <t>EUR_YC6MRH_14x20F</t>
  </si>
  <si>
    <t>EUR_YC6MRH_15x21F</t>
  </si>
  <si>
    <t>EUR_YC6MRH_16x22F</t>
  </si>
  <si>
    <t>EUR_YC6MRH_17x23F</t>
  </si>
  <si>
    <t>EUR_YC6MRH_18x24F</t>
  </si>
  <si>
    <t>EUR_YC6MRH_1MD</t>
  </si>
  <si>
    <t>EUR_YC6MRH_1x7F</t>
  </si>
  <si>
    <t>EUR_YC6MRH_2MD</t>
  </si>
  <si>
    <t>EUR_YC6MRH_2WD</t>
  </si>
  <si>
    <t>EUR_YC6MRH_2x8F</t>
  </si>
  <si>
    <t>EUR_YC6MRH_3MD</t>
  </si>
  <si>
    <t>EUR_YC6MRH_3WD</t>
  </si>
  <si>
    <t>EUR_YC6MRH_3x9F</t>
  </si>
  <si>
    <t>EUR_YC6MRH_4MD</t>
  </si>
  <si>
    <t>EUR_YC6MRH_4x10F</t>
  </si>
  <si>
    <t>EUR_YC6MRH_5MD</t>
  </si>
  <si>
    <t>EUR_YC6MRH_5x11F</t>
  </si>
  <si>
    <t>EUR_YC6MRH_6MD</t>
  </si>
  <si>
    <t>EUR_YC6MRH_6x12F</t>
  </si>
  <si>
    <t>EUR_YC6MRH_7x13F</t>
  </si>
  <si>
    <t>EUR_YC6MRH_8x14F</t>
  </si>
  <si>
    <t>EUR_YC6MRH_9x15F</t>
  </si>
  <si>
    <t>EUR_YC6MRH_AB6E10Y</t>
  </si>
  <si>
    <t>EUR_YC6MRH_AB6E11Y</t>
  </si>
  <si>
    <t>EUR_YC6MRH_AB6E12Y</t>
  </si>
  <si>
    <t>EUR_YC6MRH_AB6E13Y</t>
  </si>
  <si>
    <t>EUR_YC6MRH_AB6E14Y</t>
  </si>
  <si>
    <t>EUR_YC6MRH_AB6E15M</t>
  </si>
  <si>
    <t>EUR_YC6MRH_AB6E15Y</t>
  </si>
  <si>
    <t>EUR_YC6MRH_AB6E16Y</t>
  </si>
  <si>
    <t>EUR_YC6MRH_AB6E17Y</t>
  </si>
  <si>
    <t>EUR_YC6MRH_AB6E18M</t>
  </si>
  <si>
    <t>EUR_YC6MRH_AB6E18Y</t>
  </si>
  <si>
    <t>EUR_YC6MRH_AB6E19Y</t>
  </si>
  <si>
    <t>EUR_YC6MRH_AB6E1Y</t>
  </si>
  <si>
    <t>EUR_YC6MRH_AB6E20Y</t>
  </si>
  <si>
    <t>EUR_YC6MRH_AB6E21M</t>
  </si>
  <si>
    <t>EUR_YC6MRH_AB6E21Y</t>
  </si>
  <si>
    <t>EUR_YC6MRH_AB6E22Y</t>
  </si>
  <si>
    <t>EUR_YC6MRH_AB6E23Y</t>
  </si>
  <si>
    <t>EUR_YC6MRH_AB6E24Y</t>
  </si>
  <si>
    <t>EUR_YC6MRH_AB6E25Y</t>
  </si>
  <si>
    <t>EUR_YC6MRH_AB6E26Y</t>
  </si>
  <si>
    <t>EUR_YC6MRH_AB6E27Y</t>
  </si>
  <si>
    <t>EUR_YC6MRH_AB6E28Y</t>
  </si>
  <si>
    <t>EUR_YC6MRH_AB6E29Y</t>
  </si>
  <si>
    <t>EUR_YC6MRH_AB6E2Y</t>
  </si>
  <si>
    <t>EUR_YC6MRH_AB6E30Y</t>
  </si>
  <si>
    <t>EUR_YC6MRH_AB6E35Y</t>
  </si>
  <si>
    <t>EUR_YC6MRH_AB6E3Y</t>
  </si>
  <si>
    <t>EUR_YC6MRH_AB6E40Y</t>
  </si>
  <si>
    <t>EUR_YC6MRH_AB6E4Y</t>
  </si>
  <si>
    <t>EUR_YC6MRH_AB6E50Y</t>
  </si>
  <si>
    <t>EUR_YC6MRH_AB6E5Y</t>
  </si>
  <si>
    <t>EUR_YC6MRH_AB6E60Y</t>
  </si>
  <si>
    <t>EUR_YC6MRH_AB6E6Y</t>
  </si>
  <si>
    <t>EUR_YC6MRH_AB6E7Y</t>
  </si>
  <si>
    <t>EUR_YC6MRH_AB6E8Y</t>
  </si>
  <si>
    <t>EUR_YC6MRH_AB6E9Y</t>
  </si>
  <si>
    <t>EUR_YC6MRH_AB6E_ibor6M</t>
  </si>
  <si>
    <t>EUR_YC6MRH_RateHelpersSelected</t>
  </si>
  <si>
    <t>EUR_YC6MRH_SND</t>
  </si>
  <si>
    <t>EUR_YC6MRH_SWD</t>
  </si>
  <si>
    <t>EUR_YC6MRH_T6F1</t>
  </si>
  <si>
    <t>EUR_YC6MRH_TOM6F1</t>
  </si>
  <si>
    <t>EUR_YCONRH_EON10M</t>
  </si>
  <si>
    <t>EUR_YCONRH_EON10Y</t>
  </si>
  <si>
    <t>EUR_YCONRH_EON11M</t>
  </si>
  <si>
    <t>EUR_YCONRH_EON11Y</t>
  </si>
  <si>
    <t>EUR_YCONRH_EON12Y</t>
  </si>
  <si>
    <t>EUR_YCONRH_EON15M</t>
  </si>
  <si>
    <t>EUR_YCONRH_EON15Y</t>
  </si>
  <si>
    <t>EUR_YCONRH_EON18M</t>
  </si>
  <si>
    <t>EUR_YCONRH_EON1M</t>
  </si>
  <si>
    <t>EUR_YCONRH_EON1Y</t>
  </si>
  <si>
    <t>EUR_YCONRH_EON20Y</t>
  </si>
  <si>
    <t>EUR_YCONRH_EON21M</t>
  </si>
  <si>
    <t>EUR_YCONRH_EON25Y</t>
  </si>
  <si>
    <t>EUR_YCONRH_EON2M</t>
  </si>
  <si>
    <t>EUR_YCONRH_EON2W</t>
  </si>
  <si>
    <t>EUR_YCONRH_EON2Y</t>
  </si>
  <si>
    <t>EUR_YCONRH_EON30Y</t>
  </si>
  <si>
    <t>EUR_YCONRH_EON3M</t>
  </si>
  <si>
    <t>EUR_YCONRH_EON3W</t>
  </si>
  <si>
    <t>EUR_YCONRH_EON3Y</t>
  </si>
  <si>
    <t>EUR_YCONRH_EON40Y</t>
  </si>
  <si>
    <t>EUR_YCONRH_EON4M</t>
  </si>
  <si>
    <t>EUR_YCONRH_EON4Y</t>
  </si>
  <si>
    <t>EUR_YCONRH_EON50Y</t>
  </si>
  <si>
    <t>EUR_YCONRH_EON5M</t>
  </si>
  <si>
    <t>EUR_YCONRH_EON5Y</t>
  </si>
  <si>
    <t>EUR_YCONRH_EON60Y</t>
  </si>
  <si>
    <t>EUR_YCONRH_EON6M</t>
  </si>
  <si>
    <t>EUR_YCONRH_EON6Y</t>
  </si>
  <si>
    <t>EUR_YCONRH_EON7M</t>
  </si>
  <si>
    <t>EUR_YCONRH_EON7Y</t>
  </si>
  <si>
    <t>EUR_YCONRH_EON8M</t>
  </si>
  <si>
    <t>EUR_YCONRH_EON8Y</t>
  </si>
  <si>
    <t>EUR_YCONRH_EON9M</t>
  </si>
  <si>
    <t>EUR_YCONRH_EON9Y</t>
  </si>
  <si>
    <t>EUR_YCONRH_EONSW</t>
  </si>
  <si>
    <t>EUR_YCONRH_EON_iborON</t>
  </si>
  <si>
    <t>EUR_YCONRH_OND</t>
  </si>
  <si>
    <t>EUR_YCONRH_RateHelpersSelected</t>
  </si>
  <si>
    <t>EUR_YCONRH_SND</t>
  </si>
  <si>
    <t>EUR_YCONRH_TND</t>
  </si>
  <si>
    <t>EUR_YCSTDRH_10MD</t>
  </si>
  <si>
    <t>EUR_YCSTDRH_11MD</t>
  </si>
  <si>
    <t>EUR_YCSTDRH_1MD</t>
  </si>
  <si>
    <t>EUR_YCSTDRH_1YD</t>
  </si>
  <si>
    <t>EUR_YCSTDRH_2MD</t>
  </si>
  <si>
    <t>EUR_YCSTDRH_2WD</t>
  </si>
  <si>
    <t>EUR_YCSTDRH_3MD</t>
  </si>
  <si>
    <t>EUR_YCSTDRH_3WD</t>
  </si>
  <si>
    <t>EUR_YCSTDRH_4MD</t>
  </si>
  <si>
    <t>EUR_YCSTDRH_5MD</t>
  </si>
  <si>
    <t>EUR_YCSTDRH_6MD</t>
  </si>
  <si>
    <t>EUR_YCSTDRH_7MD</t>
  </si>
  <si>
    <t>EUR_YCSTDRH_8MD</t>
  </si>
  <si>
    <t>EUR_YCSTDRH_9MD</t>
  </si>
  <si>
    <t>EUR_YCSTDRH_AB6E10Y</t>
  </si>
  <si>
    <t>EUR_YCSTDRH_AB6E11Y</t>
  </si>
  <si>
    <t>EUR_YCSTDRH_AB6E12Y</t>
  </si>
  <si>
    <t>EUR_YCSTDRH_AB6E13Y</t>
  </si>
  <si>
    <t>EUR_YCSTDRH_AB6E14Y</t>
  </si>
  <si>
    <t>EUR_YCSTDRH_AB6E15M</t>
  </si>
  <si>
    <t>EUR_YCSTDRH_AB6E15Y</t>
  </si>
  <si>
    <t>EUR_YCSTDRH_AB6E16Y</t>
  </si>
  <si>
    <t>EUR_YCSTDRH_AB6E17Y</t>
  </si>
  <si>
    <t>EUR_YCSTDRH_AB6E18M</t>
  </si>
  <si>
    <t>EUR_YCSTDRH_AB6E18Y</t>
  </si>
  <si>
    <t>EUR_YCSTDRH_AB6E19Y</t>
  </si>
  <si>
    <t>EUR_YCSTDRH_AB6E1Y</t>
  </si>
  <si>
    <t>EUR_YCSTDRH_AB6E20Y</t>
  </si>
  <si>
    <t>EUR_YCSTDRH_AB6E21M</t>
  </si>
  <si>
    <t>EUR_YCSTDRH_AB6E21Y</t>
  </si>
  <si>
    <t>EUR_YCSTDRH_AB6E22Y</t>
  </si>
  <si>
    <t>EUR_YCSTDRH_AB6E23Y</t>
  </si>
  <si>
    <t>EUR_YCSTDRH_AB6E24Y</t>
  </si>
  <si>
    <t>EUR_YCSTDRH_AB6E25Y</t>
  </si>
  <si>
    <t>EUR_YCSTDRH_AB6E26Y</t>
  </si>
  <si>
    <t>EUR_YCSTDRH_AB6E27Y</t>
  </si>
  <si>
    <t>EUR_YCSTDRH_AB6E28Y</t>
  </si>
  <si>
    <t>EUR_YCSTDRH_AB6E29Y</t>
  </si>
  <si>
    <t>EUR_YCSTDRH_AB6E2Y</t>
  </si>
  <si>
    <t>EUR_YCSTDRH_AB6E30Y</t>
  </si>
  <si>
    <t>EUR_YCSTDRH_AB6E35Y</t>
  </si>
  <si>
    <t>EUR_YCSTDRH_AB6E3Y</t>
  </si>
  <si>
    <t>EUR_YCSTDRH_AB6E40Y</t>
  </si>
  <si>
    <t>EUR_YCSTDRH_AB6E4Y</t>
  </si>
  <si>
    <t>EUR_YCSTDRH_AB6E50Y</t>
  </si>
  <si>
    <t>EUR_YCSTDRH_AB6E5Y</t>
  </si>
  <si>
    <t>EUR_YCSTDRH_AB6E60Y</t>
  </si>
  <si>
    <t>EUR_YCSTDRH_AB6E6Y</t>
  </si>
  <si>
    <t>EUR_YCSTDRH_AB6E7Y</t>
  </si>
  <si>
    <t>EUR_YCSTDRH_AB6E8Y</t>
  </si>
  <si>
    <t>EUR_YCSTDRH_AB6E9Y</t>
  </si>
  <si>
    <t>EUR_YCSTDRH_AB6E_ibor6M</t>
  </si>
  <si>
    <t>EUR_YCSTDRH_FUT3MF5</t>
  </si>
  <si>
    <t>EUR_YCSTDRH_FUT3MG5</t>
  </si>
  <si>
    <t>EUR_YCSTDRH_FUT3MH0</t>
  </si>
  <si>
    <t>EUR_YCSTDRH_FUT3MH1</t>
  </si>
  <si>
    <t>EUR_YCSTDRH_FUT3MH2</t>
  </si>
  <si>
    <t>EUR_YCSTDRH_FUT3MH4</t>
  </si>
  <si>
    <t>EUR_YCSTDRH_FUT3MH5</t>
  </si>
  <si>
    <t>EUR_YCSTDRH_FUT3MH6</t>
  </si>
  <si>
    <t>EUR_YCSTDRH_FUT3MH7</t>
  </si>
  <si>
    <t>EUR_YCSTDRH_FUT3MH8</t>
  </si>
  <si>
    <t>EUR_YCSTDRH_FUT3MH9</t>
  </si>
  <si>
    <t>EUR_YCSTDRH_FUT3MJ4</t>
  </si>
  <si>
    <t>EUR_YCSTDRH_FUT3MK4</t>
  </si>
  <si>
    <t>EUR_YCSTDRH_FUT3MM0</t>
  </si>
  <si>
    <t>EUR_YCSTDRH_FUT3MM1</t>
  </si>
  <si>
    <t>EUR_YCSTDRH_FUT3MM2</t>
  </si>
  <si>
    <t>EUR_YCSTDRH_FUT3MM4</t>
  </si>
  <si>
    <t>EUR_YCSTDRH_FUT3MM5</t>
  </si>
  <si>
    <t>EUR_YCSTDRH_FUT3MM6</t>
  </si>
  <si>
    <t>EUR_YCSTDRH_FUT3MM7</t>
  </si>
  <si>
    <t>EUR_YCSTDRH_FUT3MM8</t>
  </si>
  <si>
    <t>EUR_YCSTDRH_FUT3MM9</t>
  </si>
  <si>
    <t>EUR_YCSTDRH_FUT3MN4</t>
  </si>
  <si>
    <t>EUR_YCSTDRH_FUT3MQ4</t>
  </si>
  <si>
    <t>EUR_YCSTDRH_FUT3MU0</t>
  </si>
  <si>
    <t>EUR_YCSTDRH_FUT3MU1</t>
  </si>
  <si>
    <t>EUR_YCSTDRH_FUT3MU4</t>
  </si>
  <si>
    <t>EUR_YCSTDRH_FUT3MU5</t>
  </si>
  <si>
    <t>EUR_YCSTDRH_FUT3MU6</t>
  </si>
  <si>
    <t>EUR_YCSTDRH_FUT3MU7</t>
  </si>
  <si>
    <t>EUR_YCSTDRH_FUT3MU8</t>
  </si>
  <si>
    <t>EUR_YCSTDRH_FUT3MU9</t>
  </si>
  <si>
    <t>EUR_YCSTDRH_FUT3MV4</t>
  </si>
  <si>
    <t>EUR_YCSTDRH_FUT3MX4</t>
  </si>
  <si>
    <t>EUR_YCSTDRH_FUT3MZ0</t>
  </si>
  <si>
    <t>EUR_YCSTDRH_FUT3MZ1</t>
  </si>
  <si>
    <t>EUR_YCSTDRH_FUT3MZ4</t>
  </si>
  <si>
    <t>EUR_YCSTDRH_FUT3MZ5</t>
  </si>
  <si>
    <t>EUR_YCSTDRH_FUT3MZ6</t>
  </si>
  <si>
    <t>EUR_YCSTDRH_FUT3MZ7</t>
  </si>
  <si>
    <t>EUR_YCSTDRH_FUT3MZ8</t>
  </si>
  <si>
    <t>EUR_YCSTDRH_FUT3MZ9</t>
  </si>
  <si>
    <t>EUR_YCSTDRH_OND</t>
  </si>
  <si>
    <t>EUR_YCSTDRH_RateHelpersSelected</t>
  </si>
  <si>
    <t>EUR_YCSTDRH_SND</t>
  </si>
  <si>
    <t>EUR_YCSTDRH_SWD</t>
  </si>
  <si>
    <t>EUR_YCSTDRH_TND</t>
  </si>
  <si>
    <t>obj_00651</t>
  </si>
  <si>
    <t>_EURYC1M</t>
  </si>
  <si>
    <t>_EURYC1Y</t>
  </si>
  <si>
    <t>_EURYC3M</t>
  </si>
  <si>
    <t>_EURYC6M</t>
  </si>
  <si>
    <t>_EURYCON</t>
  </si>
  <si>
    <t>_EURYCSTD</t>
  </si>
</sst>
</file>

<file path=xl/styles.xml><?xml version="1.0" encoding="utf-8"?>
<styleSheet xmlns="http://schemas.openxmlformats.org/spreadsheetml/2006/main" xmlns:mc="http://schemas.openxmlformats.org/markup-compatibility/2006" xmlns:x14ac="http://schemas.microsoft.com/office/spreadsheetml/2009/9/ac" mc:Ignorable="x14ac">
  <numFmts count="17">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 numFmtId="180" formatCode="_([$€-2]* #,##0.00_);_([$€-2]* \(#,##0.00\);_([$€-2]* &quot;-&quot;??_)"/>
  </numFmts>
  <fonts count="32"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
      <b/>
      <u/>
      <sz val="8"/>
      <name val="Courier New"/>
      <family val="3"/>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rgb="FFFF0000"/>
        <bgColor indexed="64"/>
      </patternFill>
    </fill>
    <fill>
      <patternFill patternType="solid">
        <fgColor theme="0"/>
        <bgColor indexed="64"/>
      </patternFill>
    </fill>
    <fill>
      <patternFill patternType="solid">
        <fgColor theme="0" tint="-0.499984740745262"/>
        <bgColor indexed="64"/>
      </patternFill>
    </fill>
  </fills>
  <borders count="3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5">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xf numFmtId="180" fontId="11" fillId="0" borderId="0" applyFont="0" applyFill="0" applyBorder="0" applyAlignment="0" applyProtection="0"/>
    <xf numFmtId="0" fontId="5" fillId="0" borderId="0"/>
  </cellStyleXfs>
  <cellXfs count="591">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169" fontId="10" fillId="0" borderId="18" xfId="4" applyNumberFormat="1" applyFont="1" applyFill="1" applyBorder="1" applyAlignment="1">
      <alignment horizontal="center" vertical="center" wrapText="1"/>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5" fillId="3" borderId="16"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0" fillId="0" borderId="16" xfId="1" applyFont="1" applyFill="1" applyBorder="1" applyAlignment="1">
      <alignment horizontal="center" vertical="center" wrapText="1"/>
    </xf>
    <xf numFmtId="170" fontId="5" fillId="8" borderId="17" xfId="4" applyNumberFormat="1" applyFont="1" applyFill="1" applyBorder="1" applyAlignment="1">
      <alignment horizontal="center"/>
    </xf>
    <xf numFmtId="170" fontId="5" fillId="8" borderId="22" xfId="4" applyNumberFormat="1" applyFont="1" applyFill="1" applyBorder="1" applyAlignment="1">
      <alignment horizontal="center"/>
    </xf>
    <xf numFmtId="170" fontId="5" fillId="8"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9" borderId="10" xfId="1" applyFont="1" applyFill="1" applyBorder="1"/>
    <xf numFmtId="0" fontId="12" fillId="9" borderId="9" xfId="1" applyFont="1" applyFill="1" applyBorder="1"/>
    <xf numFmtId="0" fontId="12" fillId="9" borderId="8" xfId="1" applyFont="1" applyFill="1" applyBorder="1"/>
    <xf numFmtId="0" fontId="12" fillId="9" borderId="7" xfId="1" applyFont="1" applyFill="1" applyBorder="1"/>
    <xf numFmtId="0" fontId="12" fillId="9" borderId="0" xfId="1" applyFont="1" applyFill="1" applyBorder="1"/>
    <xf numFmtId="0" fontId="12" fillId="9" borderId="5" xfId="1" applyFont="1" applyFill="1" applyBorder="1" applyAlignment="1">
      <alignment horizontal="center"/>
    </xf>
    <xf numFmtId="0" fontId="12" fillId="9" borderId="5" xfId="1" applyFont="1" applyFill="1" applyBorder="1"/>
    <xf numFmtId="0" fontId="23" fillId="9" borderId="4" xfId="1" applyFont="1" applyFill="1" applyBorder="1"/>
    <xf numFmtId="0" fontId="5" fillId="9" borderId="4" xfId="1" applyFont="1" applyFill="1" applyBorder="1"/>
    <xf numFmtId="0" fontId="12" fillId="9"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0" fontId="19" fillId="3" borderId="0" xfId="0" quotePrefix="1" applyFont="1" applyFill="1" applyBorder="1" applyAlignment="1">
      <alignment horizontal="center"/>
    </xf>
    <xf numFmtId="0" fontId="19" fillId="3" borderId="2" xfId="12" applyFont="1" applyFill="1" applyBorder="1"/>
    <xf numFmtId="0" fontId="19" fillId="3" borderId="3" xfId="12" applyFont="1" applyFill="1" applyBorder="1"/>
    <xf numFmtId="170" fontId="5" fillId="8" borderId="6" xfId="4" applyNumberFormat="1" applyFont="1" applyFill="1" applyBorder="1" applyAlignment="1">
      <alignment horizontal="center"/>
    </xf>
    <xf numFmtId="0" fontId="10" fillId="0" borderId="25" xfId="1" applyFont="1" applyFill="1" applyBorder="1" applyAlignment="1">
      <alignment horizontal="center" vertical="center" wrapText="1"/>
    </xf>
    <xf numFmtId="169" fontId="5" fillId="0" borderId="16" xfId="4" applyNumberFormat="1" applyFont="1" applyFill="1" applyBorder="1" applyAlignment="1">
      <alignment horizontal="center"/>
    </xf>
    <xf numFmtId="0" fontId="19" fillId="3" borderId="8" xfId="0" applyFont="1" applyFill="1" applyBorder="1"/>
    <xf numFmtId="0" fontId="31" fillId="3" borderId="0" xfId="0" applyFont="1" applyFill="1" applyBorder="1"/>
    <xf numFmtId="0" fontId="19" fillId="3" borderId="4" xfId="0" applyFont="1" applyFill="1" applyBorder="1"/>
    <xf numFmtId="170" fontId="19" fillId="0" borderId="26" xfId="11" applyNumberFormat="1" applyFont="1" applyBorder="1" applyAlignment="1"/>
    <xf numFmtId="0" fontId="19" fillId="3" borderId="1" xfId="0" applyFont="1" applyFill="1" applyBorder="1"/>
    <xf numFmtId="0" fontId="19" fillId="0" borderId="21" xfId="11" applyNumberFormat="1" applyFont="1" applyFill="1" applyBorder="1" applyAlignment="1">
      <alignment horizontal="right"/>
    </xf>
    <xf numFmtId="0" fontId="19" fillId="0" borderId="23" xfId="11" applyNumberFormat="1" applyFont="1" applyFill="1" applyBorder="1" applyAlignment="1">
      <alignment horizontal="right"/>
    </xf>
    <xf numFmtId="0" fontId="19" fillId="3" borderId="1" xfId="14" applyFont="1" applyFill="1" applyBorder="1" applyAlignment="1">
      <alignment horizontal="center"/>
    </xf>
    <xf numFmtId="0" fontId="19" fillId="3" borderId="2" xfId="14" applyFont="1" applyFill="1" applyBorder="1" applyAlignment="1">
      <alignment horizontal="center"/>
    </xf>
    <xf numFmtId="0" fontId="19" fillId="3" borderId="3" xfId="14" applyFont="1" applyFill="1" applyBorder="1" applyAlignment="1">
      <alignment horizontal="center"/>
    </xf>
    <xf numFmtId="0" fontId="19" fillId="3" borderId="4" xfId="14" applyFont="1" applyFill="1" applyBorder="1" applyAlignment="1">
      <alignment horizontal="center"/>
    </xf>
    <xf numFmtId="170" fontId="19" fillId="0" borderId="15" xfId="4" applyNumberFormat="1" applyFont="1" applyFill="1" applyBorder="1" applyAlignment="1"/>
    <xf numFmtId="0" fontId="19" fillId="0" borderId="21" xfId="14" applyFont="1" applyBorder="1"/>
    <xf numFmtId="0" fontId="19" fillId="3" borderId="0" xfId="14" applyFont="1" applyFill="1" applyBorder="1" applyAlignment="1">
      <alignment horizontal="center"/>
    </xf>
    <xf numFmtId="170" fontId="19" fillId="0" borderId="14" xfId="4" applyNumberFormat="1" applyFont="1" applyBorder="1" applyAlignment="1"/>
    <xf numFmtId="0" fontId="19" fillId="3" borderId="7" xfId="14" applyFont="1" applyFill="1" applyBorder="1" applyAlignment="1">
      <alignment horizontal="center"/>
    </xf>
    <xf numFmtId="170" fontId="19" fillId="0" borderId="22" xfId="4" applyNumberFormat="1" applyFont="1" applyFill="1" applyBorder="1" applyAlignment="1"/>
    <xf numFmtId="0" fontId="19" fillId="0" borderId="23" xfId="14" applyFont="1" applyBorder="1"/>
    <xf numFmtId="170" fontId="19" fillId="0" borderId="27" xfId="4" applyNumberFormat="1" applyFont="1" applyBorder="1" applyAlignment="1"/>
    <xf numFmtId="170" fontId="19" fillId="0" borderId="17" xfId="4" applyNumberFormat="1" applyFont="1" applyFill="1" applyBorder="1" applyAlignment="1"/>
    <xf numFmtId="0" fontId="19" fillId="0" borderId="25" xfId="14" applyFont="1" applyBorder="1"/>
    <xf numFmtId="170" fontId="19" fillId="0" borderId="26" xfId="4" applyNumberFormat="1" applyFont="1" applyBorder="1" applyAlignment="1"/>
    <xf numFmtId="170" fontId="21" fillId="0" borderId="17" xfId="4" applyNumberFormat="1" applyFont="1" applyFill="1" applyBorder="1" applyAlignment="1">
      <alignment horizontal="center" vertical="center" wrapText="1"/>
    </xf>
    <xf numFmtId="170" fontId="21" fillId="0" borderId="25" xfId="4" applyNumberFormat="1" applyFont="1" applyFill="1" applyBorder="1" applyAlignment="1">
      <alignment horizontal="center" vertical="center" wrapText="1"/>
    </xf>
    <xf numFmtId="170" fontId="21" fillId="0" borderId="5" xfId="4" applyNumberFormat="1" applyFont="1" applyFill="1" applyBorder="1" applyAlignment="1">
      <alignment horizontal="center" vertical="center" wrapText="1"/>
    </xf>
    <xf numFmtId="0" fontId="21" fillId="0" borderId="17" xfId="14" applyFont="1" applyBorder="1" applyAlignment="1">
      <alignment horizontal="center"/>
    </xf>
    <xf numFmtId="0" fontId="19" fillId="0" borderId="25" xfId="14" applyFont="1" applyBorder="1" applyAlignment="1">
      <alignment horizontal="center"/>
    </xf>
    <xf numFmtId="0" fontId="19" fillId="0" borderId="0" xfId="14" applyFont="1" applyFill="1" applyBorder="1"/>
    <xf numFmtId="0" fontId="19" fillId="3" borderId="0" xfId="14" applyFont="1" applyFill="1" applyBorder="1"/>
    <xf numFmtId="0" fontId="19" fillId="3" borderId="4" xfId="14" applyFont="1" applyFill="1" applyBorder="1"/>
    <xf numFmtId="0" fontId="31" fillId="3" borderId="0" xfId="14" applyFont="1" applyFill="1" applyBorder="1"/>
    <xf numFmtId="0" fontId="19" fillId="3" borderId="7" xfId="14" applyFont="1" applyFill="1" applyBorder="1"/>
    <xf numFmtId="0" fontId="19" fillId="3" borderId="8" xfId="14" applyFont="1" applyFill="1" applyBorder="1"/>
    <xf numFmtId="0" fontId="19" fillId="3" borderId="9" xfId="14" applyFont="1" applyFill="1" applyBorder="1"/>
    <xf numFmtId="0" fontId="19" fillId="3" borderId="10" xfId="14" applyFont="1" applyFill="1" applyBorder="1"/>
    <xf numFmtId="0" fontId="19" fillId="3" borderId="0" xfId="14" quotePrefix="1" applyFont="1" applyFill="1" applyBorder="1" applyAlignment="1">
      <alignment horizontal="center"/>
    </xf>
    <xf numFmtId="170" fontId="19" fillId="0" borderId="25" xfId="4" applyNumberFormat="1" applyFont="1" applyBorder="1"/>
    <xf numFmtId="170" fontId="19" fillId="0" borderId="23" xfId="4" applyNumberFormat="1" applyFont="1" applyBorder="1"/>
    <xf numFmtId="170" fontId="21" fillId="0" borderId="23" xfId="4" applyNumberFormat="1" applyFont="1" applyBorder="1"/>
    <xf numFmtId="170" fontId="19" fillId="0" borderId="21" xfId="4" applyNumberFormat="1" applyFont="1" applyBorder="1"/>
    <xf numFmtId="2" fontId="5" fillId="0" borderId="23" xfId="4" applyNumberFormat="1" applyFont="1" applyFill="1" applyBorder="1" applyAlignment="1">
      <alignment horizontal="center"/>
    </xf>
    <xf numFmtId="2" fontId="5" fillId="0" borderId="21"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0" fontId="19" fillId="0" borderId="22" xfId="11" quotePrefix="1" applyNumberFormat="1" applyFont="1" applyFill="1" applyBorder="1" applyAlignment="1"/>
    <xf numFmtId="170" fontId="19" fillId="0" borderId="15" xfId="11" quotePrefix="1" applyNumberFormat="1" applyFont="1" applyFill="1" applyBorder="1" applyAlignment="1"/>
    <xf numFmtId="170" fontId="19" fillId="0" borderId="17" xfId="14" quotePrefix="1" applyNumberFormat="1" applyFont="1" applyFill="1" applyBorder="1"/>
    <xf numFmtId="170" fontId="19" fillId="0" borderId="22" xfId="14" quotePrefix="1" applyNumberFormat="1" applyFont="1" applyFill="1" applyBorder="1"/>
    <xf numFmtId="170" fontId="19" fillId="0" borderId="15" xfId="14" quotePrefix="1" applyNumberFormat="1" applyFont="1" applyFill="1" applyBorder="1"/>
    <xf numFmtId="0" fontId="1" fillId="10" borderId="0" xfId="1" applyFill="1"/>
    <xf numFmtId="0" fontId="5" fillId="10" borderId="0" xfId="1" applyFont="1" applyFill="1" applyBorder="1"/>
    <xf numFmtId="0" fontId="7" fillId="6" borderId="31" xfId="1" applyFont="1" applyFill="1" applyBorder="1" applyAlignment="1">
      <alignment horizontal="center"/>
    </xf>
    <xf numFmtId="0" fontId="7" fillId="6" borderId="32" xfId="1" applyFont="1" applyFill="1" applyBorder="1" applyAlignment="1">
      <alignment horizontal="center"/>
    </xf>
    <xf numFmtId="0" fontId="7" fillId="6" borderId="33"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5">
    <cellStyle name="Euro" xfId="13"/>
    <cellStyle name="Migliaia (0)_AZIONI" xfId="5"/>
    <cellStyle name="Migliaia_AZIONI" xfId="6"/>
    <cellStyle name="Normal" xfId="0" builtinId="0"/>
    <cellStyle name="Normal 2" xfId="1"/>
    <cellStyle name="Normal 3" xfId="10"/>
    <cellStyle name="Normal_EUR_TurnOfYearQuotesFeed" xfId="14"/>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calcChain" Target="calcChain.xml"/><Relationship Id="rId8" Type="http://schemas.openxmlformats.org/officeDocument/2006/relationships/worksheet" Target="worksheets/sheet8.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Swaps1M!#REF!</c:f>
              <c:numCache>
                <c:formatCode>General</c:formatCode>
                <c:ptCount val="1"/>
                <c:pt idx="0">
                  <c:v>1</c:v>
                </c:pt>
              </c:numCache>
            </c:numRef>
          </c:xVal>
          <c:yVal>
            <c:numRef>
              <c:f>Swaps1M!#REF!</c:f>
              <c:numCache>
                <c:formatCode>General</c:formatCode>
                <c:ptCount val="1"/>
                <c:pt idx="0">
                  <c:v>1</c:v>
                </c:pt>
              </c:numCache>
            </c:numRef>
          </c:yVal>
          <c:smooth val="0"/>
        </c:ser>
        <c:dLbls>
          <c:showLegendKey val="0"/>
          <c:showVal val="0"/>
          <c:showCatName val="0"/>
          <c:showSerName val="0"/>
          <c:showPercent val="0"/>
          <c:showBubbleSize val="0"/>
        </c:dLbls>
        <c:axId val="409504768"/>
        <c:axId val="409519232"/>
      </c:scatterChart>
      <c:valAx>
        <c:axId val="409504768"/>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409519232"/>
        <c:crosses val="autoZero"/>
        <c:crossBetween val="midCat"/>
      </c:valAx>
      <c:valAx>
        <c:axId val="409519232"/>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409504768"/>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FRA</c:v>
          </c:tx>
          <c:spPr>
            <a:ln w="28575">
              <a:noFill/>
            </a:ln>
          </c:spPr>
          <c:marker>
            <c:symbol val="diamond"/>
            <c:size val="5"/>
            <c:spPr>
              <a:solidFill>
                <a:srgbClr val="000080"/>
              </a:solidFill>
              <a:ln>
                <a:solidFill>
                  <a:srgbClr val="000080"/>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ser>
          <c:idx val="1"/>
          <c:order val="1"/>
          <c:tx>
            <c:v>Spot</c:v>
          </c:tx>
          <c:spPr>
            <a:ln w="28575">
              <a:noFill/>
            </a:ln>
          </c:spPr>
          <c:marker>
            <c:symbol val="square"/>
            <c:size val="5"/>
            <c:spPr>
              <a:solidFill>
                <a:srgbClr val="FF00FF"/>
              </a:solidFill>
              <a:ln>
                <a:solidFill>
                  <a:srgbClr val="FF00FF"/>
                </a:solidFill>
                <a:prstDash val="solid"/>
              </a:ln>
            </c:spPr>
          </c:marker>
          <c:xVal>
            <c:numRef>
              <c:f>BasisSwap3M6M!#REF!</c:f>
              <c:numCache>
                <c:formatCode>General</c:formatCode>
                <c:ptCount val="1"/>
                <c:pt idx="0">
                  <c:v>1</c:v>
                </c:pt>
              </c:numCache>
            </c:numRef>
          </c:xVal>
          <c:yVal>
            <c:numRef>
              <c:f>BasisSwap3M6M!#REF!</c:f>
              <c:numCache>
                <c:formatCode>General</c:formatCode>
                <c:ptCount val="1"/>
                <c:pt idx="0">
                  <c:v>1</c:v>
                </c:pt>
              </c:numCache>
            </c:numRef>
          </c:yVal>
          <c:smooth val="0"/>
        </c:ser>
        <c:dLbls>
          <c:showLegendKey val="0"/>
          <c:showVal val="0"/>
          <c:showCatName val="0"/>
          <c:showSerName val="0"/>
          <c:showPercent val="0"/>
          <c:showBubbleSize val="0"/>
        </c:dLbls>
        <c:axId val="409589632"/>
        <c:axId val="409612288"/>
      </c:scatterChart>
      <c:valAx>
        <c:axId val="409589632"/>
        <c:scaling>
          <c:orientation val="minMax"/>
        </c:scaling>
        <c:delete val="0"/>
        <c:axPos val="b"/>
        <c:numFmt formatCode="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409612288"/>
        <c:crosses val="autoZero"/>
        <c:crossBetween val="midCat"/>
      </c:valAx>
      <c:valAx>
        <c:axId val="409612288"/>
        <c:scaling>
          <c:orientation val="minMax"/>
          <c:min val="0.03"/>
        </c:scaling>
        <c:delete val="0"/>
        <c:axPos val="l"/>
        <c:majorGridlines>
          <c:spPr>
            <a:ln w="3175">
              <a:solidFill>
                <a:srgbClr val="000000"/>
              </a:solidFill>
              <a:prstDash val="solid"/>
            </a:ln>
          </c:spPr>
        </c:majorGridlines>
        <c:numFmt formatCode="0.00%" sourceLinked="0"/>
        <c:majorTickMark val="out"/>
        <c:minorTickMark val="none"/>
        <c:tickLblPos val="nextTo"/>
        <c:spPr>
          <a:ln w="3175">
            <a:solidFill>
              <a:srgbClr val="000000"/>
            </a:solidFill>
            <a:prstDash val="solid"/>
          </a:ln>
        </c:spPr>
        <c:txPr>
          <a:bodyPr rot="0" vert="horz"/>
          <a:lstStyle/>
          <a:p>
            <a:pPr>
              <a:defRPr sz="125" b="0" i="0" u="none" strike="noStrike" baseline="0">
                <a:solidFill>
                  <a:srgbClr val="000000"/>
                </a:solidFill>
                <a:latin typeface="Arial"/>
                <a:ea typeface="Arial"/>
                <a:cs typeface="Arial"/>
              </a:defRPr>
            </a:pPr>
            <a:endParaRPr lang="en-US"/>
          </a:p>
        </c:txPr>
        <c:crossAx val="409589632"/>
        <c:crosses val="autoZero"/>
        <c:crossBetween val="midCat"/>
      </c:valAx>
      <c:spPr>
        <a:solidFill>
          <a:srgbClr val="C0C0C0"/>
        </a:solidFill>
        <a:ln w="12700">
          <a:solidFill>
            <a:srgbClr val="808080"/>
          </a:solidFill>
          <a:prstDash val="solid"/>
        </a:ln>
      </c:spPr>
    </c:plotArea>
    <c:legend>
      <c:legendPos val="r"/>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171450</xdr:colOff>
      <xdr:row>14</xdr:row>
      <xdr:rowOff>0</xdr:rowOff>
    </xdr:from>
    <xdr:to>
      <xdr:col>15</xdr:col>
      <xdr:colOff>0</xdr:colOff>
      <xdr:row>14</xdr:row>
      <xdr:rowOff>0</xdr:rowOff>
    </xdr:to>
    <xdr:graphicFrame macro="">
      <xdr:nvGraphicFramePr>
        <xdr:cNvPr id="2"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14</xdr:col>
      <xdr:colOff>171450</xdr:colOff>
      <xdr:row>20</xdr:row>
      <xdr:rowOff>0</xdr:rowOff>
    </xdr:from>
    <xdr:to>
      <xdr:col>15</xdr:col>
      <xdr:colOff>0</xdr:colOff>
      <xdr:row>20</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EUR_SynthDepoQuotesFeed.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EUR_Synth1YFRAQuotesFe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Triggers"/>
      <sheetName val="Calculation"/>
    </sheetNames>
    <sheetDataSet>
      <sheetData sheetId="0"/>
      <sheetData sheetId="1"/>
      <sheetData sheetId="2">
        <row r="34">
          <cell r="G34" t="e">
            <v>#NUM!</v>
          </cell>
          <cell r="H34" t="e">
            <v>#NUM!</v>
          </cell>
          <cell r="J34" t="e">
            <v>#NUM!</v>
          </cell>
          <cell r="P34" t="e">
            <v>#NUM!</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Triggers"/>
      <sheetName val="RateHelpers"/>
      <sheetName val="Calculation"/>
    </sheetNames>
    <sheetDataSet>
      <sheetData sheetId="0"/>
      <sheetData sheetId="1"/>
      <sheetData sheetId="2"/>
      <sheetData sheetId="3">
        <row r="8">
          <cell r="N8" t="e">
            <v>#NUM!</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workbookViewId="0"/>
  </sheetViews>
  <sheetFormatPr defaultRowHeight="12.75" x14ac:dyDescent="0.2"/>
  <cols>
    <col min="1" max="2" width="2.7109375" style="584" customWidth="1"/>
    <col min="3" max="3" width="14.85546875" style="584" bestFit="1" customWidth="1"/>
    <col min="4" max="4" width="21.42578125" style="584" bestFit="1" customWidth="1"/>
    <col min="5" max="5" width="20.7109375" style="584" bestFit="1" customWidth="1"/>
    <col min="6" max="8" width="2.7109375" style="584" customWidth="1"/>
    <col min="9" max="9" width="12.140625" style="584" bestFit="1" customWidth="1"/>
    <col min="10" max="10" width="53.7109375" style="584" bestFit="1" customWidth="1"/>
    <col min="11" max="11" width="2.7109375" style="584" customWidth="1"/>
    <col min="12" max="16384" width="9.140625" style="584"/>
  </cols>
  <sheetData>
    <row r="1" spans="1:11" ht="13.5" thickBot="1" x14ac:dyDescent="0.25">
      <c r="A1" s="584" t="s">
        <v>293</v>
      </c>
      <c r="B1" s="584" t="str">
        <f>_xll.qlxlVersion(TRUE,Trigger)</f>
        <v>QuantLibXL 1.4.0-debug - MS VC++ 9.0 - Multithreaded Static Runtime library - Debug Configuration - Feb 24 2014 11:23:08</v>
      </c>
    </row>
    <row r="2" spans="1:11" ht="16.5" thickBot="1" x14ac:dyDescent="0.3">
      <c r="B2" s="586" t="s">
        <v>292</v>
      </c>
      <c r="C2" s="587"/>
      <c r="D2" s="587"/>
      <c r="E2" s="587"/>
      <c r="F2" s="588"/>
      <c r="H2" s="586" t="s">
        <v>20</v>
      </c>
      <c r="I2" s="587"/>
      <c r="J2" s="587"/>
      <c r="K2" s="588"/>
    </row>
    <row r="3" spans="1:11" x14ac:dyDescent="0.2">
      <c r="B3" s="391"/>
      <c r="C3" s="405"/>
      <c r="D3" s="405"/>
      <c r="E3" s="405"/>
      <c r="F3" s="404"/>
      <c r="H3" s="9"/>
      <c r="I3" s="12"/>
      <c r="J3" s="12"/>
      <c r="K3" s="5"/>
    </row>
    <row r="4" spans="1:11" x14ac:dyDescent="0.2">
      <c r="B4" s="391"/>
      <c r="C4" s="492" t="s">
        <v>13</v>
      </c>
      <c r="D4" s="495" t="s">
        <v>110</v>
      </c>
      <c r="E4" s="401"/>
      <c r="F4" s="393"/>
      <c r="H4" s="9"/>
      <c r="I4" s="15" t="s">
        <v>19</v>
      </c>
      <c r="J4" s="14">
        <v>41709.410243055558</v>
      </c>
      <c r="K4" s="13"/>
    </row>
    <row r="5" spans="1:11" x14ac:dyDescent="0.2">
      <c r="B5" s="391"/>
      <c r="C5" s="493" t="s">
        <v>19</v>
      </c>
      <c r="D5" s="496">
        <v>41479.711631944447</v>
      </c>
      <c r="E5" s="401"/>
      <c r="F5" s="393"/>
      <c r="H5" s="9"/>
      <c r="I5" s="15" t="s">
        <v>18</v>
      </c>
      <c r="J5" s="14" t="b">
        <v>1</v>
      </c>
      <c r="K5" s="13"/>
    </row>
    <row r="6" spans="1:11" x14ac:dyDescent="0.2">
      <c r="B6" s="391"/>
      <c r="C6" s="493" t="s">
        <v>291</v>
      </c>
      <c r="D6" s="497" t="s">
        <v>290</v>
      </c>
      <c r="E6" s="401"/>
      <c r="F6" s="393"/>
      <c r="H6" s="9"/>
      <c r="I6" s="15" t="s">
        <v>17</v>
      </c>
      <c r="J6" s="14" t="b">
        <v>0</v>
      </c>
      <c r="K6" s="13"/>
    </row>
    <row r="7" spans="1:11" x14ac:dyDescent="0.2">
      <c r="B7" s="391"/>
      <c r="C7" s="493" t="s">
        <v>289</v>
      </c>
      <c r="D7" s="498">
        <f ca="1">_xll.ohTrigger(Deposits!P3,FRA!W3,Futures3M!Z5,FuturesHWConvAdj!Q3,Swaps1M!Y3,Swap3M!AC3,SwapsIMMDated!Y3,Swap6M!AC3,BasisSwap1MxM!AC3,BasisSwap3M6M!AC3,BasisSwapxM12M!AC3,OIS!Y3)</f>
        <v>35</v>
      </c>
      <c r="E7" s="401"/>
      <c r="F7" s="393"/>
      <c r="H7" s="9"/>
      <c r="I7" s="15" t="s">
        <v>16</v>
      </c>
      <c r="J7" s="14" t="b">
        <v>1</v>
      </c>
      <c r="K7" s="13"/>
    </row>
    <row r="8" spans="1:11" x14ac:dyDescent="0.2">
      <c r="B8" s="391"/>
      <c r="C8" s="493" t="s">
        <v>288</v>
      </c>
      <c r="D8" s="498" t="s">
        <v>287</v>
      </c>
      <c r="E8" s="401"/>
      <c r="F8" s="393"/>
      <c r="H8" s="9"/>
      <c r="I8" s="15" t="s">
        <v>15</v>
      </c>
      <c r="J8" s="20" t="str">
        <f ca="1">SUBSTITUTE(LEFT(CELL("filename",A1),FIND("[",CELL("filename",A1),1)-1),"\XLS\","\XML\")</f>
        <v>C:\Users\erik\Documents\repos\quantlib.memleak\QuantLibXL\Data2\XML\</v>
      </c>
      <c r="K8" s="13"/>
    </row>
    <row r="9" spans="1:11" x14ac:dyDescent="0.2">
      <c r="B9" s="391"/>
      <c r="C9" s="494" t="s">
        <v>316</v>
      </c>
      <c r="D9" s="499">
        <f>_xll.qlSettingsEvaluationDate(Trigger)</f>
        <v>41709</v>
      </c>
      <c r="E9" s="401"/>
      <c r="F9" s="393"/>
      <c r="H9" s="9"/>
      <c r="I9" s="15" t="s">
        <v>14</v>
      </c>
      <c r="J9" s="19" t="b">
        <v>1</v>
      </c>
      <c r="K9" s="13"/>
    </row>
    <row r="10" spans="1:11" x14ac:dyDescent="0.2">
      <c r="B10" s="391"/>
      <c r="C10" s="401"/>
      <c r="D10" s="314"/>
      <c r="E10" s="401"/>
      <c r="F10" s="393"/>
      <c r="H10" s="9"/>
      <c r="I10" s="15" t="s">
        <v>13</v>
      </c>
      <c r="J10" s="36" t="s">
        <v>110</v>
      </c>
      <c r="K10" s="13"/>
    </row>
    <row r="11" spans="1:11" ht="13.5" thickBot="1" x14ac:dyDescent="0.25">
      <c r="B11" s="391"/>
      <c r="C11" s="403" t="s">
        <v>235</v>
      </c>
      <c r="D11" s="402" t="s">
        <v>286</v>
      </c>
      <c r="E11" s="401"/>
      <c r="F11" s="393"/>
      <c r="H11" s="4"/>
      <c r="I11" s="3"/>
      <c r="J11" s="3"/>
      <c r="K11" s="2"/>
    </row>
    <row r="12" spans="1:11" ht="13.5" thickBot="1" x14ac:dyDescent="0.25">
      <c r="B12" s="391"/>
      <c r="C12" s="400" t="s">
        <v>225</v>
      </c>
      <c r="D12" s="399" t="str">
        <f>""</f>
        <v/>
      </c>
      <c r="E12" s="401"/>
      <c r="F12" s="393"/>
    </row>
    <row r="13" spans="1:11" ht="16.5" thickBot="1" x14ac:dyDescent="0.3">
      <c r="B13" s="391"/>
      <c r="C13" s="400" t="s">
        <v>224</v>
      </c>
      <c r="D13" s="399" t="s">
        <v>223</v>
      </c>
      <c r="E13" s="396"/>
      <c r="F13" s="393"/>
      <c r="H13" s="586" t="s">
        <v>136</v>
      </c>
      <c r="I13" s="587"/>
      <c r="J13" s="587"/>
      <c r="K13" s="588"/>
    </row>
    <row r="14" spans="1:11" x14ac:dyDescent="0.2">
      <c r="B14" s="391"/>
      <c r="C14" s="400" t="s">
        <v>222</v>
      </c>
      <c r="D14" s="399" t="s">
        <v>222</v>
      </c>
      <c r="E14" s="396"/>
      <c r="F14" s="393"/>
      <c r="H14" s="9"/>
      <c r="I14" s="12"/>
      <c r="J14" s="12"/>
      <c r="K14" s="5"/>
    </row>
    <row r="15" spans="1:11" x14ac:dyDescent="0.2">
      <c r="B15" s="391"/>
      <c r="C15" s="400" t="s">
        <v>221</v>
      </c>
      <c r="D15" s="399" t="s">
        <v>220</v>
      </c>
      <c r="E15" s="396"/>
      <c r="F15" s="393"/>
      <c r="H15" s="9"/>
      <c r="I15" s="15" t="s">
        <v>135</v>
      </c>
      <c r="J15" s="19" t="s">
        <v>134</v>
      </c>
      <c r="K15" s="13"/>
    </row>
    <row r="16" spans="1:11" x14ac:dyDescent="0.2">
      <c r="B16" s="391"/>
      <c r="C16" s="400" t="s">
        <v>219</v>
      </c>
      <c r="D16" s="399" t="s">
        <v>218</v>
      </c>
      <c r="E16" s="396"/>
      <c r="F16" s="393"/>
      <c r="H16" s="9"/>
      <c r="I16" s="15" t="s">
        <v>133</v>
      </c>
      <c r="J16" s="102">
        <v>1E-4</v>
      </c>
      <c r="K16" s="13"/>
    </row>
    <row r="17" spans="2:11" x14ac:dyDescent="0.2">
      <c r="B17" s="391"/>
      <c r="C17" s="400" t="s">
        <v>217</v>
      </c>
      <c r="D17" s="399" t="s">
        <v>216</v>
      </c>
      <c r="E17" s="396"/>
      <c r="F17" s="393"/>
      <c r="H17" s="9"/>
      <c r="I17" s="15" t="s">
        <v>132</v>
      </c>
      <c r="J17" s="101">
        <v>-0.01</v>
      </c>
      <c r="K17" s="13"/>
    </row>
    <row r="18" spans="2:11" x14ac:dyDescent="0.2">
      <c r="B18" s="391"/>
      <c r="C18" s="398" t="s">
        <v>215</v>
      </c>
      <c r="D18" s="397" t="s">
        <v>213</v>
      </c>
      <c r="E18" s="396"/>
      <c r="F18" s="393"/>
      <c r="H18" s="9"/>
      <c r="I18" s="15" t="s">
        <v>41</v>
      </c>
      <c r="J18" s="14" t="s">
        <v>40</v>
      </c>
      <c r="K18" s="13"/>
    </row>
    <row r="19" spans="2:11" x14ac:dyDescent="0.2">
      <c r="B19" s="391"/>
      <c r="C19" s="390"/>
      <c r="D19" s="390"/>
      <c r="E19" s="390"/>
      <c r="F19" s="393"/>
      <c r="H19" s="9"/>
      <c r="I19" s="15" t="s">
        <v>106</v>
      </c>
      <c r="J19" s="14" t="s">
        <v>105</v>
      </c>
      <c r="K19" s="13"/>
    </row>
    <row r="20" spans="2:11" ht="13.5" thickBot="1" x14ac:dyDescent="0.25">
      <c r="B20" s="391"/>
      <c r="C20" s="390"/>
      <c r="D20" s="390"/>
      <c r="E20" s="390"/>
      <c r="F20" s="393"/>
      <c r="H20" s="4"/>
      <c r="I20" s="3"/>
      <c r="J20" s="3"/>
      <c r="K20" s="2"/>
    </row>
    <row r="21" spans="2:11" x14ac:dyDescent="0.2">
      <c r="B21" s="391"/>
      <c r="C21" s="390"/>
      <c r="D21" s="389" t="s">
        <v>285</v>
      </c>
      <c r="E21" s="395">
        <v>41479.71230324074</v>
      </c>
      <c r="F21" s="49"/>
    </row>
    <row r="22" spans="2:11" x14ac:dyDescent="0.2">
      <c r="B22" s="391"/>
      <c r="C22" s="390"/>
      <c r="D22" s="394"/>
      <c r="E22" s="392"/>
      <c r="F22" s="393"/>
    </row>
    <row r="23" spans="2:11" x14ac:dyDescent="0.2">
      <c r="B23" s="391"/>
      <c r="C23" s="390"/>
      <c r="D23" s="389"/>
      <c r="E23" s="392"/>
      <c r="F23" s="49"/>
    </row>
    <row r="24" spans="2:11" ht="11.25" customHeight="1" x14ac:dyDescent="0.2">
      <c r="B24" s="391"/>
      <c r="C24" s="390"/>
      <c r="D24" s="389" t="s">
        <v>284</v>
      </c>
      <c r="E24" s="388" t="b">
        <v>0</v>
      </c>
      <c r="F24" s="49"/>
    </row>
    <row r="25" spans="2:11" ht="13.5" thickBot="1" x14ac:dyDescent="0.25">
      <c r="B25" s="387"/>
      <c r="C25" s="47"/>
      <c r="D25" s="47"/>
      <c r="E25" s="47"/>
      <c r="F25" s="46"/>
    </row>
    <row r="26" spans="2:11" x14ac:dyDescent="0.2">
      <c r="C26" s="585"/>
      <c r="D26" s="585"/>
      <c r="E26" s="585"/>
      <c r="F26" s="585"/>
    </row>
    <row r="27" spans="2:11" x14ac:dyDescent="0.2">
      <c r="C27" s="585"/>
      <c r="D27" s="585"/>
      <c r="E27" s="585"/>
      <c r="F27" s="585"/>
    </row>
    <row r="28" spans="2:11" x14ac:dyDescent="0.2">
      <c r="C28" s="585"/>
      <c r="D28" s="585"/>
      <c r="E28" s="585"/>
      <c r="F28" s="585"/>
    </row>
    <row r="29" spans="2:11" x14ac:dyDescent="0.2">
      <c r="C29" s="585"/>
      <c r="D29" s="585"/>
      <c r="E29" s="585"/>
      <c r="F29" s="585"/>
    </row>
    <row r="30" spans="2:11" x14ac:dyDescent="0.2">
      <c r="C30" s="585"/>
      <c r="D30" s="585"/>
      <c r="E30" s="585"/>
      <c r="F30" s="585"/>
    </row>
    <row r="31" spans="2:11" x14ac:dyDescent="0.2">
      <c r="C31" s="585"/>
      <c r="D31" s="585"/>
      <c r="E31" s="585"/>
      <c r="F31" s="585"/>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2</xdr:col>
                <xdr:colOff>0</xdr:colOff>
                <xdr:row>19</xdr:row>
                <xdr:rowOff>57150</xdr:rowOff>
              </from>
              <to>
                <xdr:col>3</xdr:col>
                <xdr:colOff>390525</xdr:colOff>
                <xdr:row>21</xdr:row>
                <xdr:rowOff>38100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2</xdr:col>
                <xdr:colOff>0</xdr:colOff>
                <xdr:row>21</xdr:row>
                <xdr:rowOff>123825</xdr:rowOff>
              </from>
              <to>
                <xdr:col>3</xdr:col>
                <xdr:colOff>390525</xdr:colOff>
                <xdr:row>23</xdr:row>
                <xdr:rowOff>114300</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24" t="s">
        <v>317</v>
      </c>
      <c r="Q1" s="424"/>
      <c r="R1" s="424"/>
      <c r="S1" s="429"/>
      <c r="T1" s="437"/>
      <c r="U1" s="475"/>
      <c r="V1" s="475"/>
      <c r="W1" s="424"/>
      <c r="X1" s="429"/>
      <c r="Y1" s="424"/>
      <c r="Z1" s="424"/>
      <c r="AA1" s="424"/>
      <c r="AB1" s="424"/>
      <c r="AC1" s="424"/>
      <c r="AD1" s="424"/>
      <c r="AE1" s="424"/>
      <c r="AF1" s="424"/>
    </row>
    <row r="2" spans="1:32" s="21" customFormat="1" ht="19.5" x14ac:dyDescent="0.4">
      <c r="B2" s="41"/>
      <c r="C2" s="40"/>
      <c r="D2" s="40"/>
      <c r="E2" s="40"/>
      <c r="F2" s="40"/>
      <c r="G2" s="40"/>
      <c r="H2" s="40"/>
      <c r="I2" s="39"/>
      <c r="J2" s="38"/>
      <c r="K2" s="38"/>
      <c r="L2" s="38"/>
      <c r="M2" s="38"/>
      <c r="N2" s="37"/>
      <c r="P2" s="424"/>
      <c r="Q2" s="474"/>
      <c r="R2" s="468"/>
      <c r="S2" s="473" t="str">
        <f>VLOOKUP(Currency,Traits,2,FALSE)</f>
        <v>IBOR</v>
      </c>
      <c r="T2" s="472"/>
      <c r="U2" s="471"/>
      <c r="V2" s="471"/>
      <c r="W2" s="468"/>
      <c r="X2" s="468"/>
      <c r="Y2" s="470" t="str">
        <f>VLOOKUP(Currency,Traits,3,FALSE)</f>
        <v>ibor</v>
      </c>
      <c r="Z2" s="468"/>
      <c r="AA2" s="468"/>
      <c r="AB2" s="469">
        <f>MAX(AD8:AD22)</f>
        <v>0</v>
      </c>
      <c r="AC2" s="468"/>
      <c r="AD2" s="468"/>
      <c r="AE2" s="467"/>
      <c r="AF2" s="424"/>
    </row>
    <row r="3" spans="1:32" s="21" customFormat="1" ht="33.75" x14ac:dyDescent="0.2">
      <c r="B3" s="26"/>
      <c r="C3" s="12"/>
      <c r="D3" s="15" t="s">
        <v>13</v>
      </c>
      <c r="E3" s="14" t="s">
        <v>12</v>
      </c>
      <c r="F3" s="12"/>
      <c r="G3" s="35"/>
      <c r="H3" s="35"/>
      <c r="I3" s="15" t="s">
        <v>41</v>
      </c>
      <c r="J3" s="36" t="s">
        <v>40</v>
      </c>
      <c r="K3" s="34"/>
      <c r="L3" s="34"/>
      <c r="M3" s="34"/>
      <c r="N3" s="27"/>
      <c r="P3" s="424"/>
      <c r="Q3" s="453"/>
      <c r="R3" s="465" t="s">
        <v>39</v>
      </c>
      <c r="S3" s="464" t="e">
        <f ca="1">_xll.RData(S8:S22,T3:U3,,,,T8)</f>
        <v>#NAME?</v>
      </c>
      <c r="T3" s="464" t="s">
        <v>301</v>
      </c>
      <c r="U3" s="464" t="s">
        <v>227</v>
      </c>
      <c r="V3" s="464" t="s">
        <v>300</v>
      </c>
      <c r="W3" s="463" t="s">
        <v>299</v>
      </c>
      <c r="X3" s="466"/>
      <c r="Y3" s="465" t="s">
        <v>238</v>
      </c>
      <c r="Z3" s="464" t="s">
        <v>298</v>
      </c>
      <c r="AA3" s="464" t="s">
        <v>297</v>
      </c>
      <c r="AB3" s="464" t="s">
        <v>296</v>
      </c>
      <c r="AC3" s="463" t="s">
        <v>295</v>
      </c>
      <c r="AD3" s="462"/>
      <c r="AE3" s="443"/>
      <c r="AF3" s="424"/>
    </row>
    <row r="4" spans="1:32" s="21" customFormat="1" x14ac:dyDescent="0.2">
      <c r="B4" s="26"/>
      <c r="C4" s="12"/>
      <c r="D4" s="12"/>
      <c r="E4" s="12"/>
      <c r="F4" s="12"/>
      <c r="G4" s="35"/>
      <c r="H4" s="35"/>
      <c r="I4" s="34"/>
      <c r="J4" s="34"/>
      <c r="K4" s="34"/>
      <c r="L4" s="34"/>
      <c r="M4" s="34"/>
      <c r="N4" s="27"/>
      <c r="P4" s="424"/>
      <c r="Q4" s="453"/>
      <c r="R4" s="500"/>
      <c r="S4" s="501"/>
      <c r="T4" s="501"/>
      <c r="U4" s="501"/>
      <c r="V4" s="501"/>
      <c r="W4" s="502"/>
      <c r="X4" s="466"/>
      <c r="Y4" s="500"/>
      <c r="Z4" s="501"/>
      <c r="AA4" s="501"/>
      <c r="AB4" s="501"/>
      <c r="AC4" s="502"/>
      <c r="AD4" s="503"/>
      <c r="AE4" s="443"/>
      <c r="AF4" s="424"/>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24"/>
      <c r="Q5" s="453"/>
      <c r="R5" s="500"/>
      <c r="S5" s="501"/>
      <c r="T5" s="501"/>
      <c r="U5" s="501"/>
      <c r="V5" s="501"/>
      <c r="W5" s="502"/>
      <c r="X5" s="466"/>
      <c r="Y5" s="500"/>
      <c r="Z5" s="501"/>
      <c r="AA5" s="501"/>
      <c r="AB5" s="501"/>
      <c r="AC5" s="502"/>
      <c r="AD5" s="503"/>
      <c r="AE5" s="443"/>
      <c r="AF5" s="424"/>
    </row>
    <row r="6" spans="1:32" s="21" customFormat="1" x14ac:dyDescent="0.2">
      <c r="B6" s="26"/>
      <c r="C6" s="8" t="s">
        <v>11</v>
      </c>
      <c r="D6" s="8" t="str">
        <f t="shared" ref="D6:D22" si="0">Currency&amp;C6</f>
        <v>EURYC</v>
      </c>
      <c r="E6" s="7" t="str">
        <f>_xll.qlRelinkableHandleYieldTermStructure(D6,,Permanent,Trigger,ObjectOverwrite)</f>
        <v>EURYC#0000</v>
      </c>
      <c r="F6" s="6" t="str">
        <f>_xll.ohRangeRetrieveError(E6)</f>
        <v/>
      </c>
      <c r="G6" s="25" t="s">
        <v>37</v>
      </c>
      <c r="H6" s="24" t="s">
        <v>11</v>
      </c>
      <c r="I6" s="28"/>
      <c r="J6" s="22" t="str">
        <f>_xll.qlEonia(G6,E6,Permanent,Trigger,ObjectOverwrite)</f>
        <v>Eonia2#0000</v>
      </c>
      <c r="K6" s="22"/>
      <c r="L6" s="7" t="str">
        <f>_xll.ohRangeRetrieveError(J6)</f>
        <v/>
      </c>
      <c r="M6" s="7" t="str">
        <f>_xll.ohRangeRetrieveError(K6)</f>
        <v/>
      </c>
      <c r="N6" s="27"/>
      <c r="P6" s="424"/>
      <c r="Q6" s="453"/>
      <c r="R6" s="500"/>
      <c r="S6" s="501"/>
      <c r="T6" s="501"/>
      <c r="U6" s="501"/>
      <c r="V6" s="501"/>
      <c r="W6" s="502"/>
      <c r="X6" s="466"/>
      <c r="Y6" s="500"/>
      <c r="Z6" s="501"/>
      <c r="AA6" s="501"/>
      <c r="AB6" s="501"/>
      <c r="AC6" s="502"/>
      <c r="AD6" s="503"/>
      <c r="AE6" s="443"/>
      <c r="AF6" s="424"/>
    </row>
    <row r="7" spans="1:32" s="21" customFormat="1" x14ac:dyDescent="0.2">
      <c r="B7" s="26"/>
      <c r="C7" s="8" t="s">
        <v>10</v>
      </c>
      <c r="D7" s="8" t="str">
        <f t="shared" si="0"/>
        <v>EURYCSTD</v>
      </c>
      <c r="E7" s="7" t="str">
        <f>_xll.qlRelinkableHandleYieldTermStructure(D7,,Permanent,Trigger,ObjectOverwrite)</f>
        <v>EURYCSTD#0000</v>
      </c>
      <c r="F7" s="6" t="str">
        <f>_xll.ohRangeRetrieveError(E7)</f>
        <v/>
      </c>
      <c r="G7" s="25" t="s">
        <v>36</v>
      </c>
      <c r="H7" s="24" t="s">
        <v>9</v>
      </c>
      <c r="I7" s="28" t="s">
        <v>36</v>
      </c>
      <c r="J7" s="22" t="str">
        <f>_xll.qlEonia(G7,E7,Permanent,Trigger,ObjectOverwrite)</f>
        <v>Eonia#0000</v>
      </c>
      <c r="K7" s="22" t="str">
        <f>_xll.qlLastFixingQuote(I7&amp;"LastFixing_Quote",J7,Permanent,Trigger,ObjectOverwrite)</f>
        <v>EoniaLastFixing_Quote#0000</v>
      </c>
      <c r="L7" s="7" t="str">
        <f>_xll.ohRangeRetrieveError(J7)</f>
        <v/>
      </c>
      <c r="M7" s="7" t="str">
        <f>_xll.ohRangeRetrieveError(K7)</f>
        <v/>
      </c>
      <c r="N7" s="27"/>
      <c r="P7" s="424"/>
      <c r="Q7" s="453"/>
      <c r="R7" s="500"/>
      <c r="S7" s="501"/>
      <c r="T7" s="501"/>
      <c r="U7" s="501"/>
      <c r="V7" s="501"/>
      <c r="W7" s="502"/>
      <c r="X7" s="466"/>
      <c r="Y7" s="500"/>
      <c r="Z7" s="501"/>
      <c r="AA7" s="501"/>
      <c r="AB7" s="501"/>
      <c r="AC7" s="502"/>
      <c r="AD7" s="503"/>
      <c r="AE7" s="443"/>
      <c r="AF7" s="424"/>
    </row>
    <row r="8" spans="1:32" s="21" customFormat="1" x14ac:dyDescent="0.2">
      <c r="B8" s="26"/>
      <c r="C8" s="8" t="s">
        <v>9</v>
      </c>
      <c r="D8" s="8" t="str">
        <f t="shared" si="0"/>
        <v>EURiborYCON</v>
      </c>
      <c r="E8" s="7" t="str">
        <f>_xll.qlRelinkableHandleYieldTermStructure(D8,,Permanent,Trigger,ObjectOverwrite)</f>
        <v>EURiborYCON#0000</v>
      </c>
      <c r="F8" s="6" t="str">
        <f>_xll.ohRangeRetrieveError(E8)</f>
        <v/>
      </c>
      <c r="G8" s="25" t="s">
        <v>35</v>
      </c>
      <c r="H8" s="24" t="s">
        <v>9</v>
      </c>
      <c r="I8" s="23" t="str">
        <f t="shared" ref="I8:I22" si="1">PROPER(Currency)&amp;FamilyName&amp;$G8</f>
        <v>EuriborSW</v>
      </c>
      <c r="J8" s="22" t="str">
        <f>_xll.qlEuribor(I8,G8,E8,Permanent,Trigger,ObjectOverwrite)</f>
        <v>EuriborSW#0000</v>
      </c>
      <c r="K8" s="22" t="str">
        <f>_xll.qlLastFixingQuote(I8&amp;"LastFixing_Quote",J8,Permanent,Trigger,ObjectOverwrite)</f>
        <v>EuriborSWLastFixing_Quote#0000</v>
      </c>
      <c r="L8" s="7" t="str">
        <f>_xll.ohRangeRetrieveError(J8)</f>
        <v/>
      </c>
      <c r="M8" s="7" t="str">
        <f>_xll.ohRangeRetrieveError(K8)</f>
        <v/>
      </c>
      <c r="N8" s="5"/>
      <c r="P8" s="424"/>
      <c r="Q8" s="453"/>
      <c r="R8" s="461" t="s">
        <v>35</v>
      </c>
      <c r="S8" s="456" t="str">
        <f t="shared" ref="S8:S22" si="2">Currency&amp;$S$2&amp;$R8&amp;"D="</f>
        <v>EURIBORSWD=</v>
      </c>
      <c r="T8" s="460">
        <v>41479</v>
      </c>
      <c r="U8" s="459">
        <v>0.107</v>
      </c>
      <c r="V8" s="459" t="b">
        <f>IF(AND(ISNUMBER($U8),$U8&lt;&gt;0%,_xll.ohTrigger(Trigger)+1),TRUE,FALSE)</f>
        <v>1</v>
      </c>
      <c r="W8" s="458" t="b">
        <f>IF($V8,_xll.qlIndexAddFixings($Y8,$T8,$U8/100,TRUE,ISERROR($Z8)),NA())</f>
        <v>1</v>
      </c>
      <c r="X8" s="448"/>
      <c r="Y8" s="457" t="str">
        <f>J8</f>
        <v>EuriborSW#0000</v>
      </c>
      <c r="Z8" s="456" t="e">
        <f>_xll.qlIndexFixing($Y8,$T8,TRUE,$V8)</f>
        <v>#NUM!</v>
      </c>
      <c r="AA8" s="456">
        <f>IF($W8,_xll.qlIndexFixing($Y8,$T8,FALSE,$V8),"-")</f>
        <v>1.07E-3</v>
      </c>
      <c r="AB8" s="456" t="e">
        <f t="shared" ref="AB8:AB22" si="3">Z8-AA8</f>
        <v>#NUM!</v>
      </c>
      <c r="AC8" s="455">
        <f>_xll.qlIndexFixing($Y8,$T8,TRUE,$AA8)</f>
        <v>1.07E-3</v>
      </c>
      <c r="AD8" s="454">
        <f t="shared" ref="AD8:AD22" si="4">IF(ISERROR(AB8),0,ABS(AB8))</f>
        <v>0</v>
      </c>
      <c r="AE8" s="443"/>
      <c r="AF8" s="424"/>
    </row>
    <row r="9" spans="1:32" s="21" customFormat="1" x14ac:dyDescent="0.2">
      <c r="B9" s="26"/>
      <c r="C9" s="8" t="s">
        <v>8</v>
      </c>
      <c r="D9" s="8" t="str">
        <f t="shared" si="0"/>
        <v>EURiborYC1M</v>
      </c>
      <c r="E9" s="7" t="str">
        <f>_xll.qlRelinkableHandleYieldTermStructure(D9,,Permanent,Trigger,ObjectOverwrite)</f>
        <v>EURiborYC1M#0000</v>
      </c>
      <c r="F9" s="6" t="str">
        <f>_xll.ohRangeRetrieveError(E9)</f>
        <v/>
      </c>
      <c r="G9" s="25" t="s">
        <v>34</v>
      </c>
      <c r="H9" s="24" t="s">
        <v>9</v>
      </c>
      <c r="I9" s="23" t="str">
        <f t="shared" si="1"/>
        <v>Euribor2W</v>
      </c>
      <c r="J9" s="22" t="str">
        <f>_xll.qlEuribor(I9,G9,E9,Permanent,Trigger,ObjectOverwrite)</f>
        <v>Euribor2W#0000</v>
      </c>
      <c r="K9" s="22" t="str">
        <f>_xll.qlLastFixingQuote(I9&amp;"LastFixing_Quote",J9,Permanent,Trigger,ObjectOverwrite)</f>
        <v>Euribor2WLastFixing_Quote#0000</v>
      </c>
      <c r="L9" s="7" t="str">
        <f>_xll.ohRangeRetrieveError(J9)</f>
        <v/>
      </c>
      <c r="M9" s="7" t="str">
        <f>_xll.ohRangeRetrieveError(K9)</f>
        <v/>
      </c>
      <c r="N9" s="5"/>
      <c r="P9" s="424"/>
      <c r="Q9" s="453"/>
      <c r="R9" s="461" t="s">
        <v>34</v>
      </c>
      <c r="S9" s="456" t="str">
        <f t="shared" si="2"/>
        <v>EURIBOR2WD=</v>
      </c>
      <c r="T9" s="460">
        <v>41479</v>
      </c>
      <c r="U9" s="459">
        <v>0.113</v>
      </c>
      <c r="V9" s="459" t="b">
        <f>IF(AND(ISNUMBER($U9),$U9&lt;&gt;0%,_xll.ohTrigger(Trigger)+1),TRUE,FALSE)</f>
        <v>1</v>
      </c>
      <c r="W9" s="458" t="b">
        <f>IF($V9,_xll.qlIndexAddFixings($Y9,$T9,$U9/100,TRUE,ISERROR($Z9)),NA())</f>
        <v>1</v>
      </c>
      <c r="X9" s="448"/>
      <c r="Y9" s="457" t="str">
        <f t="shared" ref="Y9:Y22" si="5">J9</f>
        <v>Euribor2W#0000</v>
      </c>
      <c r="Z9" s="456" t="e">
        <f>_xll.qlIndexFixing($Y9,$T9,TRUE,$V9)</f>
        <v>#NUM!</v>
      </c>
      <c r="AA9" s="456">
        <f>IF($W9,_xll.qlIndexFixing($Y9,$T9,FALSE,$V9),"-")</f>
        <v>1.1299999999999999E-3</v>
      </c>
      <c r="AB9" s="456" t="e">
        <f t="shared" si="3"/>
        <v>#NUM!</v>
      </c>
      <c r="AC9" s="455">
        <f>_xll.qlIndexFixing($Y9,$T9,TRUE,$AA9)</f>
        <v>1.1299999999999999E-3</v>
      </c>
      <c r="AD9" s="454">
        <f t="shared" si="4"/>
        <v>0</v>
      </c>
      <c r="AE9" s="443"/>
      <c r="AF9" s="424"/>
    </row>
    <row r="10" spans="1:32" s="21" customFormat="1" x14ac:dyDescent="0.2">
      <c r="B10" s="26"/>
      <c r="C10" s="8" t="s">
        <v>7</v>
      </c>
      <c r="D10" s="8" t="str">
        <f t="shared" si="0"/>
        <v>EURiborYC3M</v>
      </c>
      <c r="E10" s="7" t="str">
        <f>_xll.qlRelinkableHandleYieldTermStructure(D10,,Permanent,Trigger,ObjectOverwrite)</f>
        <v>EURiborYC3M#0000</v>
      </c>
      <c r="F10" s="6" t="str">
        <f>_xll.ohRangeRetrieveError(E10)</f>
        <v/>
      </c>
      <c r="G10" s="25" t="s">
        <v>33</v>
      </c>
      <c r="H10" s="24" t="s">
        <v>8</v>
      </c>
      <c r="I10" s="23" t="str">
        <f t="shared" si="1"/>
        <v>Euribor3W</v>
      </c>
      <c r="J10" s="22" t="str">
        <f>_xll.qlEuribor(I10,G10,E10,Permanent,Trigger,ObjectOverwrite)</f>
        <v>Euribor3W#0000</v>
      </c>
      <c r="K10" s="22" t="str">
        <f>_xll.qlLastFixingQuote(I10&amp;"LastFixing_Quote",J10,Permanent,Trigger,ObjectOverwrite)</f>
        <v>Euribor3WLastFixing_Quote#0000</v>
      </c>
      <c r="L10" s="7" t="str">
        <f>_xll.ohRangeRetrieveError(J10)</f>
        <v/>
      </c>
      <c r="M10" s="7" t="str">
        <f>_xll.ohRangeRetrieveError(K10)</f>
        <v/>
      </c>
      <c r="N10" s="5"/>
      <c r="P10" s="424"/>
      <c r="Q10" s="453"/>
      <c r="R10" s="461" t="s">
        <v>33</v>
      </c>
      <c r="S10" s="456" t="str">
        <f t="shared" si="2"/>
        <v>EURIBOR3WD=</v>
      </c>
      <c r="T10" s="460">
        <v>41479</v>
      </c>
      <c r="U10" s="459">
        <v>0.121</v>
      </c>
      <c r="V10" s="459" t="b">
        <f>IF(AND(ISNUMBER($U10),$U10&lt;&gt;0%,_xll.ohTrigger(Trigger)+1),TRUE,FALSE)</f>
        <v>1</v>
      </c>
      <c r="W10" s="458" t="b">
        <f>IF($V10,_xll.qlIndexAddFixings($Y10,$T10,$U10/100,TRUE,ISERROR($Z10)),NA())</f>
        <v>1</v>
      </c>
      <c r="X10" s="448"/>
      <c r="Y10" s="457" t="str">
        <f t="shared" si="5"/>
        <v>Euribor3W#0000</v>
      </c>
      <c r="Z10" s="456" t="e">
        <f>_xll.qlIndexFixing($Y10,$T10,TRUE,$V10)</f>
        <v>#NUM!</v>
      </c>
      <c r="AA10" s="456">
        <f>IF($W10,_xll.qlIndexFixing($Y10,$T10,FALSE,$V10),"-")</f>
        <v>1.2099999999999999E-3</v>
      </c>
      <c r="AB10" s="456" t="e">
        <f t="shared" si="3"/>
        <v>#NUM!</v>
      </c>
      <c r="AC10" s="455">
        <f>_xll.qlIndexFixing($Y10,$T10,TRUE,$AA10)</f>
        <v>1.2099999999999999E-3</v>
      </c>
      <c r="AD10" s="454">
        <f t="shared" si="4"/>
        <v>0</v>
      </c>
      <c r="AE10" s="443"/>
      <c r="AF10" s="424"/>
    </row>
    <row r="11" spans="1:32" s="21" customFormat="1" x14ac:dyDescent="0.2">
      <c r="B11" s="26"/>
      <c r="C11" s="8" t="s">
        <v>6</v>
      </c>
      <c r="D11" s="8" t="str">
        <f t="shared" si="0"/>
        <v>EURiborYC6M</v>
      </c>
      <c r="E11" s="7" t="str">
        <f>_xll.qlRelinkableHandleYieldTermStructure(D11,,Permanent,Trigger,ObjectOverwrite)</f>
        <v>EURiborYC6M#0000</v>
      </c>
      <c r="F11" s="6" t="str">
        <f>_xll.ohRangeRetrieveError(E11)</f>
        <v/>
      </c>
      <c r="G11" s="25" t="s">
        <v>32</v>
      </c>
      <c r="H11" s="24" t="s">
        <v>8</v>
      </c>
      <c r="I11" s="23" t="str">
        <f t="shared" si="1"/>
        <v>Euribor1M</v>
      </c>
      <c r="J11" s="22" t="str">
        <f>_xll.qlEuribor(I11,G11,E11,Permanent,Trigger,ObjectOverwrite)</f>
        <v>Euribor1M#0000</v>
      </c>
      <c r="K11" s="22" t="str">
        <f>_xll.qlLastFixingQuote(I11&amp;"LastFixing_Quote",J11,Permanent,Trigger,ObjectOverwrite)</f>
        <v>Euribor1MLastFixing_Quote#0000</v>
      </c>
      <c r="L11" s="7" t="str">
        <f>_xll.ohRangeRetrieveError(J11)</f>
        <v/>
      </c>
      <c r="M11" s="7" t="str">
        <f>_xll.ohRangeRetrieveError(K11)</f>
        <v/>
      </c>
      <c r="N11" s="5"/>
      <c r="P11" s="424"/>
      <c r="Q11" s="453"/>
      <c r="R11" s="461" t="s">
        <v>32</v>
      </c>
      <c r="S11" s="456" t="str">
        <f t="shared" si="2"/>
        <v>EURIBOR1MD=</v>
      </c>
      <c r="T11" s="460">
        <v>41479</v>
      </c>
      <c r="U11" s="459">
        <v>0.13100000000000001</v>
      </c>
      <c r="V11" s="459" t="b">
        <f>IF(AND(ISNUMBER($U11),$U11&lt;&gt;0%,_xll.ohTrigger(Trigger)+1),TRUE,FALSE)</f>
        <v>1</v>
      </c>
      <c r="W11" s="458" t="b">
        <f>IF($V11,_xll.qlIndexAddFixings($Y11,$T11,$U11/100,TRUE,ISERROR($Z11)),NA())</f>
        <v>1</v>
      </c>
      <c r="X11" s="448"/>
      <c r="Y11" s="457" t="str">
        <f t="shared" si="5"/>
        <v>Euribor1M#0000</v>
      </c>
      <c r="Z11" s="456" t="e">
        <f>_xll.qlIndexFixing($Y11,$T11,TRUE,$V11)</f>
        <v>#NUM!</v>
      </c>
      <c r="AA11" s="456">
        <f>IF($W11,_xll.qlIndexFixing($Y11,$T11,FALSE,$V11),"-")</f>
        <v>1.31E-3</v>
      </c>
      <c r="AB11" s="456" t="e">
        <f t="shared" si="3"/>
        <v>#NUM!</v>
      </c>
      <c r="AC11" s="455">
        <f>_xll.qlIndexFixing($Y11,$T11,TRUE,$AA11)</f>
        <v>1.31E-3</v>
      </c>
      <c r="AD11" s="454">
        <f t="shared" si="4"/>
        <v>0</v>
      </c>
      <c r="AE11" s="443"/>
      <c r="AF11" s="424"/>
    </row>
    <row r="12" spans="1:32" s="21" customFormat="1" x14ac:dyDescent="0.2">
      <c r="B12" s="26"/>
      <c r="C12" s="8" t="s">
        <v>5</v>
      </c>
      <c r="D12" s="8" t="str">
        <f t="shared" si="0"/>
        <v>EURiborYC1Y</v>
      </c>
      <c r="E12" s="7" t="str">
        <f>_xll.qlRelinkableHandleYieldTermStructure(D12,,Permanent,Trigger,ObjectOverwrite)</f>
        <v>EURiborYC1Y#0000</v>
      </c>
      <c r="F12" s="6" t="str">
        <f>_xll.ohRangeRetrieveError(E12)</f>
        <v/>
      </c>
      <c r="G12" s="25" t="s">
        <v>31</v>
      </c>
      <c r="H12" s="24" t="s">
        <v>7</v>
      </c>
      <c r="I12" s="23" t="str">
        <f t="shared" si="1"/>
        <v>Euribor2M</v>
      </c>
      <c r="J12" s="22" t="str">
        <f>_xll.qlEuribor(I12,G12,E12,Permanent,Trigger,ObjectOverwrite)</f>
        <v>Euribor2M#0000</v>
      </c>
      <c r="K12" s="22" t="str">
        <f>_xll.qlLastFixingQuote(I12&amp;"LastFixing_Quote",J12,Permanent,Trigger,ObjectOverwrite)</f>
        <v>Euribor2MLastFixing_Quote#0000</v>
      </c>
      <c r="L12" s="7" t="str">
        <f>_xll.ohRangeRetrieveError(J12)</f>
        <v/>
      </c>
      <c r="M12" s="7" t="str">
        <f>_xll.ohRangeRetrieveError(K12)</f>
        <v/>
      </c>
      <c r="N12" s="5"/>
      <c r="P12" s="424"/>
      <c r="Q12" s="453"/>
      <c r="R12" s="461" t="s">
        <v>31</v>
      </c>
      <c r="S12" s="456" t="str">
        <f t="shared" si="2"/>
        <v>EURIBOR2MD=</v>
      </c>
      <c r="T12" s="460">
        <v>41479</v>
      </c>
      <c r="U12" s="459">
        <v>0.18099999999999999</v>
      </c>
      <c r="V12" s="459" t="b">
        <f>IF(AND(ISNUMBER($U12),$U12&lt;&gt;0%,_xll.ohTrigger(Trigger)+1),TRUE,FALSE)</f>
        <v>1</v>
      </c>
      <c r="W12" s="458" t="b">
        <f>IF($V12,_xll.qlIndexAddFixings($Y12,$T12,$U12/100,TRUE,ISERROR($Z12)),NA())</f>
        <v>1</v>
      </c>
      <c r="X12" s="448"/>
      <c r="Y12" s="457" t="str">
        <f t="shared" si="5"/>
        <v>Euribor2M#0000</v>
      </c>
      <c r="Z12" s="456" t="e">
        <f>_xll.qlIndexFixing($Y12,$T12,TRUE,$V12)</f>
        <v>#NUM!</v>
      </c>
      <c r="AA12" s="456">
        <f>IF($W12,_xll.qlIndexFixing($Y12,$T12,FALSE,$V12),"-")</f>
        <v>1.81E-3</v>
      </c>
      <c r="AB12" s="456" t="e">
        <f t="shared" si="3"/>
        <v>#NUM!</v>
      </c>
      <c r="AC12" s="455">
        <f>_xll.qlIndexFixing($Y12,$T12,TRUE,$AA12)</f>
        <v>1.81E-3</v>
      </c>
      <c r="AD12" s="454">
        <f t="shared" si="4"/>
        <v>0</v>
      </c>
      <c r="AE12" s="443"/>
      <c r="AF12" s="424"/>
    </row>
    <row r="13" spans="1:32" s="21" customFormat="1" x14ac:dyDescent="0.2">
      <c r="B13" s="26"/>
      <c r="C13" s="8" t="str">
        <f>C8&amp;"-Mx"</f>
        <v>iborYCON-Mx</v>
      </c>
      <c r="D13" s="8" t="str">
        <f t="shared" si="0"/>
        <v>EURiborYCON-Mx</v>
      </c>
      <c r="E13" s="7" t="str">
        <f>_xll.qlRelinkableHandleYieldTermStructure(D13,,Permanent,Trigger,ObjectOverwrite)</f>
        <v>EURiborYCON-Mx#0000</v>
      </c>
      <c r="F13" s="6" t="str">
        <f>_xll.ohRangeRetrieveError(E13)</f>
        <v/>
      </c>
      <c r="G13" s="25" t="s">
        <v>30</v>
      </c>
      <c r="H13" s="24" t="s">
        <v>7</v>
      </c>
      <c r="I13" s="23" t="str">
        <f t="shared" si="1"/>
        <v>Euribor3M</v>
      </c>
      <c r="J13" s="22" t="str">
        <f>_xll.qlEuribor(I13,G13,E13,Permanent,Trigger,ObjectOverwrite)</f>
        <v>Euribor3M#0000</v>
      </c>
      <c r="K13" s="22" t="str">
        <f>_xll.qlLastFixingQuote(I13&amp;"LastFixing_Quote",J13,Permanent,Trigger,ObjectOverwrite)</f>
        <v>Euribor3MLastFixing_Quote#0000</v>
      </c>
      <c r="L13" s="7" t="str">
        <f>_xll.ohRangeRetrieveError(J13)</f>
        <v/>
      </c>
      <c r="M13" s="7" t="str">
        <f>_xll.ohRangeRetrieveError(K13)</f>
        <v/>
      </c>
      <c r="N13" s="5"/>
      <c r="P13" s="424"/>
      <c r="Q13" s="453"/>
      <c r="R13" s="461" t="s">
        <v>30</v>
      </c>
      <c r="S13" s="456" t="str">
        <f t="shared" si="2"/>
        <v>EURIBOR3MD=</v>
      </c>
      <c r="T13" s="460">
        <v>41479</v>
      </c>
      <c r="U13" s="459">
        <v>0.22500000000000001</v>
      </c>
      <c r="V13" s="459" t="b">
        <f>IF(AND(ISNUMBER($U13),$U13&lt;&gt;0%,_xll.ohTrigger(Trigger)+1),TRUE,FALSE)</f>
        <v>1</v>
      </c>
      <c r="W13" s="458" t="b">
        <f>IF($V13,_xll.qlIndexAddFixings($Y13,$T13,$U13/100,TRUE,ISERROR($Z13)),NA())</f>
        <v>1</v>
      </c>
      <c r="X13" s="448"/>
      <c r="Y13" s="457" t="str">
        <f t="shared" si="5"/>
        <v>Euribor3M#0000</v>
      </c>
      <c r="Z13" s="456" t="e">
        <f>_xll.qlIndexFixing($Y13,$T13,TRUE,$V13)</f>
        <v>#NUM!</v>
      </c>
      <c r="AA13" s="456">
        <f>IF($W13,_xll.qlIndexFixing($Y13,$T13,FALSE,$V13),"-")</f>
        <v>2.2500000000000003E-3</v>
      </c>
      <c r="AB13" s="456" t="e">
        <f t="shared" si="3"/>
        <v>#NUM!</v>
      </c>
      <c r="AC13" s="455">
        <f>_xll.qlIndexFixing($Y13,$T13,TRUE,$AA13)</f>
        <v>2.2500000000000003E-3</v>
      </c>
      <c r="AD13" s="454">
        <f t="shared" si="4"/>
        <v>0</v>
      </c>
      <c r="AE13" s="443"/>
      <c r="AF13" s="424"/>
    </row>
    <row r="14" spans="1:32" s="21" customFormat="1" x14ac:dyDescent="0.2">
      <c r="B14" s="26"/>
      <c r="C14" s="8" t="str">
        <f>C9&amp;"-Mx"</f>
        <v>iborYC1M-Mx</v>
      </c>
      <c r="D14" s="8" t="str">
        <f t="shared" si="0"/>
        <v>EURiborYC1M-Mx</v>
      </c>
      <c r="E14" s="7" t="str">
        <f>_xll.qlRelinkableHandleYieldTermStructure(D14,,Permanent,Trigger,ObjectOverwrite)</f>
        <v>EURiborYC1M-Mx#0000</v>
      </c>
      <c r="F14" s="6" t="str">
        <f>_xll.ohRangeRetrieveError(E14)</f>
        <v/>
      </c>
      <c r="G14" s="25" t="s">
        <v>29</v>
      </c>
      <c r="H14" s="24" t="s">
        <v>7</v>
      </c>
      <c r="I14" s="23" t="str">
        <f t="shared" si="1"/>
        <v>Euribor4M</v>
      </c>
      <c r="J14" s="22" t="str">
        <f>_xll.qlEuribor(I14,G14,E14,Permanent,Trigger,ObjectOverwrite)</f>
        <v>Euribor4M#0000</v>
      </c>
      <c r="K14" s="22" t="str">
        <f>_xll.qlLastFixingQuote(I14&amp;"LastFixing_Quote",J14,Permanent,Trigger,ObjectOverwrite)</f>
        <v>Euribor4MLastFixing_Quote#0000</v>
      </c>
      <c r="L14" s="7" t="str">
        <f>_xll.ohRangeRetrieveError(J14)</f>
        <v/>
      </c>
      <c r="M14" s="7" t="str">
        <f>_xll.ohRangeRetrieveError(K14)</f>
        <v/>
      </c>
      <c r="N14" s="5"/>
      <c r="P14" s="424"/>
      <c r="Q14" s="453"/>
      <c r="R14" s="461" t="s">
        <v>29</v>
      </c>
      <c r="S14" s="456" t="str">
        <f t="shared" si="2"/>
        <v>EURIBOR4MD=</v>
      </c>
      <c r="T14" s="460">
        <v>41479</v>
      </c>
      <c r="U14" s="459">
        <v>0.26500000000000001</v>
      </c>
      <c r="V14" s="459" t="b">
        <f>IF(AND(ISNUMBER($U14),$U14&lt;&gt;0%,_xll.ohTrigger(Trigger)+1),TRUE,FALSE)</f>
        <v>1</v>
      </c>
      <c r="W14" s="458" t="b">
        <f>IF($V14,_xll.qlIndexAddFixings($Y14,$T14,$U14/100,TRUE,ISERROR($Z14)),NA())</f>
        <v>1</v>
      </c>
      <c r="X14" s="448"/>
      <c r="Y14" s="457" t="str">
        <f t="shared" si="5"/>
        <v>Euribor4M#0000</v>
      </c>
      <c r="Z14" s="456" t="e">
        <f>_xll.qlIndexFixing($Y14,$T14,TRUE,$V14)</f>
        <v>#NUM!</v>
      </c>
      <c r="AA14" s="456">
        <f>IF($W14,_xll.qlIndexFixing($Y14,$T14,FALSE,$V14),"-")</f>
        <v>2.65E-3</v>
      </c>
      <c r="AB14" s="456" t="e">
        <f t="shared" si="3"/>
        <v>#NUM!</v>
      </c>
      <c r="AC14" s="455">
        <f>_xll.qlIndexFixing($Y14,$T14,TRUE,$AA14)</f>
        <v>2.65E-3</v>
      </c>
      <c r="AD14" s="454">
        <f t="shared" si="4"/>
        <v>0</v>
      </c>
      <c r="AE14" s="443"/>
      <c r="AF14" s="424"/>
    </row>
    <row r="15" spans="1:32" s="21" customFormat="1" x14ac:dyDescent="0.2">
      <c r="B15" s="26"/>
      <c r="C15" s="8" t="str">
        <f>C10&amp;"-Mx"</f>
        <v>iborYC3M-Mx</v>
      </c>
      <c r="D15" s="8" t="str">
        <f t="shared" si="0"/>
        <v>EURiborYC3M-Mx</v>
      </c>
      <c r="E15" s="7" t="str">
        <f>_xll.qlRelinkableHandleYieldTermStructure(D15,,Permanent,Trigger,ObjectOverwrite)</f>
        <v>EURiborYC3M-Mx#0000</v>
      </c>
      <c r="F15" s="6" t="str">
        <f>_xll.ohRangeRetrieveError(E15)</f>
        <v/>
      </c>
      <c r="G15" s="25" t="s">
        <v>28</v>
      </c>
      <c r="H15" s="24" t="s">
        <v>6</v>
      </c>
      <c r="I15" s="23" t="str">
        <f t="shared" si="1"/>
        <v>Euribor5M</v>
      </c>
      <c r="J15" s="22" t="str">
        <f>_xll.qlEuribor(I15,G15,E15,Permanent,Trigger,ObjectOverwrite)</f>
        <v>Euribor5M#0000</v>
      </c>
      <c r="K15" s="22" t="str">
        <f>_xll.qlLastFixingQuote(I15&amp;"LastFixing_Quote",J15,Permanent,Trigger,ObjectOverwrite)</f>
        <v>Euribor5MLastFixing_Quote#0000</v>
      </c>
      <c r="L15" s="7" t="str">
        <f>_xll.ohRangeRetrieveError(J15)</f>
        <v/>
      </c>
      <c r="M15" s="7" t="str">
        <f>_xll.ohRangeRetrieveError(K15)</f>
        <v/>
      </c>
      <c r="N15" s="5"/>
      <c r="P15" s="424"/>
      <c r="Q15" s="453"/>
      <c r="R15" s="461" t="s">
        <v>28</v>
      </c>
      <c r="S15" s="456" t="str">
        <f t="shared" si="2"/>
        <v>EURIBOR5MD=</v>
      </c>
      <c r="T15" s="460">
        <v>41479</v>
      </c>
      <c r="U15" s="459">
        <v>0.29899999999999999</v>
      </c>
      <c r="V15" s="459" t="b">
        <f>IF(AND(ISNUMBER($U15),$U15&lt;&gt;0%,_xll.ohTrigger(Trigger)+1),TRUE,FALSE)</f>
        <v>1</v>
      </c>
      <c r="W15" s="458" t="b">
        <f>IF($V15,_xll.qlIndexAddFixings($Y15,$T15,$U15/100,TRUE,ISERROR($Z15)),NA())</f>
        <v>1</v>
      </c>
      <c r="X15" s="448"/>
      <c r="Y15" s="457" t="str">
        <f t="shared" si="5"/>
        <v>Euribor5M#0000</v>
      </c>
      <c r="Z15" s="456" t="e">
        <f>_xll.qlIndexFixing($Y15,$T15,TRUE,$V15)</f>
        <v>#NUM!</v>
      </c>
      <c r="AA15" s="456">
        <f>IF($W15,_xll.qlIndexFixing($Y15,$T15,FALSE,$V15),"-")</f>
        <v>2.99E-3</v>
      </c>
      <c r="AB15" s="456" t="e">
        <f t="shared" si="3"/>
        <v>#NUM!</v>
      </c>
      <c r="AC15" s="455">
        <f>_xll.qlIndexFixing($Y15,$T15,TRUE,$AA15)</f>
        <v>2.99E-3</v>
      </c>
      <c r="AD15" s="454">
        <f t="shared" si="4"/>
        <v>0</v>
      </c>
      <c r="AE15" s="443"/>
      <c r="AF15" s="424"/>
    </row>
    <row r="16" spans="1:32" s="21" customFormat="1" x14ac:dyDescent="0.2">
      <c r="B16" s="26"/>
      <c r="C16" s="8" t="str">
        <f>C11&amp;"-Mx"</f>
        <v>iborYC6M-Mx</v>
      </c>
      <c r="D16" s="8" t="str">
        <f t="shared" si="0"/>
        <v>EURiborYC6M-Mx</v>
      </c>
      <c r="E16" s="7" t="str">
        <f>_xll.qlRelinkableHandleYieldTermStructure(D16,,Permanent,Trigger,ObjectOverwrite)</f>
        <v>EURiborYC6M-Mx#0000</v>
      </c>
      <c r="F16" s="6" t="str">
        <f>_xll.ohRangeRetrieveError(E16)</f>
        <v/>
      </c>
      <c r="G16" s="25" t="s">
        <v>27</v>
      </c>
      <c r="H16" s="24" t="s">
        <v>6</v>
      </c>
      <c r="I16" s="23" t="str">
        <f t="shared" si="1"/>
        <v>Euribor6M</v>
      </c>
      <c r="J16" s="22" t="str">
        <f>_xll.qlEuribor(I16,G16,E16,Permanent,Trigger,ObjectOverwrite)</f>
        <v>Euribor6M#0000</v>
      </c>
      <c r="K16" s="22" t="str">
        <f>_xll.qlLastFixingQuote(I16&amp;"LastFixing_Quote",J16,Permanent,Trigger,ObjectOverwrite)</f>
        <v>Euribor6MLastFixing_Quote#0000</v>
      </c>
      <c r="L16" s="7" t="str">
        <f>_xll.ohRangeRetrieveError(J16)</f>
        <v/>
      </c>
      <c r="M16" s="7" t="str">
        <f>_xll.ohRangeRetrieveError(K16)</f>
        <v/>
      </c>
      <c r="N16" s="5"/>
      <c r="P16" s="424"/>
      <c r="Q16" s="453"/>
      <c r="R16" s="461" t="s">
        <v>27</v>
      </c>
      <c r="S16" s="456" t="str">
        <f t="shared" si="2"/>
        <v>EURIBOR6MD=</v>
      </c>
      <c r="T16" s="460">
        <v>41479</v>
      </c>
      <c r="U16" s="459">
        <v>0.34300000000000003</v>
      </c>
      <c r="V16" s="459" t="b">
        <f>IF(AND(ISNUMBER($U16),$U16&lt;&gt;0%,_xll.ohTrigger(Trigger)+1),TRUE,FALSE)</f>
        <v>1</v>
      </c>
      <c r="W16" s="458" t="b">
        <f>IF($V16,_xll.qlIndexAddFixings($Y16,$T16,$U16/100,TRUE,ISERROR($Z16)),NA())</f>
        <v>1</v>
      </c>
      <c r="X16" s="448"/>
      <c r="Y16" s="457" t="str">
        <f t="shared" si="5"/>
        <v>Euribor6M#0000</v>
      </c>
      <c r="Z16" s="456" t="e">
        <f>_xll.qlIndexFixing($Y16,$T16,TRUE,$V16)</f>
        <v>#NUM!</v>
      </c>
      <c r="AA16" s="456">
        <f>IF($W16,_xll.qlIndexFixing($Y16,$T16,FALSE,$V16),"-")</f>
        <v>3.4300000000000003E-3</v>
      </c>
      <c r="AB16" s="456" t="e">
        <f t="shared" si="3"/>
        <v>#NUM!</v>
      </c>
      <c r="AC16" s="455">
        <f>_xll.qlIndexFixing($Y16,$T16,TRUE,$AA16)</f>
        <v>3.4300000000000003E-3</v>
      </c>
      <c r="AD16" s="454">
        <f t="shared" si="4"/>
        <v>0</v>
      </c>
      <c r="AE16" s="443"/>
      <c r="AF16" s="424"/>
    </row>
    <row r="17" spans="2:32" s="21" customFormat="1" x14ac:dyDescent="0.2">
      <c r="B17" s="26"/>
      <c r="C17" s="8" t="str">
        <f>C12&amp;"-Mx"</f>
        <v>iborYC1Y-Mx</v>
      </c>
      <c r="D17" s="8" t="str">
        <f t="shared" si="0"/>
        <v>EURiborYC1Y-Mx</v>
      </c>
      <c r="E17" s="7" t="str">
        <f>_xll.qlRelinkableHandleYieldTermStructure(D17,,Permanent,Trigger,ObjectOverwrite)</f>
        <v>EURiborYC1Y-Mx#0000</v>
      </c>
      <c r="F17" s="6" t="str">
        <f>_xll.ohRangeRetrieveError(E17)</f>
        <v/>
      </c>
      <c r="G17" s="25" t="s">
        <v>26</v>
      </c>
      <c r="H17" s="24" t="s">
        <v>6</v>
      </c>
      <c r="I17" s="23" t="str">
        <f t="shared" si="1"/>
        <v>Euribor7M</v>
      </c>
      <c r="J17" s="22" t="str">
        <f>_xll.qlEuribor(I17,G17,E17,Permanent,Trigger,ObjectOverwrite)</f>
        <v>Euribor7M#0000</v>
      </c>
      <c r="K17" s="22" t="str">
        <f>_xll.qlLastFixingQuote(I17&amp;"LastFixing_Quote",J17,Permanent,Trigger,ObjectOverwrite)</f>
        <v>Euribor7MLastFixing_Quote#0000</v>
      </c>
      <c r="L17" s="7" t="str">
        <f>_xll.ohRangeRetrieveError(J17)</f>
        <v/>
      </c>
      <c r="M17" s="7" t="str">
        <f>_xll.ohRangeRetrieveError(K17)</f>
        <v/>
      </c>
      <c r="N17" s="5"/>
      <c r="P17" s="424"/>
      <c r="Q17" s="453"/>
      <c r="R17" s="461" t="s">
        <v>26</v>
      </c>
      <c r="S17" s="456" t="str">
        <f t="shared" si="2"/>
        <v>EURIBOR7MD=</v>
      </c>
      <c r="T17" s="460">
        <v>41479</v>
      </c>
      <c r="U17" s="459">
        <v>0.377</v>
      </c>
      <c r="V17" s="459" t="b">
        <f>IF(AND(ISNUMBER($U17),$U17&lt;&gt;0%,_xll.ohTrigger(Trigger)+1),TRUE,FALSE)</f>
        <v>1</v>
      </c>
      <c r="W17" s="458" t="b">
        <f>IF($V17,_xll.qlIndexAddFixings($Y17,$T17,$U17/100,TRUE,ISERROR($Z17)),NA())</f>
        <v>1</v>
      </c>
      <c r="X17" s="448"/>
      <c r="Y17" s="457" t="str">
        <f t="shared" si="5"/>
        <v>Euribor7M#0000</v>
      </c>
      <c r="Z17" s="456" t="e">
        <f>_xll.qlIndexFixing($Y17,$T17,TRUE,$V17)</f>
        <v>#NUM!</v>
      </c>
      <c r="AA17" s="456">
        <f>IF($W17,_xll.qlIndexFixing($Y17,$T17,FALSE,$V17),"-")</f>
        <v>3.7699999999999999E-3</v>
      </c>
      <c r="AB17" s="456" t="e">
        <f t="shared" si="3"/>
        <v>#NUM!</v>
      </c>
      <c r="AC17" s="455">
        <f>_xll.qlIndexFixing($Y17,$T17,TRUE,$AA17)</f>
        <v>3.7699999999999999E-3</v>
      </c>
      <c r="AD17" s="454">
        <f t="shared" si="4"/>
        <v>0</v>
      </c>
      <c r="AE17" s="443"/>
      <c r="AF17" s="424"/>
    </row>
    <row r="18" spans="2:32" s="21" customFormat="1" x14ac:dyDescent="0.2">
      <c r="B18" s="26"/>
      <c r="C18" s="8" t="s">
        <v>4</v>
      </c>
      <c r="D18" s="8" t="str">
        <f t="shared" si="0"/>
        <v>EURLiborYCON</v>
      </c>
      <c r="E18" s="7" t="str">
        <f>_xll.qlRelinkableHandleYieldTermStructure(D18,,Permanent,Trigger,ObjectOverwrite)</f>
        <v>EURLiborYCON#0000</v>
      </c>
      <c r="F18" s="6" t="str">
        <f>_xll.ohRangeRetrieveError(E18)</f>
        <v/>
      </c>
      <c r="G18" s="25" t="s">
        <v>25</v>
      </c>
      <c r="H18" s="24" t="s">
        <v>6</v>
      </c>
      <c r="I18" s="23" t="str">
        <f t="shared" si="1"/>
        <v>Euribor8M</v>
      </c>
      <c r="J18" s="22" t="str">
        <f>_xll.qlEuribor(I18,G18,E18,Permanent,Trigger,ObjectOverwrite)</f>
        <v>Euribor8M#0000</v>
      </c>
      <c r="K18" s="22" t="str">
        <f>_xll.qlLastFixingQuote(I18&amp;"LastFixing_Quote",J18,Permanent,Trigger,ObjectOverwrite)</f>
        <v>Euribor8MLastFixing_Quote#0000</v>
      </c>
      <c r="L18" s="7" t="str">
        <f>_xll.ohRangeRetrieveError(J18)</f>
        <v/>
      </c>
      <c r="M18" s="7" t="str">
        <f>_xll.ohRangeRetrieveError(K18)</f>
        <v/>
      </c>
      <c r="N18" s="5"/>
      <c r="P18" s="424"/>
      <c r="Q18" s="453"/>
      <c r="R18" s="461" t="s">
        <v>25</v>
      </c>
      <c r="S18" s="456" t="str">
        <f t="shared" si="2"/>
        <v>EURIBOR8MD=</v>
      </c>
      <c r="T18" s="460">
        <v>41479</v>
      </c>
      <c r="U18" s="459">
        <v>0.41199999999999998</v>
      </c>
      <c r="V18" s="459" t="b">
        <f>IF(AND(ISNUMBER($U18),$U18&lt;&gt;0%,_xll.ohTrigger(Trigger)+1),TRUE,FALSE)</f>
        <v>1</v>
      </c>
      <c r="W18" s="458" t="b">
        <f>IF($V18,_xll.qlIndexAddFixings($Y18,$T18,$U18/100,TRUE,ISERROR($Z18)),NA())</f>
        <v>1</v>
      </c>
      <c r="X18" s="448"/>
      <c r="Y18" s="457" t="str">
        <f t="shared" si="5"/>
        <v>Euribor8M#0000</v>
      </c>
      <c r="Z18" s="456" t="e">
        <f>_xll.qlIndexFixing($Y18,$T18,TRUE,$V18)</f>
        <v>#NUM!</v>
      </c>
      <c r="AA18" s="456">
        <f>IF($W18,_xll.qlIndexFixing($Y18,$T18,FALSE,$V18),"-")</f>
        <v>4.1199999999999995E-3</v>
      </c>
      <c r="AB18" s="456" t="e">
        <f t="shared" si="3"/>
        <v>#NUM!</v>
      </c>
      <c r="AC18" s="455">
        <f>_xll.qlIndexFixing($Y18,$T18,TRUE,$AA18)</f>
        <v>4.1199999999999995E-3</v>
      </c>
      <c r="AD18" s="454">
        <f t="shared" si="4"/>
        <v>0</v>
      </c>
      <c r="AE18" s="443"/>
      <c r="AF18" s="424"/>
    </row>
    <row r="19" spans="2:32" s="21" customFormat="1" x14ac:dyDescent="0.2">
      <c r="B19" s="26"/>
      <c r="C19" s="8" t="s">
        <v>3</v>
      </c>
      <c r="D19" s="8" t="str">
        <f t="shared" si="0"/>
        <v>EURLiborYC1M</v>
      </c>
      <c r="E19" s="7" t="str">
        <f>_xll.qlRelinkableHandleYieldTermStructure(D19,,Permanent,Trigger,ObjectOverwrite)</f>
        <v>EURLiborYC1M#0000</v>
      </c>
      <c r="F19" s="6" t="str">
        <f>_xll.ohRangeRetrieveError(E19)</f>
        <v/>
      </c>
      <c r="G19" s="25" t="s">
        <v>24</v>
      </c>
      <c r="H19" s="24" t="s">
        <v>5</v>
      </c>
      <c r="I19" s="23" t="str">
        <f t="shared" si="1"/>
        <v>Euribor9M</v>
      </c>
      <c r="J19" s="22" t="str">
        <f>_xll.qlEuribor(I19,G19,E19,Permanent,Trigger,ObjectOverwrite)</f>
        <v>Euribor9M#0000</v>
      </c>
      <c r="K19" s="22" t="str">
        <f>_xll.qlLastFixingQuote(I19&amp;"LastFixing_Quote",J19,Permanent,Trigger,ObjectOverwrite)</f>
        <v>Euribor9MLastFixing_Quote#0000</v>
      </c>
      <c r="L19" s="7" t="str">
        <f>_xll.ohRangeRetrieveError(J19)</f>
        <v/>
      </c>
      <c r="M19" s="7" t="str">
        <f>_xll.ohRangeRetrieveError(K19)</f>
        <v/>
      </c>
      <c r="N19" s="5"/>
      <c r="P19" s="424"/>
      <c r="Q19" s="453"/>
      <c r="R19" s="461" t="s">
        <v>24</v>
      </c>
      <c r="S19" s="456" t="str">
        <f t="shared" si="2"/>
        <v>EURIBOR9MD=</v>
      </c>
      <c r="T19" s="460">
        <v>41479</v>
      </c>
      <c r="U19" s="459">
        <v>0.442</v>
      </c>
      <c r="V19" s="459" t="b">
        <f>IF(AND(ISNUMBER($U19),$U19&lt;&gt;0%,_xll.ohTrigger(Trigger)+1),TRUE,FALSE)</f>
        <v>1</v>
      </c>
      <c r="W19" s="458" t="b">
        <f>IF($V19,_xll.qlIndexAddFixings($Y19,$T19,$U19/100,TRUE,ISERROR($Z19)),NA())</f>
        <v>1</v>
      </c>
      <c r="X19" s="448"/>
      <c r="Y19" s="457" t="str">
        <f t="shared" si="5"/>
        <v>Euribor9M#0000</v>
      </c>
      <c r="Z19" s="456" t="e">
        <f>_xll.qlIndexFixing($Y19,$T19,TRUE,$V19)</f>
        <v>#NUM!</v>
      </c>
      <c r="AA19" s="456">
        <f>IF($W19,_xll.qlIndexFixing($Y19,$T19,FALSE,$V19),"-")</f>
        <v>4.4200000000000003E-3</v>
      </c>
      <c r="AB19" s="456" t="e">
        <f t="shared" si="3"/>
        <v>#NUM!</v>
      </c>
      <c r="AC19" s="455">
        <f>_xll.qlIndexFixing($Y19,$T19,TRUE,$AA19)</f>
        <v>4.4200000000000003E-3</v>
      </c>
      <c r="AD19" s="454">
        <f t="shared" si="4"/>
        <v>0</v>
      </c>
      <c r="AE19" s="443"/>
      <c r="AF19" s="424"/>
    </row>
    <row r="20" spans="2:32" s="21" customFormat="1" x14ac:dyDescent="0.2">
      <c r="B20" s="26"/>
      <c r="C20" s="8" t="s">
        <v>2</v>
      </c>
      <c r="D20" s="8" t="str">
        <f t="shared" si="0"/>
        <v>EURLiborYC3M</v>
      </c>
      <c r="E20" s="7" t="str">
        <f>_xll.qlRelinkableHandleYieldTermStructure(D20,,Permanent,Trigger,ObjectOverwrite)</f>
        <v>EURLiborYC3M#0000</v>
      </c>
      <c r="F20" s="6" t="str">
        <f>_xll.ohRangeRetrieveError(E20)</f>
        <v/>
      </c>
      <c r="G20" s="25" t="s">
        <v>23</v>
      </c>
      <c r="H20" s="24" t="s">
        <v>5</v>
      </c>
      <c r="I20" s="23" t="str">
        <f t="shared" si="1"/>
        <v>Euribor10M</v>
      </c>
      <c r="J20" s="22" t="str">
        <f>_xll.qlEuribor(I20,G20,E20,Permanent,Trigger,ObjectOverwrite)</f>
        <v>Euribor10M#0000</v>
      </c>
      <c r="K20" s="22" t="str">
        <f>_xll.qlLastFixingQuote(I20&amp;"LastFixing_Quote",J20,Permanent,Trigger,ObjectOverwrite)</f>
        <v>Euribor10MLastFixing_Quote#0000</v>
      </c>
      <c r="L20" s="7" t="str">
        <f>_xll.ohRangeRetrieveError(J20)</f>
        <v/>
      </c>
      <c r="M20" s="7" t="str">
        <f>_xll.ohRangeRetrieveError(K20)</f>
        <v/>
      </c>
      <c r="N20" s="5"/>
      <c r="P20" s="424"/>
      <c r="Q20" s="453"/>
      <c r="R20" s="461" t="s">
        <v>23</v>
      </c>
      <c r="S20" s="456" t="str">
        <f t="shared" si="2"/>
        <v>EURIBOR10MD=</v>
      </c>
      <c r="T20" s="460">
        <v>41479</v>
      </c>
      <c r="U20" s="459">
        <v>0.47299999999999998</v>
      </c>
      <c r="V20" s="459" t="b">
        <f>IF(AND(ISNUMBER($U20),$U20&lt;&gt;0%,_xll.ohTrigger(Trigger)+1),TRUE,FALSE)</f>
        <v>1</v>
      </c>
      <c r="W20" s="458" t="b">
        <f>IF($V20,_xll.qlIndexAddFixings($Y20,$T20,$U20/100,TRUE,ISERROR($Z20)),NA())</f>
        <v>1</v>
      </c>
      <c r="X20" s="448"/>
      <c r="Y20" s="457" t="str">
        <f t="shared" si="5"/>
        <v>Euribor10M#0000</v>
      </c>
      <c r="Z20" s="456" t="e">
        <f>_xll.qlIndexFixing($Y20,$T20,TRUE,$V20)</f>
        <v>#NUM!</v>
      </c>
      <c r="AA20" s="456">
        <f>IF($W20,_xll.qlIndexFixing($Y20,$T20,FALSE,$V20),"-")</f>
        <v>4.7299999999999998E-3</v>
      </c>
      <c r="AB20" s="456" t="e">
        <f t="shared" si="3"/>
        <v>#NUM!</v>
      </c>
      <c r="AC20" s="455">
        <f>_xll.qlIndexFixing($Y20,$T20,TRUE,$AA20)</f>
        <v>4.7299999999999998E-3</v>
      </c>
      <c r="AD20" s="454">
        <f t="shared" si="4"/>
        <v>0</v>
      </c>
      <c r="AE20" s="443"/>
      <c r="AF20" s="424"/>
    </row>
    <row r="21" spans="2:32" s="21" customFormat="1" x14ac:dyDescent="0.2">
      <c r="B21" s="26"/>
      <c r="C21" s="8" t="s">
        <v>1</v>
      </c>
      <c r="D21" s="8" t="str">
        <f t="shared" si="0"/>
        <v>EURLiborYC6M</v>
      </c>
      <c r="E21" s="7" t="str">
        <f>_xll.qlRelinkableHandleYieldTermStructure(D21,,Permanent,Trigger,ObjectOverwrite)</f>
        <v>EURLiborYC6M#0000</v>
      </c>
      <c r="F21" s="6" t="str">
        <f>_xll.ohRangeRetrieveError(E21)</f>
        <v/>
      </c>
      <c r="G21" s="25" t="s">
        <v>22</v>
      </c>
      <c r="H21" s="24" t="s">
        <v>5</v>
      </c>
      <c r="I21" s="23" t="str">
        <f t="shared" si="1"/>
        <v>Euribor11M</v>
      </c>
      <c r="J21" s="22" t="str">
        <f>_xll.qlEuribor(I21,G21,E21,Permanent,Trigger,ObjectOverwrite)</f>
        <v>Euribor11M#0000</v>
      </c>
      <c r="K21" s="22" t="str">
        <f>_xll.qlLastFixingQuote(I21&amp;"LastFixing_Quote",J21,Permanent,Trigger,ObjectOverwrite)</f>
        <v>Euribor11MLastFixing_Quote#0000</v>
      </c>
      <c r="L21" s="7" t="str">
        <f>_xll.ohRangeRetrieveError(J21)</f>
        <v/>
      </c>
      <c r="M21" s="7" t="str">
        <f>_xll.ohRangeRetrieveError(K21)</f>
        <v/>
      </c>
      <c r="N21" s="5"/>
      <c r="P21" s="424"/>
      <c r="Q21" s="453"/>
      <c r="R21" s="461" t="s">
        <v>22</v>
      </c>
      <c r="S21" s="456" t="str">
        <f t="shared" si="2"/>
        <v>EURIBOR11MD=</v>
      </c>
      <c r="T21" s="460">
        <v>41479</v>
      </c>
      <c r="U21" s="459">
        <v>0.503</v>
      </c>
      <c r="V21" s="459" t="b">
        <f>IF(AND(ISNUMBER($U21),$U21&lt;&gt;0%,_xll.ohTrigger(Trigger)+1),TRUE,FALSE)</f>
        <v>1</v>
      </c>
      <c r="W21" s="458" t="b">
        <f>IF($V21,_xll.qlIndexAddFixings($Y21,$T21,$U21/100,TRUE,ISERROR($Z21)),NA())</f>
        <v>1</v>
      </c>
      <c r="X21" s="448"/>
      <c r="Y21" s="457" t="str">
        <f t="shared" si="5"/>
        <v>Euribor11M#0000</v>
      </c>
      <c r="Z21" s="456" t="e">
        <f>_xll.qlIndexFixing($Y21,$T21,TRUE,$V21)</f>
        <v>#NUM!</v>
      </c>
      <c r="AA21" s="456">
        <f>IF($W21,_xll.qlIndexFixing($Y21,$T21,FALSE,$V21),"-")</f>
        <v>5.0299999999999997E-3</v>
      </c>
      <c r="AB21" s="456" t="e">
        <f t="shared" si="3"/>
        <v>#NUM!</v>
      </c>
      <c r="AC21" s="455">
        <f>_xll.qlIndexFixing($Y21,$T21,TRUE,$AA21)</f>
        <v>5.0299999999999997E-3</v>
      </c>
      <c r="AD21" s="454">
        <f t="shared" si="4"/>
        <v>0</v>
      </c>
      <c r="AE21" s="443"/>
      <c r="AF21" s="424"/>
    </row>
    <row r="22" spans="2:32" s="21" customFormat="1" x14ac:dyDescent="0.2">
      <c r="B22" s="26"/>
      <c r="C22" s="8" t="s">
        <v>0</v>
      </c>
      <c r="D22" s="8" t="str">
        <f t="shared" si="0"/>
        <v>EURLiborYC1Y</v>
      </c>
      <c r="E22" s="7" t="str">
        <f>_xll.qlRelinkableHandleYieldTermStructure(D22,,Permanent,Trigger,ObjectOverwrite)</f>
        <v>EURLiborYC1Y#0000</v>
      </c>
      <c r="F22" s="6" t="str">
        <f>_xll.ohRangeRetrieveError(E22)</f>
        <v/>
      </c>
      <c r="G22" s="25" t="s">
        <v>21</v>
      </c>
      <c r="H22" s="24" t="s">
        <v>5</v>
      </c>
      <c r="I22" s="23" t="str">
        <f t="shared" si="1"/>
        <v>Euribor1Y</v>
      </c>
      <c r="J22" s="22" t="str">
        <f>_xll.qlEuribor(I22,G22,E22,Permanent,Trigger,ObjectOverwrite)</f>
        <v>Euribor1Y#0000</v>
      </c>
      <c r="K22" s="22" t="str">
        <f>_xll.qlLastFixingQuote(I22&amp;"LastFixing_Quote",J22,Permanent,Trigger,ObjectOverwrite)</f>
        <v>Euribor1YLastFixing_Quote#0000</v>
      </c>
      <c r="L22" s="7" t="str">
        <f>_xll.ohRangeRetrieveError(J22)</f>
        <v/>
      </c>
      <c r="M22" s="7" t="str">
        <f>_xll.ohRangeRetrieveError(K22)</f>
        <v/>
      </c>
      <c r="N22" s="5"/>
      <c r="P22" s="424"/>
      <c r="Q22" s="453"/>
      <c r="R22" s="452" t="s">
        <v>21</v>
      </c>
      <c r="S22" s="446" t="str">
        <f t="shared" si="2"/>
        <v>EURIBOR1YD=</v>
      </c>
      <c r="T22" s="451">
        <v>41479</v>
      </c>
      <c r="U22" s="450">
        <v>0.53500000000000003</v>
      </c>
      <c r="V22" s="450" t="b">
        <f>IF(AND(ISNUMBER($U22),$U22&lt;&gt;0%,_xll.ohTrigger(Trigger)+1),TRUE,FALSE)</f>
        <v>1</v>
      </c>
      <c r="W22" s="449" t="b">
        <f>IF($V22,_xll.qlIndexAddFixings($Y22,$T22,$U22/100,TRUE,ISERROR($Z22)),NA())</f>
        <v>1</v>
      </c>
      <c r="X22" s="448"/>
      <c r="Y22" s="447" t="str">
        <f t="shared" si="5"/>
        <v>Euribor1Y#0000</v>
      </c>
      <c r="Z22" s="446" t="e">
        <f>_xll.qlIndexFixing($Y22,$T22,TRUE,$V22)</f>
        <v>#NUM!</v>
      </c>
      <c r="AA22" s="446">
        <f>IF($W22,_xll.qlIndexFixing($Y22,$T22,FALSE,$V22),"-")</f>
        <v>5.3500000000000006E-3</v>
      </c>
      <c r="AB22" s="446" t="e">
        <f t="shared" si="3"/>
        <v>#NUM!</v>
      </c>
      <c r="AC22" s="445">
        <f>_xll.qlIndexFixing($Y22,$T22,TRUE,$AA22)</f>
        <v>5.3500000000000006E-3</v>
      </c>
      <c r="AD22" s="444">
        <f t="shared" si="4"/>
        <v>0</v>
      </c>
      <c r="AE22" s="443"/>
      <c r="AF22" s="424"/>
    </row>
    <row r="23" spans="2:32" s="21" customFormat="1" ht="12" thickBot="1" x14ac:dyDescent="0.25">
      <c r="B23" s="4"/>
      <c r="C23" s="3"/>
      <c r="D23" s="3"/>
      <c r="E23" s="3"/>
      <c r="F23" s="3"/>
      <c r="G23" s="3"/>
      <c r="H23" s="3"/>
      <c r="I23" s="3"/>
      <c r="J23" s="3"/>
      <c r="K23" s="3"/>
      <c r="L23" s="3"/>
      <c r="M23" s="3"/>
      <c r="N23" s="2"/>
      <c r="P23" s="424"/>
      <c r="Q23" s="442"/>
      <c r="R23" s="439"/>
      <c r="S23" s="439"/>
      <c r="T23" s="441"/>
      <c r="U23" s="440"/>
      <c r="V23" s="440"/>
      <c r="W23" s="439"/>
      <c r="X23" s="439"/>
      <c r="Y23" s="439"/>
      <c r="Z23" s="439"/>
      <c r="AA23" s="439"/>
      <c r="AB23" s="439"/>
      <c r="AC23" s="439"/>
      <c r="AD23" s="439"/>
      <c r="AE23" s="438"/>
      <c r="AF23" s="424"/>
    </row>
    <row r="24" spans="2:32" s="21" customFormat="1" ht="12" thickBot="1" x14ac:dyDescent="0.25">
      <c r="P24" s="424"/>
      <c r="Q24" s="424"/>
      <c r="R24" s="424"/>
      <c r="S24" s="424"/>
      <c r="T24" s="437"/>
      <c r="U24" s="436"/>
      <c r="V24" s="436"/>
      <c r="W24" s="424"/>
      <c r="X24" s="424"/>
      <c r="Y24" s="424"/>
      <c r="Z24" s="424"/>
      <c r="AA24" s="424"/>
      <c r="AB24" s="424"/>
      <c r="AC24" s="424"/>
      <c r="AD24" s="424"/>
      <c r="AE24" s="424"/>
      <c r="AF24" s="424"/>
    </row>
    <row r="25" spans="2:32" x14ac:dyDescent="0.2">
      <c r="P25" s="424"/>
      <c r="Q25" s="424"/>
      <c r="R25" s="435" t="s">
        <v>124</v>
      </c>
      <c r="S25" s="434" t="s">
        <v>207</v>
      </c>
      <c r="T25" s="433" t="s">
        <v>207</v>
      </c>
      <c r="U25" s="432"/>
      <c r="V25" s="424"/>
      <c r="W25" s="424"/>
      <c r="X25" s="424"/>
      <c r="Y25" s="424"/>
      <c r="Z25" s="424"/>
      <c r="AA25" s="424"/>
      <c r="AB25" s="424"/>
      <c r="AC25" s="424"/>
      <c r="AD25" s="424"/>
      <c r="AE25" s="424"/>
      <c r="AF25" s="424"/>
    </row>
    <row r="26" spans="2:32" x14ac:dyDescent="0.2">
      <c r="P26" s="424"/>
      <c r="Q26" s="424"/>
      <c r="R26" s="430" t="s">
        <v>110</v>
      </c>
      <c r="S26" s="429" t="s">
        <v>230</v>
      </c>
      <c r="T26" s="428" t="s">
        <v>40</v>
      </c>
      <c r="U26" s="424"/>
      <c r="V26" s="424"/>
      <c r="W26" s="424"/>
      <c r="X26" s="424"/>
      <c r="Y26" s="431"/>
      <c r="Z26" s="424"/>
      <c r="AA26" s="424"/>
      <c r="AB26" s="424"/>
      <c r="AC26" s="424"/>
      <c r="AD26" s="424"/>
      <c r="AE26" s="424"/>
      <c r="AF26" s="424"/>
    </row>
    <row r="27" spans="2:32" x14ac:dyDescent="0.2">
      <c r="P27" s="424"/>
      <c r="Q27" s="424"/>
      <c r="R27" s="430" t="s">
        <v>266</v>
      </c>
      <c r="S27" s="429" t="s">
        <v>207</v>
      </c>
      <c r="T27" s="428" t="s">
        <v>207</v>
      </c>
      <c r="U27" s="424"/>
      <c r="V27" s="424"/>
      <c r="W27" s="424"/>
      <c r="X27" s="424"/>
      <c r="Y27" s="431"/>
      <c r="Z27" s="424"/>
      <c r="AA27" s="424"/>
      <c r="AB27" s="424"/>
      <c r="AC27" s="424"/>
      <c r="AD27" s="424"/>
      <c r="AE27" s="424"/>
      <c r="AF27" s="424"/>
    </row>
    <row r="28" spans="2:32" x14ac:dyDescent="0.2">
      <c r="P28" s="424"/>
      <c r="Q28" s="424"/>
      <c r="R28" s="430" t="s">
        <v>294</v>
      </c>
      <c r="S28" s="429" t="s">
        <v>207</v>
      </c>
      <c r="T28" s="428" t="s">
        <v>207</v>
      </c>
      <c r="U28" s="424"/>
      <c r="V28" s="424"/>
      <c r="W28" s="424"/>
      <c r="X28" s="424"/>
      <c r="Y28" s="431"/>
      <c r="Z28" s="424"/>
      <c r="AA28" s="424"/>
      <c r="AB28" s="424"/>
      <c r="AC28" s="424"/>
      <c r="AD28" s="424"/>
      <c r="AE28" s="424"/>
      <c r="AF28" s="424"/>
    </row>
    <row r="29" spans="2:32" x14ac:dyDescent="0.2">
      <c r="P29" s="424"/>
      <c r="Q29" s="424"/>
      <c r="R29" s="430" t="s">
        <v>121</v>
      </c>
      <c r="S29" s="429" t="s">
        <v>207</v>
      </c>
      <c r="T29" s="428" t="s">
        <v>207</v>
      </c>
      <c r="U29" s="424"/>
      <c r="V29" s="424"/>
      <c r="W29" s="424"/>
      <c r="X29" s="424"/>
      <c r="Y29" s="424"/>
      <c r="Z29" s="424"/>
      <c r="AA29" s="424"/>
      <c r="AB29" s="424"/>
      <c r="AC29" s="424"/>
      <c r="AD29" s="424"/>
      <c r="AE29" s="424"/>
      <c r="AF29" s="424"/>
    </row>
    <row r="30" spans="2:32" x14ac:dyDescent="0.2">
      <c r="P30" s="424"/>
      <c r="Q30" s="424"/>
      <c r="R30" s="430" t="s">
        <v>120</v>
      </c>
      <c r="S30" s="429" t="s">
        <v>207</v>
      </c>
      <c r="T30" s="428" t="s">
        <v>207</v>
      </c>
      <c r="U30" s="424"/>
      <c r="V30" s="424"/>
      <c r="W30" s="424"/>
      <c r="X30" s="424"/>
      <c r="Y30" s="424"/>
      <c r="Z30" s="424"/>
      <c r="AA30" s="424"/>
      <c r="AB30" s="424"/>
      <c r="AC30" s="424"/>
      <c r="AD30" s="424"/>
      <c r="AE30" s="424"/>
      <c r="AF30" s="424"/>
    </row>
    <row r="31" spans="2:32" ht="13.5" thickBot="1" x14ac:dyDescent="0.25">
      <c r="P31" s="424"/>
      <c r="Q31" s="424"/>
      <c r="R31" s="427" t="s">
        <v>118</v>
      </c>
      <c r="S31" s="426" t="s">
        <v>207</v>
      </c>
      <c r="T31" s="425" t="s">
        <v>207</v>
      </c>
      <c r="U31" s="424"/>
      <c r="V31" s="424"/>
      <c r="W31" s="424"/>
      <c r="X31" s="424"/>
      <c r="Y31" s="424"/>
      <c r="Z31" s="424"/>
      <c r="AA31" s="424"/>
      <c r="AB31" s="424"/>
      <c r="AC31" s="424"/>
      <c r="AD31" s="424"/>
      <c r="AE31" s="424"/>
      <c r="AF31" s="424"/>
    </row>
    <row r="32" spans="2:32" x14ac:dyDescent="0.2">
      <c r="P32" s="424"/>
      <c r="Q32" s="424"/>
      <c r="R32" s="424"/>
      <c r="S32" s="424"/>
      <c r="T32" s="424"/>
      <c r="U32" s="424"/>
      <c r="V32" s="424"/>
      <c r="W32" s="424"/>
      <c r="X32" s="424"/>
      <c r="Y32" s="424"/>
      <c r="Z32" s="424"/>
      <c r="AA32" s="424"/>
      <c r="AB32" s="424"/>
      <c r="AC32" s="424"/>
      <c r="AD32" s="424"/>
      <c r="AE32" s="424"/>
      <c r="AF32" s="424"/>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Euribor365SW#0000</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Euribor3652W#0000</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Euribor3653W#0000</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Euribor3651M#0000</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Euribor3652M#0000</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Euribor3653M#0000</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Euribor3654M#0000</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Euribor3655M#0000</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Euribor3656M#0000</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Euribor3657M#0000</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Euribor3658M#0000</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Euribor3659M#0000</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Euribor36510M#0000</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Euribor36511M#0000</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EuriborSwapIsdaFixA1Y#0000</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EuriborSwapIsdaFixA2Y#0000</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EuriborSwapIsdaFixA3Y#0000</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EuriborSwapIsdaFixA4Y#0000</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EuriborSwapIsdaFixA5Y#0000</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EuriborSwapIsdaFixA6Y#0000</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EuriborSwapIsdaFixA7Y#0000</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EuriborSwapIsdaFixA8Y#0000</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EuriborSwapIsdaFixA9Y#0000</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EuriborSwapIsdaFixA10Y#0000</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EuriborSwapIsdaFixA11Y#0000</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EuriborSwapIsdaFixA12Y#0000</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EuriborSwapIsdaFixA13Y#0000</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EuriborSwapIsdaFixA14Y#0000</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EuriborSwapIsdaFixA15Y#0000</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EuriborSwapIsdaFixA16Y#0000</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EuriborSwapIsdaFixA17Y#0000</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EuriborSwapIsdaFixA18Y#0000</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EuriborSwapIsdaFixA19Y#0000</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EuriborSwapIsdaFixA20Y#0000</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EuriborSwapIsdaFixA21Y#0000</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EuriborSwapIsdaFixA22Y#0000</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EuriborSwapIsdaFixA23Y#0000</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EuriborSwapIsdaFixA24Y#0000</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EuriborSwapIsdaFixA25Y#0000</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EuriborSwapIsdaFixA26Y#0000</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EuriborSwapIsdaFixA27Y#0000</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EuriborSwapIsdaFixA28Y#0000</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EuriborSwapIsdaFixA29Y#0000</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EuriborSwapIsdaFixA30Y#0000</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EuriborSwapIsdaFixA31Y#0000</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EuriborSwapIsdaFixA33Y#0000</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EuriborSwapIsdaFixA34Y#0000</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EuriborSwapIsdaFixA35Y#0000</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EuriborSwapIsdaFixA36Y#0000</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EuriborSwapIsdaFixA37Y#0000</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EuriborSwapIsdaFixA38Y#0000</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EuriborSwapIsdaFixA39Y#0000</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EuriborSwapIsdaFixA40Y#0000</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EuriborSwapIsdaFixA41Y#0000</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EuriborSwapIsdaFixA42Y#0000</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EuriborSwapIsdaFixA43Y#0000</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EuriborSwapIsdaFixA44Y#0000</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EuriborSwapIsdaFixA45Y#0000</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EuriborSwapIsdaFixA46Y#0000</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EuriborSwapIsdaFixA47Y#0000</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EuriborSwapIsdaFixA48Y#0000</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EuriborSwapIsdaFixA49Y#0000</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EuriborSwapIsdaFixA50Y#0000</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EuriborSwapIsdaFixA51Y#0000</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EuriborSwapIsdaFixA52Y#0000</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EuriborSwapIsdaFixA53Y#0000</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EuriborSwapIsdaFixA54Y#0000</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EuriborSwapIsdaFixA55Y#0000</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EuriborSwapIsdaFixA56Y#0000</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EuriborSwapIsdaFixA57Y#0000</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EuriborSwapIsdaFixA58Y#0000</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EuriborSwapIsdaFixA59Y#0000</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EuriborSwapIsdaFixB1Y#0000</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EuriborSwapIsdaFixB2Y#0000</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EuriborSwapIsdaFixB3Y#0000</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EuriborSwapIsdaFixB4Y#0000</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EuriborSwapIsdaFixB5Y#0000</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EuriborSwapIsdaFixB6Y#0000</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EuriborSwapIsdaFixB7Y#0000</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EuriborSwapIsdaFixB8Y#0000</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EuriborSwapIsdaFixB9Y#0000</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EuriborSwapIsdaFixB10Y#0000</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EuriborSwapIsdaFixB11Y#0000</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EuriborSwapIsdaFixB12Y#0000</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EuriborSwapIsdaFixB13Y#0000</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EuriborSwapIsdaFixB14Y#0000</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EuriborSwapIsdaFixB15Y#0000</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EuriborSwapIsdaFixB16Y#0000</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EuriborSwapIsdaFixB17Y#0000</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EuriborSwapIsdaFixB18Y#0000</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EuriborSwapIsdaFixB19Y#0000</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EuriborSwapIsdaFixB20Y#0000</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EuriborSwapIsdaFixB21Y#0000</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EuriborSwapIsdaFixB22Y#0000</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EuriborSwapIsdaFixB23Y#0000</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EuriborSwapIsdaFixB24Y#0000</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EuriborSwapIsdaFixB25Y#0000</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EuriborSwapIsdaFixB26Y#0000</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EuriborSwapIsdaFixB27Y#0000</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EuriborSwapIsdaFixB28Y#0000</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EuriborSwapIsdaFixB29Y#0000</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EuriborSwapIsdaFixB30Y#0000</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EuriborSwapIsdaFixB31Y#0000</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EuriborSwapIsdaFixB33Y#0000</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EuriborSwapIsdaFixB34Y#0000</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EuriborSwapIsdaFixB35Y#0000</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EuriborSwapIsdaFixB36Y#0000</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EuriborSwapIsdaFixB37Y#0000</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EuriborSwapIsdaFixB38Y#0000</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EuriborSwapIsdaFixB39Y#0000</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EuriborSwapIsdaFixB40Y#0000</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EuriborSwapIsdaFixB41Y#0000</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EuriborSwapIsdaFixB42Y#0000</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EuriborSwapIsdaFixB43Y#0000</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EuriborSwapIsdaFixB44Y#0000</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EuriborSwapIsdaFixB45Y#0000</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EuriborSwapIsdaFixB46Y#0000</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EuriborSwapIsdaFixB47Y#0000</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EuriborSwapIsdaFixB48Y#0000</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EuriborSwapIsdaFixB49Y#0000</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EuriborSwapIsdaFixB50Y#0000</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EuriborSwapIsdaFixB51Y#0000</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EuriborSwapIsdaFixB52Y#0000</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EuriborSwapIsdaFixB53Y#0000</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EuriborSwapIsdaFixB54Y#0000</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EuriborSwapIsdaFixB55Y#0000</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EuriborSwapIsdaFixB56Y#0000</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EuriborSwapIsdaFixB57Y#0000</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EuriborSwapIsdaFixB58Y#0000</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EuriborSwapIsdaFixB59Y#0000</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EuriborSwapIfrFix1Y#0000</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EuriborSwapIfrFix2Y#0000</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EuriborSwapIfrFix3Y#0000</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EuriborSwapIfrFix4Y#0000</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EuriborSwapIfrFix5Y#0000</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EuriborSwapIfrFix6Y#0000</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EuriborSwapIfrFix7Y#0000</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EuriborSwapIfrFix8Y#0000</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EuriborSwapIfrFix9Y#0000</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EuriborSwapIfrFix10Y#0000</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EuriborSwapIfrFix11Y#0000</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EuriborSwapIfrFix12Y#0000</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EuriborSwapIfrFix13Y#0000</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EuriborSwapIfrFix14Y#0000</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EuriborSwapIfrFix15Y#0000</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EuriborSwapIfrFix16Y#0000</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EuriborSwapIfrFix17Y#0000</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EuriborSwapIfrFix18Y#0000</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EuriborSwapIfrFix19Y#0000</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EuriborSwapIfrFix20Y#0000</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EuriborSwapIfrFix21Y#0000</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EuriborSwapIfrFix22Y#0000</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EuriborSwapIfrFix23Y#0000</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EuriborSwapIfrFix24Y#0000</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EuriborSwapIfrFix25Y#0000</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EuriborSwapIfrFix26Y#0000</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EuriborSwapIfrFix27Y#0000</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EuriborSwapIfrFix28Y#0000</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EuriborSwapIfrFix29Y#0000</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EuriborSwapIfrFix30Y#0000</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EuriborSwapIfrFix31Y#0000</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EuriborSwapIfrFix33Y#0000</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EuriborSwapIfrFix34Y#0000</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EuriborSwapIfrFix35Y#0000</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EuriborSwapIfrFix36Y#0000</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EuriborSwapIfrFix37Y#0000</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EuriborSwapIfrFix38Y#0000</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EuriborSwapIfrFix39Y#0000</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EuriborSwapIfrFix40Y#0000</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EuriborSwapIfrFix41Y#0000</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EuriborSwapIfrFix42Y#0000</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EuriborSwapIfrFix43Y#0000</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EuriborSwapIfrFix44Y#0000</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EuriborSwapIfrFix45Y#0000</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EuriborSwapIfrFix46Y#0000</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EuriborSwapIfrFix47Y#0000</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EuriborSwapIfrFix48Y#0000</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EuriborSwapIfrFix49Y#0000</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EuriborSwapIfrFix50Y#0000</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EuriborSwapIfrFix51Y#0000</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EuriborSwapIfrFix52Y#0000</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EuriborSwapIfrFix53Y#0000</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EuriborSwapIfrFix54Y#0000</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EuriborSwapIfrFix55Y#0000</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EuriborSwapIfrFix56Y#0000</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EuriborSwapIfrFix57Y#0000</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EuriborSwapIfrFix58Y#0000</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EuriborSwapIfrFix59Y#0000</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EurLiborON#0000</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EurLiborSW#0000</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EurLibor2W#0000</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EurLibor1M#0000</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EurLibor2M#0000</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EurLibor3M#0000</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EurLibor4M#0000</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EurLibor5M#0000</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EurLibor6M#0000</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EurLibor7M#0000</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EurLibor8M#0000</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EurLibor9M#0000</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EurLibor10M#0000</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EurLibor11M#0000</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EurLibor1Y#0000</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EurLiborSwapIsdaFixA1Y#0000</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EurLiborSwapIsdaFixA2Y#0000</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EurLiborSwapIsdaFixA3Y#0000</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EurLiborSwapIsdaFixA4Y#0000</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EurLiborSwapIsdaFixA5Y#0000</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EurLiborSwapIsdaFixA6Y#0000</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EurLiborSwapIsdaFixA7Y#0000</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EurLiborSwapIsdaFixA8Y#0000</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EurLiborSwapIsdaFixA9Y#0000</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EurLiborSwapIsdaFixA10Y#0000</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EurLiborSwapIsdaFixA11Y#0000</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EurLiborSwapIsdaFixA12Y#0000</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EurLiborSwapIsdaFixA13Y#0000</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EurLiborSwapIsdaFixA14Y#0000</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EurLiborSwapIsdaFixA15Y#0000</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EurLiborSwapIsdaFixA16Y#0000</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EurLiborSwapIsdaFixA17Y#0000</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EurLiborSwapIsdaFixA18Y#0000</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EurLiborSwapIsdaFixA19Y#0000</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EurLiborSwapIsdaFixA20Y#0000</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EurLiborSwapIsdaFixA21Y#0000</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EurLiborSwapIsdaFixA22Y#0000</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EurLiborSwapIsdaFixA23Y#0000</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EurLiborSwapIsdaFixA24Y#0000</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EurLiborSwapIsdaFixA25Y#0000</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EurLiborSwapIsdaFixA26Y#0000</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EurLiborSwapIsdaFixA27Y#0000</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EurLiborSwapIsdaFixA28Y#0000</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EurLiborSwapIsdaFixA29Y#0000</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EurLiborSwapIsdaFixA30Y#0000</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EurLiborSwapIsdaFixA31Y#0000</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EurLiborSwapIsdaFixA33Y#0000</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EurLiborSwapIsdaFixA34Y#0000</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EurLiborSwapIsdaFixA35Y#0000</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EurLiborSwapIsdaFixA36Y#0000</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EurLiborSwapIsdaFixA37Y#0000</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EurLiborSwapIsdaFixA38Y#0000</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EurLiborSwapIsdaFixA39Y#0000</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EurLiborSwapIsdaFixA40Y#0000</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EurLiborSwapIsdaFixA41Y#0000</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EurLiborSwapIsdaFixA42Y#0000</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EurLiborSwapIsdaFixA43Y#0000</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EurLiborSwapIsdaFixA44Y#0000</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EurLiborSwapIsdaFixA45Y#0000</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EurLiborSwapIsdaFixA46Y#0000</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EurLiborSwapIsdaFixA47Y#0000</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EurLiborSwapIsdaFixA48Y#0000</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EurLiborSwapIsdaFixA49Y#0000</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EurLiborSwapIsdaFixA50Y#0000</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EurLiborSwapIsdaFixA51Y#0000</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EurLiborSwapIsdaFixA52Y#0000</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EurLiborSwapIsdaFixA53Y#0000</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EurLiborSwapIsdaFixA54Y#0000</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EurLiborSwapIsdaFixA55Y#0000</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EurLiborSwapIsdaFixA56Y#0000</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EurLiborSwapIsdaFixA57Y#0000</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EurLiborSwapIsdaFixA58Y#0000</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EurLiborSwapIsdaFixA59Y#0000</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EurLiborSwapIsdaFixB1Y#0000</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EurLiborSwapIsdaFixB2Y#0000</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EurLiborSwapIsdaFixB3Y#0000</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EurLiborSwapIsdaFixB4Y#0000</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EurLiborSwapIsdaFixB5Y#0000</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EurLiborSwapIsdaFixB6Y#0000</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EurLiborSwapIsdaFixB7Y#0000</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EurLiborSwapIsdaFixB8Y#0000</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EurLiborSwapIsdaFixB9Y#0000</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EurLiborSwapIsdaFixB10Y#0000</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EurLiborSwapIsdaFixB11Y#0000</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EurLiborSwapIsdaFixB12Y#0000</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EurLiborSwapIsdaFixB13Y#0000</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EurLiborSwapIsdaFixB14Y#0000</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EurLiborSwapIsdaFixB15Y#0000</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EurLiborSwapIsdaFixB16Y#0000</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EurLiborSwapIsdaFixB17Y#0000</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EurLiborSwapIsdaFixB18Y#0000</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EurLiborSwapIsdaFixB19Y#0000</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EurLiborSwapIsdaFixB20Y#0000</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EurLiborSwapIsdaFixB21Y#0000</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EurLiborSwapIsdaFixB22Y#0000</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EurLiborSwapIsdaFixB23Y#0000</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EurLiborSwapIsdaFixB24Y#0000</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EurLiborSwapIsdaFixB25Y#0000</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EurLiborSwapIsdaFixB26Y#0000</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EurLiborSwapIsdaFixB27Y#0000</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EurLiborSwapIsdaFixB28Y#0000</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EurLiborSwapIsdaFixB29Y#0000</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EurLiborSwapIsdaFixB30Y#0000</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EurLiborSwapIsdaFixB31Y#0000</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EurLiborSwapIsdaFixB33Y#0000</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EurLiborSwapIsdaFixB34Y#0000</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EurLiborSwapIsdaFixB35Y#0000</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EurLiborSwapIsdaFixB36Y#0000</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EurLiborSwapIsdaFixB37Y#0000</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EurLiborSwapIsdaFixB38Y#0000</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EurLiborSwapIsdaFixB39Y#0000</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EurLiborSwapIsdaFixB40Y#0000</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EurLiborSwapIsdaFixB41Y#0000</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EurLiborSwapIsdaFixB42Y#0000</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EurLiborSwapIsdaFixB43Y#0000</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EurLiborSwapIsdaFixB44Y#0000</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EurLiborSwapIsdaFixB45Y#0000</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EurLiborSwapIsdaFixB46Y#0000</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EurLiborSwapIsdaFixB47Y#0000</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EurLiborSwapIsdaFixB48Y#0000</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EurLiborSwapIsdaFixB49Y#0000</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EurLiborSwapIsdaFixB50Y#0000</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EurLiborSwapIsdaFixB51Y#0000</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EurLiborSwapIsdaFixB52Y#0000</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EurLiborSwapIsdaFixB53Y#0000</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EurLiborSwapIsdaFixB54Y#0000</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EurLiborSwapIsdaFixB55Y#0000</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EurLiborSwapIsdaFixB56Y#0000</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EurLiborSwapIsdaFixB57Y#0000</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EurLiborSwapIsdaFixB58Y#0000</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EurLiborSwapIsdaFixB59Y#0000</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EurLiborSwapIfrFix1Y#0000</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EurLiborSwapIfrFix2Y#0000</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EurLiborSwapIfrFix3Y#0000</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EurLiborSwapIfrFix4Y#0000</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EurLiborSwapIfrFix5Y#0000</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EurLiborSwapIfrFix6Y#0000</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EurLiborSwapIfrFix7Y#0000</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EurLiborSwapIfrFix8Y#0000</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EurLiborSwapIfrFix9Y#0000</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EurLiborSwapIfrFix10Y#0000</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EurLiborSwapIfrFix11Y#0000</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EurLiborSwapIfrFix12Y#0000</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EurLiborSwapIfrFix13Y#0000</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EurLiborSwapIfrFix14Y#0000</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EurLiborSwapIfrFix15Y#0000</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EurLiborSwapIfrFix16Y#0000</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EurLiborSwapIfrFix17Y#0000</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EurLiborSwapIfrFix18Y#0000</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EurLiborSwapIfrFix19Y#0000</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EurLiborSwapIfrFix20Y#0000</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EurLiborSwapIfrFix21Y#0000</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EurLiborSwapIfrFix22Y#0000</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EurLiborSwapIfrFix23Y#0000</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EurLiborSwapIfrFix24Y#0000</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EurLiborSwapIfrFix25Y#0000</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EurLiborSwapIfrFix26Y#0000</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EurLiborSwapIfrFix27Y#0000</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EurLiborSwapIfrFix28Y#0000</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EurLiborSwapIfrFix29Y#0000</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EurLiborSwapIfrFix30Y#0000</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EurLiborSwapIfrFix31Y#0000</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EurLiborSwapIfrFix32Y#0000</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EurLiborSwapIfrFix33Y#0000</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EurLiborSwapIfrFix34Y#0000</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EurLiborSwapIfrFix35Y#0000</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EurLiborSwapIfrFix36Y#0000</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EurLiborSwapIfrFix37Y#0000</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EurLiborSwapIfrFix38Y#0000</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EurLiborSwapIfrFix39Y#0000</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EurLiborSwapIfrFix40Y#0000</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EurLiborSwapIfrFix41Y#0000</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EurLiborSwapIfrFix42Y#0000</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EurLiborSwapIfrFix43Y#0000</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EurLiborSwapIfrFix44Y#0000</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EurLiborSwapIfrFix45Y#0000</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EurLiborSwapIfrFix46Y#0000</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EurLiborSwapIfrFix47Y#0000</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EurLiborSwapIfrFix48Y#0000</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EurLiborSwapIfrFix49Y#0000</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EurLiborSwapIfrFix50Y#0000</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EurLiborSwapIfrFix51Y#0000</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EurLiborSwapIfrFix52Y#0000</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EurLiborSwapIfrFix53Y#0000</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EurLiborSwapIfrFix54Y#0000</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EurLiborSwapIfrFix55Y#0000</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EurLiborSwapIfrFix56Y#0000</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EurLiborSwapIfrFix57Y#0000</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EurLiborSwapIfrFix58Y#0000</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EurLiborSwapIfrFix59Y#0000</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EurLiborSwapIfrFix60Y#0000</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H43"/>
  <sheetViews>
    <sheetView workbookViewId="0">
      <selection activeCell="AB10" sqref="AB10"/>
    </sheetView>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9" width="9.140625" style="68"/>
    <col min="30" max="31" width="2.7109375" style="68" customWidth="1"/>
    <col min="32" max="16384" width="9.140625" style="68"/>
  </cols>
  <sheetData>
    <row r="1" spans="1:34" x14ac:dyDescent="0.2">
      <c r="N1" s="315" t="s">
        <v>293</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253"/>
      <c r="P2" s="253"/>
      <c r="Q2" s="253"/>
      <c r="R2" s="253"/>
      <c r="S2" s="144" t="s">
        <v>222</v>
      </c>
      <c r="T2" s="253"/>
      <c r="U2" s="253"/>
      <c r="V2" s="253"/>
      <c r="W2" s="253"/>
      <c r="X2" s="137"/>
      <c r="Y2" s="253"/>
      <c r="Z2" s="253"/>
      <c r="AA2" s="253"/>
      <c r="AB2" s="253"/>
      <c r="AC2" s="137"/>
      <c r="AD2" s="49"/>
      <c r="AE2" s="17"/>
      <c r="AF2" s="17"/>
      <c r="AG2" s="17"/>
      <c r="AH2" s="17"/>
    </row>
    <row r="3" spans="1:34" x14ac:dyDescent="0.2">
      <c r="A3" s="103" t="s">
        <v>137</v>
      </c>
      <c r="B3" s="98"/>
      <c r="C3" s="98"/>
      <c r="D3" s="98"/>
      <c r="E3" s="96"/>
      <c r="F3" s="97"/>
      <c r="G3" s="96"/>
      <c r="H3" s="95"/>
      <c r="N3" s="122"/>
      <c r="O3" s="253"/>
      <c r="P3" s="137"/>
      <c r="Q3" s="137"/>
      <c r="R3" s="137"/>
      <c r="S3" s="137" t="str">
        <f>_xll.qlInterpolation(,InterpolationType,_xll.ohFilter(N5:N42,W5:W42),_xll.ohFilter(V5:V42,W5:W42))</f>
        <v>obj_00702#0000</v>
      </c>
      <c r="T3" s="137"/>
      <c r="U3" s="137"/>
      <c r="V3" s="137"/>
      <c r="W3" s="137"/>
      <c r="X3" s="137"/>
      <c r="Y3" s="253"/>
      <c r="Z3" s="253"/>
      <c r="AA3" s="253"/>
      <c r="AB3" s="137"/>
      <c r="AC3" s="284">
        <f>_xll.ohTrigger(AC5:AC42)</f>
        <v>1</v>
      </c>
      <c r="AD3" s="217"/>
      <c r="AE3" s="17"/>
      <c r="AF3" s="17"/>
      <c r="AG3" s="17"/>
      <c r="AH3" s="17"/>
    </row>
    <row r="4" spans="1:34"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6" t="s">
        <v>237</v>
      </c>
      <c r="AC4" s="94" t="s">
        <v>236</v>
      </c>
      <c r="AD4" s="217"/>
      <c r="AE4" s="17"/>
      <c r="AF4" s="17"/>
      <c r="AG4" s="17"/>
      <c r="AH4" s="17"/>
    </row>
    <row r="5" spans="1:34"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EUR1E6E6M_Quote#0000</v>
      </c>
      <c r="G5" s="75" t="str">
        <f>_xll.ohRangeRetrieveError(F5)</f>
        <v/>
      </c>
      <c r="H5" s="74"/>
      <c r="I5" s="68"/>
      <c r="J5" s="68"/>
      <c r="K5" s="68"/>
      <c r="L5" s="68"/>
      <c r="N5" s="380">
        <v>0.5</v>
      </c>
      <c r="O5" s="301" t="s">
        <v>27</v>
      </c>
      <c r="P5" s="300" t="str">
        <f t="array" ref="P5:P42">VLOOKUP(Currency,Conventions,2)</f>
        <v>1E</v>
      </c>
      <c r="Q5" s="300" t="str">
        <f t="array" ref="Q5:Q42">VLOOKUP(Currency,Conventions,3)</f>
        <v>6E</v>
      </c>
      <c r="R5" s="298" t="str">
        <f t="shared" ref="R5:R42" si="1">Currency&amp;$P5&amp;$Q5&amp;$O5</f>
        <v>EUR1E6E6M</v>
      </c>
      <c r="S5" s="263" t="str">
        <f t="array" ref="S5:S42">Instruments&amp;"="&amp;VLOOKUP(Contributor,ContributorTable,2,FALSE)</f>
        <v>EUR1E6E6M=ICAP</v>
      </c>
      <c r="T5" s="379" t="s">
        <v>244</v>
      </c>
      <c r="U5" s="379" t="s">
        <v>244</v>
      </c>
      <c r="V5" s="379" t="e">
        <f>_xll.qlMidEquivalent(T5,U5)</f>
        <v>#NUM!</v>
      </c>
      <c r="W5" s="259" t="b">
        <f t="shared" ref="W5:W42" si="2">IF(ISNUMBER(V5),TRUE,FALSE)</f>
        <v>0</v>
      </c>
      <c r="X5" s="378" t="e">
        <f t="array" ref="X5:X42">_xll.qlInterpolationInterpolate(S3,N5:N42)</f>
        <v>#NUM!</v>
      </c>
      <c r="Y5" s="253"/>
      <c r="Z5" s="377" t="e">
        <v>#NUM!</v>
      </c>
      <c r="AA5" s="253"/>
      <c r="AB5" s="576" t="e">
        <f t="array" ref="AB5:AB42">QuoteStatic</f>
        <v>#NUM!</v>
      </c>
      <c r="AC5" s="258" t="e">
        <f>_xll.qlSimpleQuoteSetValue(F5,ROUND(AB5/10000,6),Trigger)</f>
        <v>#NUM!</v>
      </c>
      <c r="AD5" s="217"/>
      <c r="AE5" s="17"/>
      <c r="AF5" s="89" t="s">
        <v>124</v>
      </c>
      <c r="AG5" s="88" t="s">
        <v>116</v>
      </c>
      <c r="AH5" s="87" t="s">
        <v>119</v>
      </c>
    </row>
    <row r="6" spans="1:34" s="16" customFormat="1" ht="12.75" x14ac:dyDescent="0.2">
      <c r="A6" s="80"/>
      <c r="B6" s="90" t="s">
        <v>21</v>
      </c>
      <c r="C6" s="78" t="str">
        <f t="shared" ref="C6:C42" si="3">C5</f>
        <v>1E</v>
      </c>
      <c r="D6" s="77" t="str">
        <f t="shared" ref="D6:D42" si="4">D5</f>
        <v>6E</v>
      </c>
      <c r="E6" s="76" t="str">
        <f t="shared" si="0"/>
        <v>EUR1E6E1Y_Quote</v>
      </c>
      <c r="F6" s="76" t="str">
        <f>_xll.qlSimpleQuote(E6,,RateTickValue,Permanent,Trigger,ObjectOverwrite)</f>
        <v>EUR1E6E1Y_Quote#0000</v>
      </c>
      <c r="G6" s="75" t="str">
        <f>_xll.ohRangeRetrieveError(F6)</f>
        <v/>
      </c>
      <c r="H6" s="74"/>
      <c r="I6" s="68"/>
      <c r="J6" s="68"/>
      <c r="K6" s="68"/>
      <c r="L6" s="68"/>
      <c r="N6" s="380">
        <v>1</v>
      </c>
      <c r="O6" s="301" t="s">
        <v>21</v>
      </c>
      <c r="P6" s="300" t="str">
        <v>1E</v>
      </c>
      <c r="Q6" s="300" t="str">
        <v>6E</v>
      </c>
      <c r="R6" s="298" t="str">
        <f t="shared" si="1"/>
        <v>EUR1E6E1Y</v>
      </c>
      <c r="S6" s="263" t="str">
        <v>EUR1E6E1Y=ICAP</v>
      </c>
      <c r="T6" s="379">
        <v>22</v>
      </c>
      <c r="U6" s="379">
        <v>0</v>
      </c>
      <c r="V6" s="379">
        <f>_xll.qlMidEquivalent(T6,U6)</f>
        <v>22</v>
      </c>
      <c r="W6" s="259" t="b">
        <f t="shared" si="2"/>
        <v>1</v>
      </c>
      <c r="X6" s="378">
        <v>22</v>
      </c>
      <c r="Y6" s="253"/>
      <c r="Z6" s="377">
        <v>22</v>
      </c>
      <c r="AA6" s="253"/>
      <c r="AB6" s="576">
        <v>22</v>
      </c>
      <c r="AC6" s="258" t="e">
        <f>_xll.qlSimpleQuoteSetValue(F6,ROUND(AB6/10000,6),Trigger)</f>
        <v>#N/A</v>
      </c>
      <c r="AD6" s="217"/>
      <c r="AE6" s="17"/>
      <c r="AF6" s="86" t="s">
        <v>110</v>
      </c>
      <c r="AG6" s="85" t="s">
        <v>123</v>
      </c>
      <c r="AH6" s="84" t="s">
        <v>122</v>
      </c>
    </row>
    <row r="7" spans="1:34" s="16" customFormat="1" ht="12.75" x14ac:dyDescent="0.2">
      <c r="A7" s="80"/>
      <c r="B7" s="90" t="s">
        <v>127</v>
      </c>
      <c r="C7" s="78" t="str">
        <f t="shared" si="3"/>
        <v>1E</v>
      </c>
      <c r="D7" s="77" t="str">
        <f t="shared" si="4"/>
        <v>6E</v>
      </c>
      <c r="E7" s="76" t="str">
        <f t="shared" si="0"/>
        <v>EUR1E6E15M_Quote</v>
      </c>
      <c r="F7" s="76" t="str">
        <f>_xll.qlSimpleQuote(E7,,RateTickValue,Permanent,Trigger,ObjectOverwrite)</f>
        <v>EUR1E6E15M_Quote#0000</v>
      </c>
      <c r="G7" s="75" t="str">
        <f>_xll.ohRangeRetrieveError(F7)</f>
        <v/>
      </c>
      <c r="H7" s="74"/>
      <c r="N7" s="380">
        <v>1.25</v>
      </c>
      <c r="O7" s="301" t="s">
        <v>127</v>
      </c>
      <c r="P7" s="300" t="str">
        <v>1E</v>
      </c>
      <c r="Q7" s="300" t="str">
        <v>6E</v>
      </c>
      <c r="R7" s="298" t="str">
        <f t="shared" si="1"/>
        <v>EUR1E6E15M</v>
      </c>
      <c r="S7" s="263" t="str">
        <v>EUR1E6E15M=ICAP</v>
      </c>
      <c r="T7" s="379" t="s">
        <v>244</v>
      </c>
      <c r="U7" s="379" t="s">
        <v>244</v>
      </c>
      <c r="V7" s="379" t="e">
        <f>_xll.qlMidEquivalent(T7,U7)</f>
        <v>#NUM!</v>
      </c>
      <c r="W7" s="259" t="b">
        <f t="shared" si="2"/>
        <v>0</v>
      </c>
      <c r="X7" s="378">
        <v>22.978821515415554</v>
      </c>
      <c r="Y7" s="253"/>
      <c r="Z7" s="377">
        <v>22.978630018969486</v>
      </c>
      <c r="AA7" s="253"/>
      <c r="AB7" s="576">
        <v>22.978630018969486</v>
      </c>
      <c r="AC7" s="258" t="e">
        <f>_xll.qlSimpleQuoteSetValue(F7,ROUND(AB7/10000,6),Trigger)</f>
        <v>#N/A</v>
      </c>
      <c r="AD7" s="217"/>
      <c r="AE7" s="17"/>
      <c r="AF7" s="86" t="s">
        <v>121</v>
      </c>
      <c r="AG7" s="85" t="s">
        <v>116</v>
      </c>
      <c r="AH7" s="84" t="s">
        <v>119</v>
      </c>
    </row>
    <row r="8" spans="1:34" ht="12.75" x14ac:dyDescent="0.2">
      <c r="A8" s="80"/>
      <c r="B8" s="90" t="s">
        <v>126</v>
      </c>
      <c r="C8" s="78" t="str">
        <f t="shared" si="3"/>
        <v>1E</v>
      </c>
      <c r="D8" s="77" t="str">
        <f t="shared" si="4"/>
        <v>6E</v>
      </c>
      <c r="E8" s="76" t="str">
        <f t="shared" si="0"/>
        <v>EUR1E6E18M_Quote</v>
      </c>
      <c r="F8" s="76" t="str">
        <f>_xll.qlSimpleQuote(E8,,RateTickValue,Permanent,Trigger,ObjectOverwrite)</f>
        <v>EUR1E6E18M_Quote#0000</v>
      </c>
      <c r="G8" s="75" t="str">
        <f>_xll.ohRangeRetrieveError(F8)</f>
        <v/>
      </c>
      <c r="H8" s="74"/>
      <c r="I8" s="16"/>
      <c r="J8" s="16"/>
      <c r="K8" s="16"/>
      <c r="L8" s="16"/>
      <c r="N8" s="380">
        <v>1.5</v>
      </c>
      <c r="O8" s="301" t="s">
        <v>126</v>
      </c>
      <c r="P8" s="300" t="str">
        <v>1E</v>
      </c>
      <c r="Q8" s="300" t="str">
        <v>6E</v>
      </c>
      <c r="R8" s="298" t="str">
        <f t="shared" si="1"/>
        <v>EUR1E6E18M</v>
      </c>
      <c r="S8" s="263" t="str">
        <v>EUR1E6E18M=ICAP</v>
      </c>
      <c r="T8" s="379" t="s">
        <v>244</v>
      </c>
      <c r="U8" s="379" t="s">
        <v>244</v>
      </c>
      <c r="V8" s="379" t="e">
        <f>_xll.qlMidEquivalent(T8,U8)</f>
        <v>#NUM!</v>
      </c>
      <c r="W8" s="259" t="b">
        <f t="shared" si="2"/>
        <v>0</v>
      </c>
      <c r="X8" s="378">
        <v>23.906114424664885</v>
      </c>
      <c r="Y8" s="253"/>
      <c r="Z8" s="377">
        <v>23.905808030351182</v>
      </c>
      <c r="AA8" s="253"/>
      <c r="AB8" s="576">
        <v>23.905808030351182</v>
      </c>
      <c r="AC8" s="258" t="e">
        <f>_xll.qlSimpleQuoteSetValue(F8,ROUND(AB8/10000,6),Trigger)</f>
        <v>#N/A</v>
      </c>
      <c r="AD8" s="217"/>
      <c r="AE8" s="17"/>
      <c r="AF8" s="86" t="s">
        <v>120</v>
      </c>
      <c r="AG8" s="85" t="s">
        <v>116</v>
      </c>
      <c r="AH8" s="84" t="s">
        <v>119</v>
      </c>
    </row>
    <row r="9" spans="1:34" ht="13.5" thickBot="1" x14ac:dyDescent="0.25">
      <c r="A9" s="80"/>
      <c r="B9" s="90" t="s">
        <v>125</v>
      </c>
      <c r="C9" s="78" t="str">
        <f t="shared" si="3"/>
        <v>1E</v>
      </c>
      <c r="D9" s="77" t="str">
        <f t="shared" si="4"/>
        <v>6E</v>
      </c>
      <c r="E9" s="76" t="str">
        <f t="shared" si="0"/>
        <v>EUR1E6E21M_Quote</v>
      </c>
      <c r="F9" s="76" t="str">
        <f>_xll.qlSimpleQuote(E9,,RateTickValue,Permanent,Trigger,ObjectOverwrite)</f>
        <v>EUR1E6E21M_Quote#0000</v>
      </c>
      <c r="G9" s="75" t="str">
        <f>_xll.ohRangeRetrieveError(F9)</f>
        <v/>
      </c>
      <c r="H9" s="74"/>
      <c r="I9" s="16"/>
      <c r="J9" s="16"/>
      <c r="K9" s="16"/>
      <c r="L9" s="16"/>
      <c r="N9" s="380">
        <v>1.75</v>
      </c>
      <c r="O9" s="301" t="s">
        <v>125</v>
      </c>
      <c r="P9" s="300" t="str">
        <v>1E</v>
      </c>
      <c r="Q9" s="300" t="str">
        <v>6E</v>
      </c>
      <c r="R9" s="298" t="str">
        <f t="shared" si="1"/>
        <v>EUR1E6E21M</v>
      </c>
      <c r="S9" s="263" t="str">
        <v>EUR1E6E21M=ICAP</v>
      </c>
      <c r="T9" s="379" t="s">
        <v>244</v>
      </c>
      <c r="U9" s="379" t="s">
        <v>244</v>
      </c>
      <c r="V9" s="379" t="e">
        <f>_xll.qlMidEquivalent(T9,U9)</f>
        <v>#NUM!</v>
      </c>
      <c r="W9" s="259" t="b">
        <f t="shared" si="2"/>
        <v>0</v>
      </c>
      <c r="X9" s="378">
        <v>24.730350121581775</v>
      </c>
      <c r="Y9" s="253"/>
      <c r="Z9" s="377">
        <v>24.730082026557284</v>
      </c>
      <c r="AA9" s="253"/>
      <c r="AB9" s="576">
        <v>24.730082026557284</v>
      </c>
      <c r="AC9" s="258" t="e">
        <f>_xll.qlSimpleQuoteSetValue(F9,ROUND(AB9/10000,6),Trigger)</f>
        <v>#N/A</v>
      </c>
      <c r="AD9" s="217"/>
      <c r="AE9" s="17"/>
      <c r="AF9" s="83" t="s">
        <v>118</v>
      </c>
      <c r="AG9" s="82" t="s">
        <v>117</v>
      </c>
      <c r="AH9" s="81" t="s">
        <v>116</v>
      </c>
    </row>
    <row r="10" spans="1:34" x14ac:dyDescent="0.2">
      <c r="A10" s="80"/>
      <c r="B10" s="79" t="s">
        <v>102</v>
      </c>
      <c r="C10" s="78" t="str">
        <f t="shared" si="3"/>
        <v>1E</v>
      </c>
      <c r="D10" s="77" t="str">
        <f t="shared" si="4"/>
        <v>6E</v>
      </c>
      <c r="E10" s="76" t="str">
        <f t="shared" si="0"/>
        <v>EUR1E6E2Y_Quote</v>
      </c>
      <c r="F10" s="76" t="str">
        <f>_xll.qlSimpleQuote(E10,,RateTickValue,Permanent,Trigger,ObjectOverwrite)</f>
        <v>EUR1E6E2Y_Quote#0000</v>
      </c>
      <c r="G10" s="75" t="str">
        <f>_xll.ohRangeRetrieveError(F10)</f>
        <v/>
      </c>
      <c r="H10" s="74"/>
      <c r="J10" s="89" t="s">
        <v>124</v>
      </c>
      <c r="K10" s="88" t="s">
        <v>116</v>
      </c>
      <c r="L10" s="87" t="s">
        <v>119</v>
      </c>
      <c r="N10" s="122">
        <v>2</v>
      </c>
      <c r="O10" s="301" t="s">
        <v>102</v>
      </c>
      <c r="P10" s="300" t="str">
        <v>1E</v>
      </c>
      <c r="Q10" s="300" t="str">
        <v>6E</v>
      </c>
      <c r="R10" s="298" t="str">
        <f t="shared" si="1"/>
        <v>EUR1E6E2Y</v>
      </c>
      <c r="S10" s="263" t="str">
        <v>EUR1E6E2Y=ICAP</v>
      </c>
      <c r="T10" s="379">
        <v>25.4</v>
      </c>
      <c r="U10" s="379">
        <v>0</v>
      </c>
      <c r="V10" s="379">
        <f>_xll.qlMidEquivalent(T10,U10)</f>
        <v>25.4</v>
      </c>
      <c r="W10" s="259" t="b">
        <f t="shared" si="2"/>
        <v>1</v>
      </c>
      <c r="X10" s="378">
        <v>25.4</v>
      </c>
      <c r="Y10" s="253"/>
      <c r="Z10" s="377">
        <v>25.4</v>
      </c>
      <c r="AA10" s="253"/>
      <c r="AB10" s="576">
        <v>25.4</v>
      </c>
      <c r="AC10" s="258" t="e">
        <f>_xll.qlSimpleQuoteSetValue(F10,ROUND(AB10/10000,6),Trigger)</f>
        <v>#N/A</v>
      </c>
      <c r="AD10" s="217"/>
      <c r="AE10" s="17"/>
      <c r="AF10" s="17"/>
      <c r="AG10" s="17"/>
      <c r="AH10" s="17"/>
    </row>
    <row r="11" spans="1:34" x14ac:dyDescent="0.2">
      <c r="A11" s="80"/>
      <c r="B11" s="79" t="s">
        <v>101</v>
      </c>
      <c r="C11" s="78" t="str">
        <f t="shared" si="3"/>
        <v>1E</v>
      </c>
      <c r="D11" s="77" t="str">
        <f t="shared" si="4"/>
        <v>6E</v>
      </c>
      <c r="E11" s="76" t="str">
        <f t="shared" si="0"/>
        <v>EUR1E6E3Y_Quote</v>
      </c>
      <c r="F11" s="76" t="str">
        <f>_xll.qlSimpleQuote(E11,,RateTickValue,Permanent,Trigger,ObjectOverwrite)</f>
        <v>EUR1E6E3Y_Quote#0000</v>
      </c>
      <c r="G11" s="75" t="str">
        <f>_xll.ohRangeRetrieveError(F11)</f>
        <v/>
      </c>
      <c r="H11" s="74"/>
      <c r="J11" s="86" t="s">
        <v>110</v>
      </c>
      <c r="K11" s="85" t="s">
        <v>123</v>
      </c>
      <c r="L11" s="84" t="s">
        <v>122</v>
      </c>
      <c r="N11" s="122">
        <v>3</v>
      </c>
      <c r="O11" s="301" t="s">
        <v>101</v>
      </c>
      <c r="P11" s="300" t="str">
        <v>1E</v>
      </c>
      <c r="Q11" s="300" t="str">
        <v>6E</v>
      </c>
      <c r="R11" s="298" t="str">
        <f t="shared" si="1"/>
        <v>EUR1E6E3Y</v>
      </c>
      <c r="S11" s="263" t="str">
        <v>EUR1E6E3Y=ICAP</v>
      </c>
      <c r="T11" s="379">
        <v>26.5</v>
      </c>
      <c r="U11" s="379">
        <v>0</v>
      </c>
      <c r="V11" s="379">
        <f>_xll.qlMidEquivalent(T11,U11)</f>
        <v>26.5</v>
      </c>
      <c r="W11" s="259" t="b">
        <f t="shared" si="2"/>
        <v>1</v>
      </c>
      <c r="X11" s="378">
        <v>26.5</v>
      </c>
      <c r="Y11" s="253"/>
      <c r="Z11" s="377">
        <v>26.5</v>
      </c>
      <c r="AA11" s="253"/>
      <c r="AB11" s="576">
        <v>26.5</v>
      </c>
      <c r="AC11" s="258" t="e">
        <f>_xll.qlSimpleQuoteSetValue(F11,ROUND(AB11/10000,6),Trigger)</f>
        <v>#N/A</v>
      </c>
      <c r="AD11" s="217"/>
      <c r="AE11" s="17"/>
      <c r="AF11" s="17"/>
      <c r="AG11" s="17"/>
      <c r="AH11" s="17"/>
    </row>
    <row r="12" spans="1:34" x14ac:dyDescent="0.2">
      <c r="A12" s="80"/>
      <c r="B12" s="79" t="s">
        <v>100</v>
      </c>
      <c r="C12" s="78" t="str">
        <f t="shared" si="3"/>
        <v>1E</v>
      </c>
      <c r="D12" s="77" t="str">
        <f t="shared" si="4"/>
        <v>6E</v>
      </c>
      <c r="E12" s="76" t="str">
        <f t="shared" si="0"/>
        <v>EUR1E6E4Y_Quote</v>
      </c>
      <c r="F12" s="76" t="str">
        <f>_xll.qlSimpleQuote(E12,,RateTickValue,Permanent,Trigger,ObjectOverwrite)</f>
        <v>EUR1E6E4Y_Quote#0000</v>
      </c>
      <c r="G12" s="75" t="str">
        <f>_xll.ohRangeRetrieveError(F12)</f>
        <v/>
      </c>
      <c r="H12" s="74"/>
      <c r="J12" s="86" t="s">
        <v>121</v>
      </c>
      <c r="K12" s="85" t="s">
        <v>116</v>
      </c>
      <c r="L12" s="84" t="s">
        <v>119</v>
      </c>
      <c r="N12" s="122">
        <v>4</v>
      </c>
      <c r="O12" s="301" t="s">
        <v>100</v>
      </c>
      <c r="P12" s="300" t="str">
        <v>1E</v>
      </c>
      <c r="Q12" s="300" t="str">
        <v>6E</v>
      </c>
      <c r="R12" s="298" t="str">
        <f t="shared" si="1"/>
        <v>EUR1E6E4Y</v>
      </c>
      <c r="S12" s="263" t="str">
        <v>EUR1E6E4Y=ICAP</v>
      </c>
      <c r="T12" s="379">
        <v>26.6</v>
      </c>
      <c r="U12" s="379">
        <v>0</v>
      </c>
      <c r="V12" s="379">
        <f>_xll.qlMidEquivalent(T12,U12)</f>
        <v>26.6</v>
      </c>
      <c r="W12" s="259" t="b">
        <f t="shared" si="2"/>
        <v>1</v>
      </c>
      <c r="X12" s="378">
        <v>26.6</v>
      </c>
      <c r="Y12" s="253"/>
      <c r="Z12" s="377">
        <v>26.6</v>
      </c>
      <c r="AA12" s="253"/>
      <c r="AB12" s="576">
        <v>26.6</v>
      </c>
      <c r="AC12" s="258" t="e">
        <f>_xll.qlSimpleQuoteSetValue(F12,ROUND(AB12/10000,6),Trigger)</f>
        <v>#N/A</v>
      </c>
      <c r="AD12" s="217"/>
      <c r="AE12" s="17"/>
      <c r="AF12" s="17"/>
      <c r="AG12" s="17"/>
      <c r="AH12" s="17"/>
    </row>
    <row r="13" spans="1:34" x14ac:dyDescent="0.2">
      <c r="A13" s="80"/>
      <c r="B13" s="79" t="s">
        <v>99</v>
      </c>
      <c r="C13" s="78" t="str">
        <f t="shared" si="3"/>
        <v>1E</v>
      </c>
      <c r="D13" s="77" t="str">
        <f t="shared" si="4"/>
        <v>6E</v>
      </c>
      <c r="E13" s="76" t="str">
        <f t="shared" si="0"/>
        <v>EUR1E6E5Y_Quote</v>
      </c>
      <c r="F13" s="76" t="str">
        <f>_xll.qlSimpleQuote(E13,,RateTickValue,Permanent,Trigger,ObjectOverwrite)</f>
        <v>EUR1E6E5Y_Quote#0000</v>
      </c>
      <c r="G13" s="75" t="str">
        <f>_xll.ohRangeRetrieveError(F13)</f>
        <v/>
      </c>
      <c r="H13" s="74"/>
      <c r="J13" s="86" t="s">
        <v>120</v>
      </c>
      <c r="K13" s="85" t="s">
        <v>116</v>
      </c>
      <c r="L13" s="84" t="s">
        <v>119</v>
      </c>
      <c r="N13" s="122">
        <v>5</v>
      </c>
      <c r="O13" s="301" t="s">
        <v>99</v>
      </c>
      <c r="P13" s="300" t="str">
        <v>1E</v>
      </c>
      <c r="Q13" s="300" t="str">
        <v>6E</v>
      </c>
      <c r="R13" s="298" t="str">
        <f t="shared" si="1"/>
        <v>EUR1E6E5Y</v>
      </c>
      <c r="S13" s="263" t="str">
        <v>EUR1E6E5Y=ICAP</v>
      </c>
      <c r="T13" s="379">
        <v>26.4</v>
      </c>
      <c r="U13" s="379">
        <v>0</v>
      </c>
      <c r="V13" s="379">
        <f>_xll.qlMidEquivalent(T13,U13)</f>
        <v>26.4</v>
      </c>
      <c r="W13" s="259" t="b">
        <f t="shared" si="2"/>
        <v>1</v>
      </c>
      <c r="X13" s="378">
        <v>26.4</v>
      </c>
      <c r="Y13" s="253"/>
      <c r="Z13" s="377">
        <v>26.4</v>
      </c>
      <c r="AA13" s="253"/>
      <c r="AB13" s="576">
        <v>26.4</v>
      </c>
      <c r="AC13" s="258" t="e">
        <f>_xll.qlSimpleQuoteSetValue(F13,ROUND(AB13/10000,6),Trigger)</f>
        <v>#N/A</v>
      </c>
      <c r="AD13" s="217"/>
      <c r="AE13" s="17"/>
      <c r="AF13" s="17"/>
      <c r="AG13" s="17"/>
      <c r="AH13" s="17"/>
    </row>
    <row r="14" spans="1:34" ht="12" thickBot="1" x14ac:dyDescent="0.25">
      <c r="A14" s="80"/>
      <c r="B14" s="79" t="s">
        <v>98</v>
      </c>
      <c r="C14" s="78" t="str">
        <f t="shared" si="3"/>
        <v>1E</v>
      </c>
      <c r="D14" s="77" t="str">
        <f t="shared" si="4"/>
        <v>6E</v>
      </c>
      <c r="E14" s="76" t="str">
        <f t="shared" si="0"/>
        <v>EUR1E6E6Y_Quote</v>
      </c>
      <c r="F14" s="76" t="str">
        <f>_xll.qlSimpleQuote(E14,,RateTickValue,Permanent,Trigger,ObjectOverwrite)</f>
        <v>EUR1E6E6Y_Quote#0000</v>
      </c>
      <c r="G14" s="75" t="str">
        <f>_xll.ohRangeRetrieveError(F14)</f>
        <v/>
      </c>
      <c r="H14" s="74"/>
      <c r="J14" s="83" t="s">
        <v>118</v>
      </c>
      <c r="K14" s="82" t="s">
        <v>117</v>
      </c>
      <c r="L14" s="81" t="s">
        <v>116</v>
      </c>
      <c r="N14" s="122">
        <v>6</v>
      </c>
      <c r="O14" s="301" t="s">
        <v>98</v>
      </c>
      <c r="P14" s="300" t="str">
        <v>1E</v>
      </c>
      <c r="Q14" s="300" t="str">
        <v>6E</v>
      </c>
      <c r="R14" s="298" t="str">
        <f t="shared" si="1"/>
        <v>EUR1E6E6Y</v>
      </c>
      <c r="S14" s="263" t="str">
        <v>EUR1E6E6Y=ICAP</v>
      </c>
      <c r="T14" s="379">
        <v>26</v>
      </c>
      <c r="U14" s="379">
        <v>0</v>
      </c>
      <c r="V14" s="379">
        <f>_xll.qlMidEquivalent(T14,U14)</f>
        <v>26</v>
      </c>
      <c r="W14" s="259" t="b">
        <f t="shared" si="2"/>
        <v>1</v>
      </c>
      <c r="X14" s="378">
        <v>26</v>
      </c>
      <c r="Y14" s="253"/>
      <c r="Z14" s="377">
        <v>25.9</v>
      </c>
      <c r="AA14" s="253"/>
      <c r="AB14" s="576">
        <v>25.9</v>
      </c>
      <c r="AC14" s="258" t="e">
        <f>_xll.qlSimpleQuoteSetValue(F14,ROUND(AB14/10000,6),Trigger)</f>
        <v>#N/A</v>
      </c>
      <c r="AD14" s="217"/>
      <c r="AE14" s="17"/>
      <c r="AF14" s="17"/>
      <c r="AG14" s="17"/>
      <c r="AH14" s="17"/>
    </row>
    <row r="15" spans="1:34" x14ac:dyDescent="0.2">
      <c r="A15" s="80"/>
      <c r="B15" s="79" t="s">
        <v>97</v>
      </c>
      <c r="C15" s="78" t="str">
        <f t="shared" si="3"/>
        <v>1E</v>
      </c>
      <c r="D15" s="77" t="str">
        <f t="shared" si="4"/>
        <v>6E</v>
      </c>
      <c r="E15" s="76" t="str">
        <f t="shared" si="0"/>
        <v>EUR1E6E7Y_Quote</v>
      </c>
      <c r="F15" s="76" t="str">
        <f>_xll.qlSimpleQuote(E15,,RateTickValue,Permanent,Trigger,ObjectOverwrite)</f>
        <v>EUR1E6E7Y_Quote#0000</v>
      </c>
      <c r="G15" s="75" t="str">
        <f>_xll.ohRangeRetrieveError(F15)</f>
        <v/>
      </c>
      <c r="H15" s="74"/>
      <c r="N15" s="122">
        <v>7</v>
      </c>
      <c r="O15" s="301" t="s">
        <v>97</v>
      </c>
      <c r="P15" s="300" t="str">
        <v>1E</v>
      </c>
      <c r="Q15" s="300" t="str">
        <v>6E</v>
      </c>
      <c r="R15" s="298" t="str">
        <f t="shared" si="1"/>
        <v>EUR1E6E7Y</v>
      </c>
      <c r="S15" s="263" t="str">
        <v>EUR1E6E7Y=ICAP</v>
      </c>
      <c r="T15" s="379">
        <v>25.3</v>
      </c>
      <c r="U15" s="379">
        <v>0</v>
      </c>
      <c r="V15" s="379">
        <f>_xll.qlMidEquivalent(T15,U15)</f>
        <v>25.3</v>
      </c>
      <c r="W15" s="259" t="b">
        <f t="shared" si="2"/>
        <v>1</v>
      </c>
      <c r="X15" s="378">
        <v>25.3</v>
      </c>
      <c r="Y15" s="253"/>
      <c r="Z15" s="377">
        <v>25.3</v>
      </c>
      <c r="AA15" s="253"/>
      <c r="AB15" s="576">
        <v>25.3</v>
      </c>
      <c r="AC15" s="258" t="e">
        <f>_xll.qlSimpleQuoteSetValue(F15,ROUND(AB15/10000,6),Trigger)</f>
        <v>#N/A</v>
      </c>
      <c r="AD15" s="217"/>
      <c r="AE15" s="17"/>
      <c r="AF15" s="17"/>
      <c r="AG15" s="17"/>
      <c r="AH15" s="17"/>
    </row>
    <row r="16" spans="1:34" x14ac:dyDescent="0.2">
      <c r="A16" s="80"/>
      <c r="B16" s="79" t="s">
        <v>96</v>
      </c>
      <c r="C16" s="78" t="str">
        <f t="shared" si="3"/>
        <v>1E</v>
      </c>
      <c r="D16" s="77" t="str">
        <f t="shared" si="4"/>
        <v>6E</v>
      </c>
      <c r="E16" s="76" t="str">
        <f t="shared" si="0"/>
        <v>EUR1E6E8Y_Quote</v>
      </c>
      <c r="F16" s="76" t="str">
        <f>_xll.qlSimpleQuote(E16,,RateTickValue,Permanent,Trigger,ObjectOverwrite)</f>
        <v>EUR1E6E8Y_Quote#0000</v>
      </c>
      <c r="G16" s="75" t="str">
        <f>_xll.ohRangeRetrieveError(F16)</f>
        <v/>
      </c>
      <c r="H16" s="74"/>
      <c r="N16" s="122">
        <v>8</v>
      </c>
      <c r="O16" s="301" t="s">
        <v>96</v>
      </c>
      <c r="P16" s="300" t="str">
        <v>1E</v>
      </c>
      <c r="Q16" s="300" t="str">
        <v>6E</v>
      </c>
      <c r="R16" s="298" t="str">
        <f t="shared" si="1"/>
        <v>EUR1E6E8Y</v>
      </c>
      <c r="S16" s="263" t="str">
        <v>EUR1E6E8Y=ICAP</v>
      </c>
      <c r="T16" s="379">
        <v>24.6</v>
      </c>
      <c r="U16" s="379">
        <v>0</v>
      </c>
      <c r="V16" s="379">
        <f>_xll.qlMidEquivalent(T16,U16)</f>
        <v>24.6</v>
      </c>
      <c r="W16" s="259" t="b">
        <f t="shared" si="2"/>
        <v>1</v>
      </c>
      <c r="X16" s="378">
        <v>24.6</v>
      </c>
      <c r="Y16" s="253"/>
      <c r="Z16" s="377">
        <v>24.6</v>
      </c>
      <c r="AA16" s="253"/>
      <c r="AB16" s="576">
        <v>24.6</v>
      </c>
      <c r="AC16" s="258" t="e">
        <f>_xll.qlSimpleQuoteSetValue(F16,ROUND(AB16/10000,6),Trigger)</f>
        <v>#N/A</v>
      </c>
      <c r="AD16" s="217"/>
      <c r="AE16" s="17"/>
      <c r="AF16" s="17"/>
      <c r="AG16" s="17"/>
      <c r="AH16" s="17"/>
    </row>
    <row r="17" spans="1:34" x14ac:dyDescent="0.2">
      <c r="A17" s="80"/>
      <c r="B17" s="79" t="s">
        <v>95</v>
      </c>
      <c r="C17" s="78" t="str">
        <f t="shared" si="3"/>
        <v>1E</v>
      </c>
      <c r="D17" s="77" t="str">
        <f t="shared" si="4"/>
        <v>6E</v>
      </c>
      <c r="E17" s="76" t="str">
        <f t="shared" si="0"/>
        <v>EUR1E6E9Y_Quote</v>
      </c>
      <c r="F17" s="76" t="str">
        <f>_xll.qlSimpleQuote(E17,,RateTickValue,Permanent,Trigger,ObjectOverwrite)</f>
        <v>EUR1E6E9Y_Quote#0000</v>
      </c>
      <c r="G17" s="75" t="str">
        <f>_xll.ohRangeRetrieveError(F17)</f>
        <v/>
      </c>
      <c r="H17" s="74"/>
      <c r="N17" s="122">
        <v>9</v>
      </c>
      <c r="O17" s="301" t="s">
        <v>95</v>
      </c>
      <c r="P17" s="300" t="str">
        <v>1E</v>
      </c>
      <c r="Q17" s="300" t="str">
        <v>6E</v>
      </c>
      <c r="R17" s="298" t="str">
        <f t="shared" si="1"/>
        <v>EUR1E6E9Y</v>
      </c>
      <c r="S17" s="263" t="str">
        <v>EUR1E6E9Y=ICAP</v>
      </c>
      <c r="T17" s="379">
        <v>23.9</v>
      </c>
      <c r="U17" s="379">
        <v>0</v>
      </c>
      <c r="V17" s="379">
        <f>_xll.qlMidEquivalent(T17,U17)</f>
        <v>23.9</v>
      </c>
      <c r="W17" s="259" t="b">
        <f t="shared" si="2"/>
        <v>1</v>
      </c>
      <c r="X17" s="378">
        <v>23.9</v>
      </c>
      <c r="Y17" s="253"/>
      <c r="Z17" s="377">
        <v>23.8</v>
      </c>
      <c r="AA17" s="253"/>
      <c r="AB17" s="576">
        <v>23.8</v>
      </c>
      <c r="AC17" s="258" t="e">
        <f>_xll.qlSimpleQuoteSetValue(F17,ROUND(AB17/10000,6),Trigger)</f>
        <v>#N/A</v>
      </c>
      <c r="AD17" s="217"/>
      <c r="AE17" s="17"/>
      <c r="AF17" s="17"/>
      <c r="AG17" s="17"/>
      <c r="AH17" s="17"/>
    </row>
    <row r="18" spans="1:34" x14ac:dyDescent="0.2">
      <c r="A18" s="80"/>
      <c r="B18" s="79" t="s">
        <v>94</v>
      </c>
      <c r="C18" s="78" t="str">
        <f t="shared" si="3"/>
        <v>1E</v>
      </c>
      <c r="D18" s="77" t="str">
        <f t="shared" si="4"/>
        <v>6E</v>
      </c>
      <c r="E18" s="76" t="str">
        <f t="shared" si="0"/>
        <v>EUR1E6E10Y_Quote</v>
      </c>
      <c r="F18" s="76" t="str">
        <f>_xll.qlSimpleQuote(E18,,RateTickValue,Permanent,Trigger,ObjectOverwrite)</f>
        <v>EUR1E6E10Y_Quote#0000</v>
      </c>
      <c r="G18" s="75" t="str">
        <f>_xll.ohRangeRetrieveError(F18)</f>
        <v/>
      </c>
      <c r="H18" s="74"/>
      <c r="N18" s="122">
        <v>10</v>
      </c>
      <c r="O18" s="301" t="s">
        <v>94</v>
      </c>
      <c r="P18" s="300" t="str">
        <v>1E</v>
      </c>
      <c r="Q18" s="300" t="str">
        <v>6E</v>
      </c>
      <c r="R18" s="298" t="str">
        <f t="shared" si="1"/>
        <v>EUR1E6E10Y</v>
      </c>
      <c r="S18" s="263" t="str">
        <v>EUR1E6E10Y=ICAP</v>
      </c>
      <c r="T18" s="379">
        <v>23.1</v>
      </c>
      <c r="U18" s="379">
        <v>0</v>
      </c>
      <c r="V18" s="379">
        <f>_xll.qlMidEquivalent(T18,U18)</f>
        <v>23.1</v>
      </c>
      <c r="W18" s="259" t="b">
        <f t="shared" si="2"/>
        <v>1</v>
      </c>
      <c r="X18" s="378">
        <v>23.1</v>
      </c>
      <c r="Y18" s="253"/>
      <c r="Z18" s="377">
        <v>23</v>
      </c>
      <c r="AA18" s="253"/>
      <c r="AB18" s="576">
        <v>23</v>
      </c>
      <c r="AC18" s="258" t="e">
        <f>_xll.qlSimpleQuoteSetValue(F18,ROUND(AB18/10000,6),Trigger)</f>
        <v>#N/A</v>
      </c>
      <c r="AD18" s="217"/>
      <c r="AE18" s="17"/>
      <c r="AF18" s="17"/>
      <c r="AG18" s="17"/>
      <c r="AH18" s="17"/>
    </row>
    <row r="19" spans="1:34" x14ac:dyDescent="0.2">
      <c r="A19" s="80"/>
      <c r="B19" s="79" t="s">
        <v>93</v>
      </c>
      <c r="C19" s="78" t="str">
        <f t="shared" si="3"/>
        <v>1E</v>
      </c>
      <c r="D19" s="77" t="str">
        <f t="shared" si="4"/>
        <v>6E</v>
      </c>
      <c r="E19" s="76" t="str">
        <f t="shared" si="0"/>
        <v>EUR1E6E11Y_Quote</v>
      </c>
      <c r="F19" s="76" t="str">
        <f>_xll.qlSimpleQuote(E19,,RateTickValue,Permanent,Trigger,ObjectOverwrite)</f>
        <v>EUR1E6E11Y_Quote#0000</v>
      </c>
      <c r="G19" s="75" t="str">
        <f>_xll.ohRangeRetrieveError(F19)</f>
        <v/>
      </c>
      <c r="H19" s="74"/>
      <c r="N19" s="122">
        <v>11</v>
      </c>
      <c r="O19" s="301" t="s">
        <v>93</v>
      </c>
      <c r="P19" s="300" t="str">
        <v>1E</v>
      </c>
      <c r="Q19" s="300" t="str">
        <v>6E</v>
      </c>
      <c r="R19" s="298" t="str">
        <f t="shared" si="1"/>
        <v>EUR1E6E11Y</v>
      </c>
      <c r="S19" s="263" t="str">
        <v>EUR1E6E11Y=ICAP</v>
      </c>
      <c r="T19" s="379">
        <v>22.3</v>
      </c>
      <c r="U19" s="379">
        <v>0</v>
      </c>
      <c r="V19" s="379">
        <f>_xll.qlMidEquivalent(T19,U19)</f>
        <v>22.3</v>
      </c>
      <c r="W19" s="259" t="b">
        <f t="shared" si="2"/>
        <v>1</v>
      </c>
      <c r="X19" s="378">
        <v>22.3</v>
      </c>
      <c r="Y19" s="253"/>
      <c r="Z19" s="377">
        <v>22.3</v>
      </c>
      <c r="AA19" s="253"/>
      <c r="AB19" s="576">
        <v>22.3</v>
      </c>
      <c r="AC19" s="258" t="e">
        <f>_xll.qlSimpleQuoteSetValue(F19,ROUND(AB19/10000,6),Trigger)</f>
        <v>#N/A</v>
      </c>
      <c r="AD19" s="217"/>
      <c r="AE19" s="17"/>
      <c r="AF19" s="17"/>
      <c r="AG19" s="17"/>
      <c r="AH19" s="17"/>
    </row>
    <row r="20" spans="1:34" x14ac:dyDescent="0.2">
      <c r="A20" s="80"/>
      <c r="B20" s="79" t="s">
        <v>92</v>
      </c>
      <c r="C20" s="78" t="str">
        <f t="shared" si="3"/>
        <v>1E</v>
      </c>
      <c r="D20" s="77" t="str">
        <f t="shared" si="4"/>
        <v>6E</v>
      </c>
      <c r="E20" s="76" t="str">
        <f t="shared" si="0"/>
        <v>EUR1E6E12Y_Quote</v>
      </c>
      <c r="F20" s="76" t="str">
        <f>_xll.qlSimpleQuote(E20,,RateTickValue,Permanent,Trigger,ObjectOverwrite)</f>
        <v>EUR1E6E12Y_Quote#0000</v>
      </c>
      <c r="G20" s="75" t="str">
        <f>_xll.ohRangeRetrieveError(F20)</f>
        <v/>
      </c>
      <c r="H20" s="74"/>
      <c r="N20" s="122">
        <v>12</v>
      </c>
      <c r="O20" s="301" t="s">
        <v>92</v>
      </c>
      <c r="P20" s="300" t="str">
        <v>1E</v>
      </c>
      <c r="Q20" s="300" t="str">
        <v>6E</v>
      </c>
      <c r="R20" s="298" t="str">
        <f t="shared" si="1"/>
        <v>EUR1E6E12Y</v>
      </c>
      <c r="S20" s="263" t="str">
        <v>EUR1E6E12Y=ICAP</v>
      </c>
      <c r="T20" s="379">
        <v>21.5</v>
      </c>
      <c r="U20" s="379">
        <v>0</v>
      </c>
      <c r="V20" s="379">
        <f>_xll.qlMidEquivalent(T20,U20)</f>
        <v>21.5</v>
      </c>
      <c r="W20" s="259" t="b">
        <f t="shared" si="2"/>
        <v>1</v>
      </c>
      <c r="X20" s="378">
        <v>21.5</v>
      </c>
      <c r="Y20" s="253"/>
      <c r="Z20" s="377">
        <v>21.5</v>
      </c>
      <c r="AA20" s="253"/>
      <c r="AB20" s="576">
        <v>21.5</v>
      </c>
      <c r="AC20" s="258" t="e">
        <f>_xll.qlSimpleQuoteSetValue(F20,ROUND(AB20/10000,6),Trigger)</f>
        <v>#N/A</v>
      </c>
      <c r="AD20" s="217"/>
      <c r="AE20" s="17"/>
      <c r="AF20" s="17"/>
      <c r="AG20" s="17"/>
      <c r="AH20" s="17"/>
    </row>
    <row r="21" spans="1:34" x14ac:dyDescent="0.2">
      <c r="A21" s="80"/>
      <c r="B21" s="79" t="s">
        <v>91</v>
      </c>
      <c r="C21" s="78" t="str">
        <f t="shared" si="3"/>
        <v>1E</v>
      </c>
      <c r="D21" s="77" t="str">
        <f t="shared" si="4"/>
        <v>6E</v>
      </c>
      <c r="E21" s="76" t="str">
        <f t="shared" si="0"/>
        <v>EUR1E6E13Y_Quote</v>
      </c>
      <c r="F21" s="76" t="str">
        <f>_xll.qlSimpleQuote(E21,,RateTickValue,Permanent,Trigger,ObjectOverwrite)</f>
        <v>EUR1E6E13Y_Quote#0000</v>
      </c>
      <c r="G21" s="75" t="str">
        <f>_xll.ohRangeRetrieveError(F21)</f>
        <v/>
      </c>
      <c r="H21" s="74"/>
      <c r="N21" s="122">
        <v>13</v>
      </c>
      <c r="O21" s="301" t="s">
        <v>91</v>
      </c>
      <c r="P21" s="300" t="str">
        <v>1E</v>
      </c>
      <c r="Q21" s="300" t="str">
        <v>6E</v>
      </c>
      <c r="R21" s="298" t="str">
        <f t="shared" si="1"/>
        <v>EUR1E6E13Y</v>
      </c>
      <c r="S21" s="263" t="str">
        <v>EUR1E6E13Y=ICAP</v>
      </c>
      <c r="T21" s="379" t="s">
        <v>244</v>
      </c>
      <c r="U21" s="379" t="s">
        <v>244</v>
      </c>
      <c r="V21" s="379" t="e">
        <f>_xll.qlMidEquivalent(T21,U21)</f>
        <v>#NUM!</v>
      </c>
      <c r="W21" s="259" t="b">
        <f t="shared" si="2"/>
        <v>0</v>
      </c>
      <c r="X21" s="378">
        <v>20.767158961360217</v>
      </c>
      <c r="Y21" s="253"/>
      <c r="Z21" s="377">
        <v>20.754886144272987</v>
      </c>
      <c r="AA21" s="253"/>
      <c r="AB21" s="576">
        <v>20.754886144272987</v>
      </c>
      <c r="AC21" s="258" t="e">
        <f>_xll.qlSimpleQuoteSetValue(F21,ROUND(AB21/10000,6),Trigger)</f>
        <v>#N/A</v>
      </c>
      <c r="AD21" s="217"/>
      <c r="AE21" s="17"/>
      <c r="AF21" s="17"/>
      <c r="AG21" s="17"/>
      <c r="AH21" s="17"/>
    </row>
    <row r="22" spans="1:34" x14ac:dyDescent="0.2">
      <c r="A22" s="80"/>
      <c r="B22" s="79" t="s">
        <v>90</v>
      </c>
      <c r="C22" s="78" t="str">
        <f t="shared" si="3"/>
        <v>1E</v>
      </c>
      <c r="D22" s="77" t="str">
        <f t="shared" si="4"/>
        <v>6E</v>
      </c>
      <c r="E22" s="76" t="str">
        <f t="shared" si="0"/>
        <v>EUR1E6E14Y_Quote</v>
      </c>
      <c r="F22" s="76" t="str">
        <f>_xll.qlSimpleQuote(E22,,RateTickValue,Permanent,Trigger,ObjectOverwrite)</f>
        <v>EUR1E6E14Y_Quote#0000</v>
      </c>
      <c r="G22" s="75" t="str">
        <f>_xll.ohRangeRetrieveError(F22)</f>
        <v/>
      </c>
      <c r="H22" s="74"/>
      <c r="N22" s="122">
        <v>14</v>
      </c>
      <c r="O22" s="301" t="s">
        <v>90</v>
      </c>
      <c r="P22" s="300" t="str">
        <v>1E</v>
      </c>
      <c r="Q22" s="300" t="str">
        <v>6E</v>
      </c>
      <c r="R22" s="298" t="str">
        <f t="shared" si="1"/>
        <v>EUR1E6E14Y</v>
      </c>
      <c r="S22" s="263" t="str">
        <v>EUR1E6E14Y=ICAP</v>
      </c>
      <c r="T22" s="379" t="s">
        <v>244</v>
      </c>
      <c r="U22" s="379" t="s">
        <v>244</v>
      </c>
      <c r="V22" s="379" t="e">
        <f>_xll.qlMidEquivalent(T22,U22)</f>
        <v>#NUM!</v>
      </c>
      <c r="W22" s="259" t="b">
        <f t="shared" si="2"/>
        <v>0</v>
      </c>
      <c r="X22" s="378">
        <v>20.106819379057171</v>
      </c>
      <c r="Y22" s="253"/>
      <c r="Z22" s="377">
        <v>20.098240125294787</v>
      </c>
      <c r="AA22" s="253"/>
      <c r="AB22" s="576">
        <v>20.098240125294787</v>
      </c>
      <c r="AC22" s="258" t="e">
        <f>_xll.qlSimpleQuoteSetValue(F22,ROUND(AB22/10000,6),Trigger)</f>
        <v>#N/A</v>
      </c>
      <c r="AD22" s="217"/>
      <c r="AE22" s="17"/>
      <c r="AF22" s="17"/>
      <c r="AG22" s="17"/>
      <c r="AH22" s="17"/>
    </row>
    <row r="23" spans="1:34" x14ac:dyDescent="0.2">
      <c r="A23" s="80"/>
      <c r="B23" s="79" t="s">
        <v>89</v>
      </c>
      <c r="C23" s="78" t="str">
        <f t="shared" si="3"/>
        <v>1E</v>
      </c>
      <c r="D23" s="77" t="str">
        <f t="shared" si="4"/>
        <v>6E</v>
      </c>
      <c r="E23" s="76" t="str">
        <f t="shared" si="0"/>
        <v>EUR1E6E15Y_Quote</v>
      </c>
      <c r="F23" s="76" t="str">
        <f>_xll.qlSimpleQuote(E23,,RateTickValue,Permanent,Trigger,ObjectOverwrite)</f>
        <v>EUR1E6E15Y_Quote#0000</v>
      </c>
      <c r="G23" s="75" t="str">
        <f>_xll.ohRangeRetrieveError(F23)</f>
        <v/>
      </c>
      <c r="H23" s="74"/>
      <c r="N23" s="122">
        <v>15</v>
      </c>
      <c r="O23" s="301" t="s">
        <v>89</v>
      </c>
      <c r="P23" s="300" t="str">
        <v>1E</v>
      </c>
      <c r="Q23" s="300" t="str">
        <v>6E</v>
      </c>
      <c r="R23" s="298" t="str">
        <f t="shared" si="1"/>
        <v>EUR1E6E15Y</v>
      </c>
      <c r="S23" s="263" t="str">
        <v>EUR1E6E15Y=ICAP</v>
      </c>
      <c r="T23" s="379">
        <v>19.5</v>
      </c>
      <c r="U23" s="379">
        <v>0</v>
      </c>
      <c r="V23" s="379">
        <f>_xll.qlMidEquivalent(T23,U23)</f>
        <v>19.5</v>
      </c>
      <c r="W23" s="259" t="b">
        <f t="shared" si="2"/>
        <v>1</v>
      </c>
      <c r="X23" s="378">
        <v>19.5</v>
      </c>
      <c r="Y23" s="253"/>
      <c r="Z23" s="377">
        <v>19.5</v>
      </c>
      <c r="AA23" s="253"/>
      <c r="AB23" s="576">
        <v>19.5</v>
      </c>
      <c r="AC23" s="258" t="e">
        <f>_xll.qlSimpleQuoteSetValue(F23,ROUND(AB23/10000,6),Trigger)</f>
        <v>#N/A</v>
      </c>
      <c r="AD23" s="217"/>
      <c r="AE23" s="17"/>
      <c r="AF23" s="17"/>
      <c r="AG23" s="17"/>
      <c r="AH23" s="17"/>
    </row>
    <row r="24" spans="1:34" x14ac:dyDescent="0.2">
      <c r="A24" s="80"/>
      <c r="B24" s="79" t="s">
        <v>88</v>
      </c>
      <c r="C24" s="78" t="str">
        <f t="shared" si="3"/>
        <v>1E</v>
      </c>
      <c r="D24" s="77" t="str">
        <f t="shared" si="4"/>
        <v>6E</v>
      </c>
      <c r="E24" s="76" t="str">
        <f t="shared" si="0"/>
        <v>EUR1E6E16Y_Quote</v>
      </c>
      <c r="F24" s="76" t="str">
        <f>_xll.qlSimpleQuote(E24,,RateTickValue,Permanent,Trigger,ObjectOverwrite)</f>
        <v>EUR1E6E16Y_Quote#0000</v>
      </c>
      <c r="G24" s="75" t="str">
        <f>_xll.ohRangeRetrieveError(F24)</f>
        <v/>
      </c>
      <c r="H24" s="74"/>
      <c r="N24" s="122">
        <v>16</v>
      </c>
      <c r="O24" s="301" t="s">
        <v>88</v>
      </c>
      <c r="P24" s="300" t="str">
        <v>1E</v>
      </c>
      <c r="Q24" s="300" t="str">
        <v>6E</v>
      </c>
      <c r="R24" s="298" t="str">
        <f t="shared" si="1"/>
        <v>EUR1E6E16Y</v>
      </c>
      <c r="S24" s="263" t="str">
        <v>EUR1E6E16Y=ICAP</v>
      </c>
      <c r="T24" s="379" t="s">
        <v>244</v>
      </c>
      <c r="U24" s="379" t="s">
        <v>244</v>
      </c>
      <c r="V24" s="379" t="e">
        <f>_xll.qlMidEquivalent(T24,U24)</f>
        <v>#NUM!</v>
      </c>
      <c r="W24" s="259" t="b">
        <f t="shared" si="2"/>
        <v>0</v>
      </c>
      <c r="X24" s="378">
        <v>18.930884672736056</v>
      </c>
      <c r="Y24" s="253"/>
      <c r="Z24" s="377">
        <v>18.935442067151328</v>
      </c>
      <c r="AA24" s="253"/>
      <c r="AB24" s="576">
        <v>18.935442067151328</v>
      </c>
      <c r="AC24" s="258" t="e">
        <f>_xll.qlSimpleQuoteSetValue(F24,ROUND(AB24/10000,6),Trigger)</f>
        <v>#N/A</v>
      </c>
      <c r="AD24" s="217"/>
      <c r="AE24" s="17"/>
      <c r="AF24" s="17"/>
      <c r="AG24" s="17"/>
      <c r="AH24" s="17"/>
    </row>
    <row r="25" spans="1:34" x14ac:dyDescent="0.2">
      <c r="A25" s="80"/>
      <c r="B25" s="79" t="s">
        <v>87</v>
      </c>
      <c r="C25" s="78" t="str">
        <f t="shared" si="3"/>
        <v>1E</v>
      </c>
      <c r="D25" s="77" t="str">
        <f t="shared" si="4"/>
        <v>6E</v>
      </c>
      <c r="E25" s="76" t="str">
        <f t="shared" si="0"/>
        <v>EUR1E6E17Y_Quote</v>
      </c>
      <c r="F25" s="76" t="str">
        <f>_xll.qlSimpleQuote(E25,,RateTickValue,Permanent,Trigger,ObjectOverwrite)</f>
        <v>EUR1E6E17Y_Quote#0000</v>
      </c>
      <c r="G25" s="75" t="str">
        <f>_xll.ohRangeRetrieveError(F25)</f>
        <v/>
      </c>
      <c r="H25" s="74"/>
      <c r="N25" s="122">
        <v>17</v>
      </c>
      <c r="O25" s="301" t="s">
        <v>87</v>
      </c>
      <c r="P25" s="300" t="str">
        <v>1E</v>
      </c>
      <c r="Q25" s="300" t="str">
        <v>6E</v>
      </c>
      <c r="R25" s="298" t="str">
        <f t="shared" si="1"/>
        <v>EUR1E6E17Y</v>
      </c>
      <c r="S25" s="263" t="str">
        <v>EUR1E6E17Y=ICAP</v>
      </c>
      <c r="T25" s="379" t="s">
        <v>244</v>
      </c>
      <c r="U25" s="379" t="s">
        <v>244</v>
      </c>
      <c r="V25" s="379" t="e">
        <f>_xll.qlMidEquivalent(T25,U25)</f>
        <v>#NUM!</v>
      </c>
      <c r="W25" s="259" t="b">
        <f t="shared" si="2"/>
        <v>0</v>
      </c>
      <c r="X25" s="378">
        <v>18.396317652365603</v>
      </c>
      <c r="Y25" s="253"/>
      <c r="Z25" s="377">
        <v>18.401195592823832</v>
      </c>
      <c r="AA25" s="253"/>
      <c r="AB25" s="576">
        <v>18.401195592823832</v>
      </c>
      <c r="AC25" s="258" t="e">
        <f>_xll.qlSimpleQuoteSetValue(F25,ROUND(AB25/10000,6),Trigger)</f>
        <v>#N/A</v>
      </c>
      <c r="AD25" s="217"/>
      <c r="AE25" s="17"/>
      <c r="AF25" s="17"/>
      <c r="AG25" s="17"/>
      <c r="AH25" s="17"/>
    </row>
    <row r="26" spans="1:34" x14ac:dyDescent="0.2">
      <c r="A26" s="80"/>
      <c r="B26" s="79" t="s">
        <v>86</v>
      </c>
      <c r="C26" s="78" t="str">
        <f t="shared" si="3"/>
        <v>1E</v>
      </c>
      <c r="D26" s="77" t="str">
        <f t="shared" si="4"/>
        <v>6E</v>
      </c>
      <c r="E26" s="76" t="str">
        <f t="shared" si="0"/>
        <v>EUR1E6E18Y_Quote</v>
      </c>
      <c r="F26" s="76" t="str">
        <f>_xll.qlSimpleQuote(E26,,RateTickValue,Permanent,Trigger,ObjectOverwrite)</f>
        <v>EUR1E6E18Y_Quote#0000</v>
      </c>
      <c r="G26" s="75" t="str">
        <f>_xll.ohRangeRetrieveError(F26)</f>
        <v/>
      </c>
      <c r="H26" s="74"/>
      <c r="N26" s="122">
        <v>18</v>
      </c>
      <c r="O26" s="301" t="s">
        <v>86</v>
      </c>
      <c r="P26" s="300" t="str">
        <v>1E</v>
      </c>
      <c r="Q26" s="300" t="str">
        <v>6E</v>
      </c>
      <c r="R26" s="298" t="str">
        <f t="shared" si="1"/>
        <v>EUR1E6E18Y</v>
      </c>
      <c r="S26" s="263" t="str">
        <v>EUR1E6E18Y=ICAP</v>
      </c>
      <c r="T26" s="379" t="s">
        <v>244</v>
      </c>
      <c r="U26" s="379" t="s">
        <v>244</v>
      </c>
      <c r="V26" s="379" t="e">
        <f>_xll.qlMidEquivalent(T26,U26)</f>
        <v>#NUM!</v>
      </c>
      <c r="W26" s="259" t="b">
        <f t="shared" si="2"/>
        <v>0</v>
      </c>
      <c r="X26" s="378">
        <v>17.896308295627119</v>
      </c>
      <c r="Y26" s="253"/>
      <c r="Z26" s="377">
        <v>17.899228084920672</v>
      </c>
      <c r="AA26" s="253"/>
      <c r="AB26" s="576">
        <v>17.899228084920672</v>
      </c>
      <c r="AC26" s="258" t="e">
        <f>_xll.qlSimpleQuoteSetValue(F26,ROUND(AB26/10000,6),Trigger)</f>
        <v>#N/A</v>
      </c>
      <c r="AD26" s="217"/>
      <c r="AE26" s="17"/>
      <c r="AF26" s="17"/>
      <c r="AG26" s="17"/>
      <c r="AH26" s="17"/>
    </row>
    <row r="27" spans="1:34" x14ac:dyDescent="0.2">
      <c r="A27" s="80"/>
      <c r="B27" s="79" t="s">
        <v>85</v>
      </c>
      <c r="C27" s="78" t="str">
        <f t="shared" si="3"/>
        <v>1E</v>
      </c>
      <c r="D27" s="77" t="str">
        <f t="shared" si="4"/>
        <v>6E</v>
      </c>
      <c r="E27" s="76" t="str">
        <f t="shared" si="0"/>
        <v>EUR1E6E19Y_Quote</v>
      </c>
      <c r="F27" s="76" t="str">
        <f>_xll.qlSimpleQuote(E27,,RateTickValue,Permanent,Trigger,ObjectOverwrite)</f>
        <v>EUR1E6E19Y_Quote#0000</v>
      </c>
      <c r="G27" s="75" t="str">
        <f>_xll.ohRangeRetrieveError(F27)</f>
        <v/>
      </c>
      <c r="H27" s="74"/>
      <c r="N27" s="122">
        <v>19</v>
      </c>
      <c r="O27" s="301" t="s">
        <v>85</v>
      </c>
      <c r="P27" s="300" t="str">
        <v>1E</v>
      </c>
      <c r="Q27" s="300" t="str">
        <v>6E</v>
      </c>
      <c r="R27" s="298" t="str">
        <f t="shared" si="1"/>
        <v>EUR1E6E19Y</v>
      </c>
      <c r="S27" s="263" t="str">
        <v>EUR1E6E19Y=ICAP</v>
      </c>
      <c r="T27" s="379" t="s">
        <v>244</v>
      </c>
      <c r="U27" s="379" t="s">
        <v>244</v>
      </c>
      <c r="V27" s="379" t="e">
        <f>_xll.qlMidEquivalent(T27,U27)</f>
        <v>#NUM!</v>
      </c>
      <c r="W27" s="259" t="b">
        <f t="shared" si="2"/>
        <v>0</v>
      </c>
      <c r="X27" s="378">
        <v>17.430865959259091</v>
      </c>
      <c r="Y27" s="253"/>
      <c r="Z27" s="377">
        <v>17.431507051345008</v>
      </c>
      <c r="AA27" s="253"/>
      <c r="AB27" s="576">
        <v>17.431507051345008</v>
      </c>
      <c r="AC27" s="258" t="e">
        <f>_xll.qlSimpleQuoteSetValue(F27,ROUND(AB27/10000,6),Trigger)</f>
        <v>#N/A</v>
      </c>
      <c r="AD27" s="217"/>
      <c r="AE27" s="17"/>
      <c r="AF27" s="17"/>
      <c r="AG27" s="17"/>
      <c r="AH27" s="17"/>
    </row>
    <row r="28" spans="1:34" x14ac:dyDescent="0.2">
      <c r="A28" s="80"/>
      <c r="B28" s="79" t="s">
        <v>84</v>
      </c>
      <c r="C28" s="78" t="str">
        <f t="shared" si="3"/>
        <v>1E</v>
      </c>
      <c r="D28" s="77" t="str">
        <f t="shared" si="4"/>
        <v>6E</v>
      </c>
      <c r="E28" s="76" t="str">
        <f t="shared" si="0"/>
        <v>EUR1E6E20Y_Quote</v>
      </c>
      <c r="F28" s="76" t="str">
        <f>_xll.qlSimpleQuote(E28,,RateTickValue,Permanent,Trigger,ObjectOverwrite)</f>
        <v>EUR1E6E20Y_Quote#0000</v>
      </c>
      <c r="G28" s="75" t="str">
        <f>_xll.ohRangeRetrieveError(F28)</f>
        <v/>
      </c>
      <c r="H28" s="74"/>
      <c r="N28" s="122">
        <v>20</v>
      </c>
      <c r="O28" s="301" t="s">
        <v>84</v>
      </c>
      <c r="P28" s="300" t="str">
        <v>1E</v>
      </c>
      <c r="Q28" s="300" t="str">
        <v>6E</v>
      </c>
      <c r="R28" s="298" t="str">
        <f t="shared" si="1"/>
        <v>EUR1E6E20Y</v>
      </c>
      <c r="S28" s="263" t="str">
        <v>EUR1E6E20Y=ICAP</v>
      </c>
      <c r="T28" s="379">
        <v>17</v>
      </c>
      <c r="U28" s="379">
        <v>0</v>
      </c>
      <c r="V28" s="379">
        <f>_xll.qlMidEquivalent(T28,U28)</f>
        <v>17</v>
      </c>
      <c r="W28" s="259" t="b">
        <f t="shared" si="2"/>
        <v>1</v>
      </c>
      <c r="X28" s="378">
        <v>17</v>
      </c>
      <c r="Y28" s="253"/>
      <c r="Z28" s="377">
        <v>17</v>
      </c>
      <c r="AA28" s="253"/>
      <c r="AB28" s="576">
        <v>17</v>
      </c>
      <c r="AC28" s="258" t="e">
        <f>_xll.qlSimpleQuoteSetValue(F28,ROUND(AB28/10000,6),Trigger)</f>
        <v>#N/A</v>
      </c>
      <c r="AD28" s="217"/>
      <c r="AE28" s="17"/>
      <c r="AF28" s="17"/>
      <c r="AG28" s="17"/>
      <c r="AH28" s="17"/>
    </row>
    <row r="29" spans="1:34" x14ac:dyDescent="0.2">
      <c r="A29" s="80"/>
      <c r="B29" s="79" t="s">
        <v>83</v>
      </c>
      <c r="C29" s="78" t="str">
        <f t="shared" si="3"/>
        <v>1E</v>
      </c>
      <c r="D29" s="77" t="str">
        <f t="shared" si="4"/>
        <v>6E</v>
      </c>
      <c r="E29" s="76" t="str">
        <f t="shared" si="0"/>
        <v>EUR1E6E21Y_Quote</v>
      </c>
      <c r="F29" s="76" t="str">
        <f>_xll.qlSimpleQuote(E29,,RateTickValue,Permanent,Trigger,ObjectOverwrite)</f>
        <v>EUR1E6E21Y_Quote#0000</v>
      </c>
      <c r="G29" s="75" t="str">
        <f>_xll.ohRangeRetrieveError(F29)</f>
        <v/>
      </c>
      <c r="H29" s="74"/>
      <c r="N29" s="122">
        <v>21</v>
      </c>
      <c r="O29" s="301" t="s">
        <v>83</v>
      </c>
      <c r="P29" s="300" t="str">
        <v>1E</v>
      </c>
      <c r="Q29" s="300" t="str">
        <v>6E</v>
      </c>
      <c r="R29" s="298" t="str">
        <f t="shared" si="1"/>
        <v>EUR1E6E21Y</v>
      </c>
      <c r="S29" s="263" t="str">
        <v>EUR1E6E21Y=ICAP</v>
      </c>
      <c r="T29" s="379" t="s">
        <v>244</v>
      </c>
      <c r="U29" s="379" t="s">
        <v>244</v>
      </c>
      <c r="V29" s="379" t="e">
        <f>_xll.qlMidEquivalent(T29,U29)</f>
        <v>#NUM!</v>
      </c>
      <c r="W29" s="259" t="b">
        <f t="shared" si="2"/>
        <v>0</v>
      </c>
      <c r="X29" s="378">
        <v>16.603202627818849</v>
      </c>
      <c r="Y29" s="253"/>
      <c r="Z29" s="377">
        <v>16.60543814076204</v>
      </c>
      <c r="AA29" s="253"/>
      <c r="AB29" s="576">
        <v>16.60543814076204</v>
      </c>
      <c r="AC29" s="258" t="e">
        <f>_xll.qlSimpleQuoteSetValue(F29,ROUND(AB29/10000,6),Trigger)</f>
        <v>#N/A</v>
      </c>
      <c r="AD29" s="217"/>
      <c r="AE29" s="17"/>
      <c r="AF29" s="17"/>
      <c r="AG29" s="17"/>
      <c r="AH29" s="17"/>
    </row>
    <row r="30" spans="1:34" x14ac:dyDescent="0.2">
      <c r="A30" s="80"/>
      <c r="B30" s="79" t="s">
        <v>82</v>
      </c>
      <c r="C30" s="78" t="str">
        <f t="shared" si="3"/>
        <v>1E</v>
      </c>
      <c r="D30" s="77" t="str">
        <f t="shared" si="4"/>
        <v>6E</v>
      </c>
      <c r="E30" s="76" t="str">
        <f t="shared" si="0"/>
        <v>EUR1E6E22Y_Quote</v>
      </c>
      <c r="F30" s="76" t="str">
        <f>_xll.qlSimpleQuote(E30,,RateTickValue,Permanent,Trigger,ObjectOverwrite)</f>
        <v>EUR1E6E22Y_Quote#0000</v>
      </c>
      <c r="G30" s="75" t="str">
        <f>_xll.ohRangeRetrieveError(F30)</f>
        <v/>
      </c>
      <c r="H30" s="74"/>
      <c r="N30" s="122">
        <v>22</v>
      </c>
      <c r="O30" s="301" t="s">
        <v>82</v>
      </c>
      <c r="P30" s="300" t="str">
        <v>1E</v>
      </c>
      <c r="Q30" s="300" t="str">
        <v>6E</v>
      </c>
      <c r="R30" s="298" t="str">
        <f t="shared" si="1"/>
        <v>EUR1E6E22Y</v>
      </c>
      <c r="S30" s="263" t="str">
        <v>EUR1E6E22Y=ICAP</v>
      </c>
      <c r="T30" s="379" t="s">
        <v>244</v>
      </c>
      <c r="U30" s="379" t="s">
        <v>244</v>
      </c>
      <c r="V30" s="379" t="e">
        <f>_xll.qlMidEquivalent(T30,U30)</f>
        <v>#NUM!</v>
      </c>
      <c r="W30" s="259" t="b">
        <f t="shared" si="2"/>
        <v>0</v>
      </c>
      <c r="X30" s="378">
        <v>16.237897465606693</v>
      </c>
      <c r="Y30" s="253"/>
      <c r="Z30" s="377">
        <v>16.243607491400475</v>
      </c>
      <c r="AA30" s="253"/>
      <c r="AB30" s="576">
        <v>16.243607491400475</v>
      </c>
      <c r="AC30" s="258" t="e">
        <f>_xll.qlSimpleQuoteSetValue(F30,ROUND(AB30/10000,6),Trigger)</f>
        <v>#N/A</v>
      </c>
      <c r="AD30" s="217"/>
      <c r="AE30" s="17"/>
      <c r="AF30" s="17"/>
      <c r="AG30" s="17"/>
      <c r="AH30" s="17"/>
    </row>
    <row r="31" spans="1:34" x14ac:dyDescent="0.2">
      <c r="A31" s="80"/>
      <c r="B31" s="79" t="s">
        <v>81</v>
      </c>
      <c r="C31" s="78" t="str">
        <f t="shared" si="3"/>
        <v>1E</v>
      </c>
      <c r="D31" s="77" t="str">
        <f t="shared" si="4"/>
        <v>6E</v>
      </c>
      <c r="E31" s="76" t="str">
        <f t="shared" si="0"/>
        <v>EUR1E6E23Y_Quote</v>
      </c>
      <c r="F31" s="76" t="str">
        <f>_xll.qlSimpleQuote(E31,,RateTickValue,Permanent,Trigger,ObjectOverwrite)</f>
        <v>EUR1E6E23Y_Quote#0000</v>
      </c>
      <c r="G31" s="75" t="str">
        <f>_xll.ohRangeRetrieveError(F31)</f>
        <v/>
      </c>
      <c r="H31" s="74"/>
      <c r="N31" s="122">
        <v>23</v>
      </c>
      <c r="O31" s="301" t="s">
        <v>81</v>
      </c>
      <c r="P31" s="300" t="str">
        <v>1E</v>
      </c>
      <c r="Q31" s="300" t="str">
        <v>6E</v>
      </c>
      <c r="R31" s="298" t="str">
        <f t="shared" si="1"/>
        <v>EUR1E6E23Y</v>
      </c>
      <c r="S31" s="263" t="str">
        <v>EUR1E6E23Y=ICAP</v>
      </c>
      <c r="T31" s="379" t="s">
        <v>244</v>
      </c>
      <c r="U31" s="379" t="s">
        <v>244</v>
      </c>
      <c r="V31" s="379" t="e">
        <f>_xll.qlMidEquivalent(T31,U31)</f>
        <v>#NUM!</v>
      </c>
      <c r="W31" s="259" t="b">
        <f t="shared" si="2"/>
        <v>0</v>
      </c>
      <c r="X31" s="378">
        <v>15.900990989485116</v>
      </c>
      <c r="Y31" s="253"/>
      <c r="Z31" s="377">
        <v>15.909057771657892</v>
      </c>
      <c r="AA31" s="253"/>
      <c r="AB31" s="576">
        <v>15.909057771657892</v>
      </c>
      <c r="AC31" s="258" t="e">
        <f>_xll.qlSimpleQuoteSetValue(F31,ROUND(AB31/10000,6),Trigger)</f>
        <v>#N/A</v>
      </c>
      <c r="AD31" s="217"/>
      <c r="AE31" s="17"/>
      <c r="AF31" s="17"/>
      <c r="AG31" s="17"/>
      <c r="AH31" s="17"/>
    </row>
    <row r="32" spans="1:34" x14ac:dyDescent="0.2">
      <c r="A32" s="80"/>
      <c r="B32" s="79" t="s">
        <v>80</v>
      </c>
      <c r="C32" s="78" t="str">
        <f t="shared" si="3"/>
        <v>1E</v>
      </c>
      <c r="D32" s="77" t="str">
        <f t="shared" si="4"/>
        <v>6E</v>
      </c>
      <c r="E32" s="76" t="str">
        <f t="shared" si="0"/>
        <v>EUR1E6E24Y_Quote</v>
      </c>
      <c r="F32" s="76" t="str">
        <f>_xll.qlSimpleQuote(E32,,RateTickValue,Permanent,Trigger,ObjectOverwrite)</f>
        <v>EUR1E6E24Y_Quote#0000</v>
      </c>
      <c r="G32" s="75" t="str">
        <f>_xll.ohRangeRetrieveError(F32)</f>
        <v/>
      </c>
      <c r="H32" s="74"/>
      <c r="N32" s="122">
        <v>24</v>
      </c>
      <c r="O32" s="301" t="s">
        <v>80</v>
      </c>
      <c r="P32" s="300" t="str">
        <v>1E</v>
      </c>
      <c r="Q32" s="300" t="str">
        <v>6E</v>
      </c>
      <c r="R32" s="298" t="str">
        <f t="shared" si="1"/>
        <v>EUR1E6E24Y</v>
      </c>
      <c r="S32" s="263" t="str">
        <v>EUR1E6E24Y=ICAP</v>
      </c>
      <c r="T32" s="379" t="s">
        <v>244</v>
      </c>
      <c r="U32" s="379" t="s">
        <v>244</v>
      </c>
      <c r="V32" s="379" t="e">
        <f>_xll.qlMidEquivalent(T32,U32)</f>
        <v>#NUM!</v>
      </c>
      <c r="W32" s="259" t="b">
        <f t="shared" si="2"/>
        <v>0</v>
      </c>
      <c r="X32" s="378">
        <v>15.589389675575694</v>
      </c>
      <c r="Y32" s="253"/>
      <c r="Z32" s="377">
        <v>15.596338701276871</v>
      </c>
      <c r="AA32" s="253"/>
      <c r="AB32" s="576">
        <v>15.596338701276871</v>
      </c>
      <c r="AC32" s="258" t="e">
        <f>_xll.qlSimpleQuoteSetValue(F32,ROUND(AB32/10000,6),Trigger)</f>
        <v>#N/A</v>
      </c>
      <c r="AD32" s="217"/>
      <c r="AE32" s="17"/>
      <c r="AF32" s="17"/>
      <c r="AG32" s="17"/>
      <c r="AH32" s="17"/>
    </row>
    <row r="33" spans="1:34" x14ac:dyDescent="0.2">
      <c r="A33" s="80"/>
      <c r="B33" s="79" t="s">
        <v>79</v>
      </c>
      <c r="C33" s="78" t="str">
        <f t="shared" si="3"/>
        <v>1E</v>
      </c>
      <c r="D33" s="77" t="str">
        <f t="shared" si="4"/>
        <v>6E</v>
      </c>
      <c r="E33" s="76" t="str">
        <f t="shared" si="0"/>
        <v>EUR1E6E25Y_Quote</v>
      </c>
      <c r="F33" s="76" t="str">
        <f>_xll.qlSimpleQuote(E33,,RateTickValue,Permanent,Trigger,ObjectOverwrite)</f>
        <v>EUR1E6E25Y_Quote#0000</v>
      </c>
      <c r="G33" s="75" t="str">
        <f>_xll.ohRangeRetrieveError(F33)</f>
        <v/>
      </c>
      <c r="H33" s="74"/>
      <c r="N33" s="122">
        <v>25</v>
      </c>
      <c r="O33" s="301" t="s">
        <v>79</v>
      </c>
      <c r="P33" s="300" t="str">
        <v>1E</v>
      </c>
      <c r="Q33" s="300" t="str">
        <v>6E</v>
      </c>
      <c r="R33" s="298" t="str">
        <f t="shared" si="1"/>
        <v>EUR1E6E25Y</v>
      </c>
      <c r="S33" s="263" t="str">
        <v>EUR1E6E25Y=ICAP</v>
      </c>
      <c r="T33" s="379">
        <v>15.3</v>
      </c>
      <c r="U33" s="379">
        <v>0</v>
      </c>
      <c r="V33" s="379">
        <f>_xll.qlMidEquivalent(T33,U33)</f>
        <v>15.3</v>
      </c>
      <c r="W33" s="259" t="b">
        <f t="shared" si="2"/>
        <v>1</v>
      </c>
      <c r="X33" s="378">
        <v>15.3</v>
      </c>
      <c r="Y33" s="253"/>
      <c r="Z33" s="377">
        <v>15.3</v>
      </c>
      <c r="AA33" s="253"/>
      <c r="AB33" s="576">
        <v>15.3</v>
      </c>
      <c r="AC33" s="258" t="e">
        <f>_xll.qlSimpleQuoteSetValue(F33,ROUND(AB33/10000,6),Trigger)</f>
        <v>#N/A</v>
      </c>
      <c r="AD33" s="217"/>
      <c r="AE33" s="17"/>
      <c r="AF33" s="17"/>
      <c r="AG33" s="17"/>
      <c r="AH33" s="17"/>
    </row>
    <row r="34" spans="1:34" x14ac:dyDescent="0.2">
      <c r="A34" s="80"/>
      <c r="B34" s="79" t="s">
        <v>78</v>
      </c>
      <c r="C34" s="78" t="str">
        <f t="shared" si="3"/>
        <v>1E</v>
      </c>
      <c r="D34" s="77" t="str">
        <f t="shared" si="4"/>
        <v>6E</v>
      </c>
      <c r="E34" s="76" t="str">
        <f t="shared" si="0"/>
        <v>EUR1E6E26Y_Quote</v>
      </c>
      <c r="F34" s="76" t="str">
        <f>_xll.qlSimpleQuote(E34,,RateTickValue,Permanent,Trigger,ObjectOverwrite)</f>
        <v>EUR1E6E26Y_Quote#0000</v>
      </c>
      <c r="G34" s="75" t="str">
        <f>_xll.ohRangeRetrieveError(F34)</f>
        <v/>
      </c>
      <c r="H34" s="74"/>
      <c r="N34" s="122">
        <v>26</v>
      </c>
      <c r="O34" s="301" t="s">
        <v>78</v>
      </c>
      <c r="P34" s="300" t="str">
        <v>1E</v>
      </c>
      <c r="Q34" s="300" t="str">
        <v>6E</v>
      </c>
      <c r="R34" s="298" t="str">
        <f t="shared" si="1"/>
        <v>EUR1E6E26Y</v>
      </c>
      <c r="S34" s="263" t="str">
        <v>EUR1E6E26Y=ICAP</v>
      </c>
      <c r="T34" s="379" t="s">
        <v>244</v>
      </c>
      <c r="U34" s="379" t="s">
        <v>244</v>
      </c>
      <c r="V34" s="379" t="e">
        <f>_xll.qlMidEquivalent(T34,U34)</f>
        <v>#NUM!</v>
      </c>
      <c r="W34" s="259" t="b">
        <f t="shared" si="2"/>
        <v>0</v>
      </c>
      <c r="X34" s="378">
        <v>15.029904815988555</v>
      </c>
      <c r="Y34" s="253"/>
      <c r="Z34" s="377">
        <v>15.015605369800516</v>
      </c>
      <c r="AA34" s="253"/>
      <c r="AB34" s="576">
        <v>15.015605369800516</v>
      </c>
      <c r="AC34" s="258" t="e">
        <f>_xll.qlSimpleQuoteSetValue(F34,ROUND(AB34/10000,6),Trigger)</f>
        <v>#N/A</v>
      </c>
      <c r="AD34" s="217"/>
      <c r="AE34" s="17"/>
      <c r="AF34" s="17"/>
      <c r="AG34" s="17"/>
      <c r="AH34" s="17"/>
    </row>
    <row r="35" spans="1:34" x14ac:dyDescent="0.2">
      <c r="A35" s="80"/>
      <c r="B35" s="79" t="s">
        <v>77</v>
      </c>
      <c r="C35" s="78" t="str">
        <f t="shared" si="3"/>
        <v>1E</v>
      </c>
      <c r="D35" s="77" t="str">
        <f t="shared" si="4"/>
        <v>6E</v>
      </c>
      <c r="E35" s="76" t="str">
        <f t="shared" si="0"/>
        <v>EUR1E6E27Y_Quote</v>
      </c>
      <c r="F35" s="76" t="str">
        <f>_xll.qlSimpleQuote(E35,,RateTickValue,Permanent,Trigger,ObjectOverwrite)</f>
        <v>EUR1E6E27Y_Quote#0000</v>
      </c>
      <c r="G35" s="75" t="str">
        <f>_xll.ohRangeRetrieveError(F35)</f>
        <v/>
      </c>
      <c r="H35" s="74"/>
      <c r="N35" s="122">
        <v>27</v>
      </c>
      <c r="O35" s="301" t="s">
        <v>77</v>
      </c>
      <c r="P35" s="300" t="str">
        <v>1E</v>
      </c>
      <c r="Q35" s="300" t="str">
        <v>6E</v>
      </c>
      <c r="R35" s="298" t="str">
        <f t="shared" si="1"/>
        <v>EUR1E6E27Y</v>
      </c>
      <c r="S35" s="263" t="str">
        <v>EUR1E6E27Y=ICAP</v>
      </c>
      <c r="T35" s="379" t="s">
        <v>244</v>
      </c>
      <c r="U35" s="379" t="s">
        <v>244</v>
      </c>
      <c r="V35" s="379" t="e">
        <f>_xll.qlMidEquivalent(T35,U35)</f>
        <v>#NUM!</v>
      </c>
      <c r="W35" s="259" t="b">
        <f t="shared" si="2"/>
        <v>0</v>
      </c>
      <c r="X35" s="378">
        <v>14.776892485207624</v>
      </c>
      <c r="Y35" s="253"/>
      <c r="Z35" s="377">
        <v>14.742774441574269</v>
      </c>
      <c r="AA35" s="253"/>
      <c r="AB35" s="576">
        <v>14.742774441574269</v>
      </c>
      <c r="AC35" s="258" t="e">
        <f>_xll.qlSimpleQuoteSetValue(F35,ROUND(AB35/10000,6),Trigger)</f>
        <v>#N/A</v>
      </c>
      <c r="AD35" s="217"/>
      <c r="AE35" s="17"/>
      <c r="AF35" s="17"/>
      <c r="AG35" s="17"/>
      <c r="AH35" s="17"/>
    </row>
    <row r="36" spans="1:34" x14ac:dyDescent="0.2">
      <c r="A36" s="80"/>
      <c r="B36" s="79" t="s">
        <v>76</v>
      </c>
      <c r="C36" s="78" t="str">
        <f t="shared" si="3"/>
        <v>1E</v>
      </c>
      <c r="D36" s="77" t="str">
        <f t="shared" si="4"/>
        <v>6E</v>
      </c>
      <c r="E36" s="76" t="str">
        <f t="shared" si="0"/>
        <v>EUR1E6E28Y_Quote</v>
      </c>
      <c r="F36" s="76" t="str">
        <f>_xll.qlSimpleQuote(E36,,RateTickValue,Permanent,Trigger,ObjectOverwrite)</f>
        <v>EUR1E6E28Y_Quote#0000</v>
      </c>
      <c r="G36" s="75" t="str">
        <f>_xll.ohRangeRetrieveError(F36)</f>
        <v/>
      </c>
      <c r="H36" s="74"/>
      <c r="N36" s="122">
        <v>28</v>
      </c>
      <c r="O36" s="301" t="s">
        <v>76</v>
      </c>
      <c r="P36" s="300" t="str">
        <v>1E</v>
      </c>
      <c r="Q36" s="300" t="str">
        <v>6E</v>
      </c>
      <c r="R36" s="298" t="str">
        <f t="shared" si="1"/>
        <v>EUR1E6E28Y</v>
      </c>
      <c r="S36" s="263" t="str">
        <v>EUR1E6E28Y=ICAP</v>
      </c>
      <c r="T36" s="379" t="s">
        <v>244</v>
      </c>
      <c r="U36" s="379" t="s">
        <v>244</v>
      </c>
      <c r="V36" s="379" t="e">
        <f>_xll.qlMidEquivalent(T36,U36)</f>
        <v>#NUM!</v>
      </c>
      <c r="W36" s="259" t="b">
        <f t="shared" si="2"/>
        <v>0</v>
      </c>
      <c r="X36" s="378">
        <v>14.538927746432416</v>
      </c>
      <c r="Y36" s="253"/>
      <c r="Z36" s="377">
        <v>14.482140828447765</v>
      </c>
      <c r="AA36" s="253"/>
      <c r="AB36" s="576">
        <v>14.482140828447765</v>
      </c>
      <c r="AC36" s="258" t="e">
        <f>_xll.qlSimpleQuoteSetValue(F36,ROUND(AB36/10000,6),Trigger)</f>
        <v>#N/A</v>
      </c>
      <c r="AD36" s="217"/>
      <c r="AE36" s="17"/>
      <c r="AF36" s="17"/>
      <c r="AG36" s="17"/>
      <c r="AH36" s="17"/>
    </row>
    <row r="37" spans="1:34" x14ac:dyDescent="0.2">
      <c r="A37" s="80"/>
      <c r="B37" s="79" t="s">
        <v>75</v>
      </c>
      <c r="C37" s="78" t="str">
        <f t="shared" si="3"/>
        <v>1E</v>
      </c>
      <c r="D37" s="77" t="str">
        <f t="shared" si="4"/>
        <v>6E</v>
      </c>
      <c r="E37" s="76" t="str">
        <f t="shared" si="0"/>
        <v>EUR1E6E29Y_Quote</v>
      </c>
      <c r="F37" s="76" t="str">
        <f>_xll.qlSimpleQuote(E37,,RateTickValue,Permanent,Trigger,ObjectOverwrite)</f>
        <v>EUR1E6E29Y_Quote#0000</v>
      </c>
      <c r="G37" s="75" t="str">
        <f>_xll.ohRangeRetrieveError(F37)</f>
        <v/>
      </c>
      <c r="H37" s="74"/>
      <c r="N37" s="122">
        <v>29</v>
      </c>
      <c r="O37" s="301" t="s">
        <v>75</v>
      </c>
      <c r="P37" s="300" t="str">
        <v>1E</v>
      </c>
      <c r="Q37" s="300" t="str">
        <v>6E</v>
      </c>
      <c r="R37" s="298" t="str">
        <f t="shared" si="1"/>
        <v>EUR1E6E29Y</v>
      </c>
      <c r="S37" s="263" t="str">
        <v>EUR1E6E29Y=ICAP</v>
      </c>
      <c r="T37" s="379" t="s">
        <v>244</v>
      </c>
      <c r="U37" s="379" t="s">
        <v>244</v>
      </c>
      <c r="V37" s="379" t="e">
        <f>_xll.qlMidEquivalent(T37,U37)</f>
        <v>#NUM!</v>
      </c>
      <c r="W37" s="259" t="b">
        <f t="shared" si="2"/>
        <v>0</v>
      </c>
      <c r="X37" s="378">
        <v>14.313975338438139</v>
      </c>
      <c r="Y37" s="253"/>
      <c r="Z37" s="377">
        <v>14.234338143547507</v>
      </c>
      <c r="AA37" s="253"/>
      <c r="AB37" s="576">
        <v>14.234338143547507</v>
      </c>
      <c r="AC37" s="258" t="e">
        <f>_xll.qlSimpleQuoteSetValue(F37,ROUND(AB37/10000,6),Trigger)</f>
        <v>#N/A</v>
      </c>
      <c r="AD37" s="217"/>
      <c r="AE37" s="17"/>
      <c r="AF37" s="17"/>
      <c r="AG37" s="17"/>
      <c r="AH37" s="17"/>
    </row>
    <row r="38" spans="1:34" x14ac:dyDescent="0.2">
      <c r="A38" s="80"/>
      <c r="B38" s="79" t="s">
        <v>74</v>
      </c>
      <c r="C38" s="78" t="str">
        <f t="shared" si="3"/>
        <v>1E</v>
      </c>
      <c r="D38" s="77" t="str">
        <f t="shared" si="4"/>
        <v>6E</v>
      </c>
      <c r="E38" s="76" t="str">
        <f t="shared" si="0"/>
        <v>EUR1E6E30Y_Quote</v>
      </c>
      <c r="F38" s="76" t="str">
        <f>_xll.qlSimpleQuote(E38,,RateTickValue,Permanent,Trigger,ObjectOverwrite)</f>
        <v>EUR1E6E30Y_Quote#0000</v>
      </c>
      <c r="G38" s="75" t="str">
        <f>_xll.ohRangeRetrieveError(F38)</f>
        <v/>
      </c>
      <c r="H38" s="74"/>
      <c r="N38" s="122">
        <v>30</v>
      </c>
      <c r="O38" s="301" t="s">
        <v>74</v>
      </c>
      <c r="P38" s="300" t="str">
        <v>1E</v>
      </c>
      <c r="Q38" s="300" t="str">
        <v>6E</v>
      </c>
      <c r="R38" s="298" t="str">
        <f t="shared" si="1"/>
        <v>EUR1E6E30Y</v>
      </c>
      <c r="S38" s="263" t="str">
        <v>EUR1E6E30Y=ICAP</v>
      </c>
      <c r="T38" s="379">
        <v>14.1</v>
      </c>
      <c r="U38" s="379">
        <v>0</v>
      </c>
      <c r="V38" s="379">
        <f>_xll.qlMidEquivalent(T38,U38)</f>
        <v>14.1</v>
      </c>
      <c r="W38" s="259" t="b">
        <f t="shared" si="2"/>
        <v>1</v>
      </c>
      <c r="X38" s="378">
        <v>14.1</v>
      </c>
      <c r="Y38" s="253"/>
      <c r="Z38" s="377">
        <v>14</v>
      </c>
      <c r="AA38" s="253"/>
      <c r="AB38" s="576">
        <v>14</v>
      </c>
      <c r="AC38" s="258" t="e">
        <f>_xll.qlSimpleQuoteSetValue(F38,ROUND(AB38/10000,6),Trigger)</f>
        <v>#N/A</v>
      </c>
      <c r="AD38" s="217"/>
      <c r="AE38" s="17"/>
      <c r="AF38" s="17"/>
      <c r="AG38" s="17"/>
      <c r="AH38" s="17"/>
    </row>
    <row r="39" spans="1:34" x14ac:dyDescent="0.2">
      <c r="A39" s="80"/>
      <c r="B39" s="79" t="s">
        <v>69</v>
      </c>
      <c r="C39" s="78" t="str">
        <f t="shared" si="3"/>
        <v>1E</v>
      </c>
      <c r="D39" s="77" t="str">
        <f t="shared" si="4"/>
        <v>6E</v>
      </c>
      <c r="E39" s="76" t="str">
        <f t="shared" si="0"/>
        <v>EUR1E6E35Y_Quote</v>
      </c>
      <c r="F39" s="76" t="str">
        <f>_xll.qlSimpleQuote(E39,,RateTickValue,Permanent,Trigger,ObjectOverwrite)</f>
        <v>EUR1E6E35Y_Quote#0000</v>
      </c>
      <c r="G39" s="75" t="str">
        <f>_xll.ohRangeRetrieveError(F39)</f>
        <v/>
      </c>
      <c r="H39" s="74"/>
      <c r="N39" s="122">
        <v>35</v>
      </c>
      <c r="O39" s="301" t="s">
        <v>69</v>
      </c>
      <c r="P39" s="300" t="str">
        <v>1E</v>
      </c>
      <c r="Q39" s="300" t="str">
        <v>6E</v>
      </c>
      <c r="R39" s="298" t="str">
        <f t="shared" si="1"/>
        <v>EUR1E6E35Y</v>
      </c>
      <c r="S39" s="263" t="str">
        <v>EUR1E6E35Y=ICAP</v>
      </c>
      <c r="T39" s="379" t="s">
        <v>244</v>
      </c>
      <c r="U39" s="379" t="s">
        <v>244</v>
      </c>
      <c r="V39" s="379" t="e">
        <f>_xll.qlMidEquivalent(T39,U39)</f>
        <v>#NUM!</v>
      </c>
      <c r="W39" s="259" t="b">
        <f t="shared" si="2"/>
        <v>0</v>
      </c>
      <c r="X39" s="378">
        <v>13.159016711814663</v>
      </c>
      <c r="Y39" s="253"/>
      <c r="Z39" s="377">
        <v>13.022883458636743</v>
      </c>
      <c r="AA39" s="253"/>
      <c r="AB39" s="576">
        <v>13.022883458636743</v>
      </c>
      <c r="AC39" s="258" t="e">
        <f>_xll.qlSimpleQuoteSetValue(F39,ROUND(AB39/10000,6),Trigger)</f>
        <v>#N/A</v>
      </c>
      <c r="AD39" s="217"/>
      <c r="AE39" s="17"/>
      <c r="AF39" s="17"/>
      <c r="AG39" s="17"/>
      <c r="AH39" s="17"/>
    </row>
    <row r="40" spans="1:34" x14ac:dyDescent="0.2">
      <c r="A40" s="80"/>
      <c r="B40" s="79" t="s">
        <v>64</v>
      </c>
      <c r="C40" s="78" t="str">
        <f t="shared" si="3"/>
        <v>1E</v>
      </c>
      <c r="D40" s="77" t="str">
        <f t="shared" si="4"/>
        <v>6E</v>
      </c>
      <c r="E40" s="76" t="str">
        <f t="shared" si="0"/>
        <v>EUR1E6E40Y_Quote</v>
      </c>
      <c r="F40" s="76" t="str">
        <f>_xll.qlSimpleQuote(E40,,RateTickValue,Permanent,Trigger,ObjectOverwrite)</f>
        <v>EUR1E6E40Y_Quote#0000</v>
      </c>
      <c r="G40" s="75" t="str">
        <f>_xll.ohRangeRetrieveError(F40)</f>
        <v/>
      </c>
      <c r="H40" s="74"/>
      <c r="N40" s="122">
        <v>40</v>
      </c>
      <c r="O40" s="301" t="s">
        <v>64</v>
      </c>
      <c r="P40" s="300" t="str">
        <v>1E</v>
      </c>
      <c r="Q40" s="300" t="str">
        <v>6E</v>
      </c>
      <c r="R40" s="298" t="str">
        <f t="shared" si="1"/>
        <v>EUR1E6E40Y</v>
      </c>
      <c r="S40" s="263" t="str">
        <v>EUR1E6E40Y=ICAP</v>
      </c>
      <c r="T40" s="379">
        <v>12.4</v>
      </c>
      <c r="U40" s="379">
        <v>0</v>
      </c>
      <c r="V40" s="379">
        <f>_xll.qlMidEquivalent(T40,U40)</f>
        <v>12.4</v>
      </c>
      <c r="W40" s="259" t="b">
        <f t="shared" si="2"/>
        <v>1</v>
      </c>
      <c r="X40" s="378">
        <v>12.4</v>
      </c>
      <c r="Y40" s="253"/>
      <c r="Z40" s="377">
        <v>12.3</v>
      </c>
      <c r="AA40" s="253"/>
      <c r="AB40" s="576">
        <v>12.3</v>
      </c>
      <c r="AC40" s="258" t="e">
        <f>_xll.qlSimpleQuoteSetValue(F40,ROUND(AB40/10000,6),Trigger)</f>
        <v>#N/A</v>
      </c>
      <c r="AD40" s="217"/>
      <c r="AE40" s="17"/>
      <c r="AF40" s="17"/>
      <c r="AG40" s="17"/>
      <c r="AH40" s="17"/>
    </row>
    <row r="41" spans="1:34" x14ac:dyDescent="0.2">
      <c r="A41" s="80"/>
      <c r="B41" s="79" t="s">
        <v>54</v>
      </c>
      <c r="C41" s="78" t="str">
        <f t="shared" si="3"/>
        <v>1E</v>
      </c>
      <c r="D41" s="77" t="str">
        <f t="shared" si="4"/>
        <v>6E</v>
      </c>
      <c r="E41" s="76" t="str">
        <f t="shared" si="0"/>
        <v>EUR1E6E50Y_Quote</v>
      </c>
      <c r="F41" s="76" t="str">
        <f>_xll.qlSimpleQuote(E41,,RateTickValue,Permanent,Trigger,ObjectOverwrite)</f>
        <v>EUR1E6E50Y_Quote#0000</v>
      </c>
      <c r="G41" s="75" t="str">
        <f>_xll.ohRangeRetrieveError(F41)</f>
        <v/>
      </c>
      <c r="H41" s="74"/>
      <c r="N41" s="122">
        <v>50</v>
      </c>
      <c r="O41" s="301" t="s">
        <v>54</v>
      </c>
      <c r="P41" s="300" t="str">
        <v>1E</v>
      </c>
      <c r="Q41" s="300" t="str">
        <v>6E</v>
      </c>
      <c r="R41" s="298" t="str">
        <f t="shared" si="1"/>
        <v>EUR1E6E50Y</v>
      </c>
      <c r="S41" s="263" t="str">
        <v>EUR1E6E50Y=ICAP</v>
      </c>
      <c r="T41" s="379">
        <v>11.3</v>
      </c>
      <c r="U41" s="379">
        <v>0</v>
      </c>
      <c r="V41" s="379">
        <f>_xll.qlMidEquivalent(T41,U41)</f>
        <v>11.3</v>
      </c>
      <c r="W41" s="259" t="b">
        <f t="shared" si="2"/>
        <v>1</v>
      </c>
      <c r="X41" s="378">
        <v>11.3</v>
      </c>
      <c r="Y41" s="253"/>
      <c r="Z41" s="377">
        <v>11.3</v>
      </c>
      <c r="AA41" s="253"/>
      <c r="AB41" s="576">
        <v>11.3</v>
      </c>
      <c r="AC41" s="258" t="e">
        <f>_xll.qlSimpleQuoteSetValue(F41,ROUND(AB41/10000,6),Trigger)</f>
        <v>#N/A</v>
      </c>
      <c r="AD41" s="217"/>
      <c r="AE41" s="17"/>
      <c r="AF41" s="17"/>
      <c r="AG41" s="17"/>
      <c r="AH41" s="17"/>
    </row>
    <row r="42" spans="1:34" x14ac:dyDescent="0.2">
      <c r="A42" s="80"/>
      <c r="B42" s="79" t="s">
        <v>44</v>
      </c>
      <c r="C42" s="78" t="str">
        <f t="shared" si="3"/>
        <v>1E</v>
      </c>
      <c r="D42" s="77" t="str">
        <f t="shared" si="4"/>
        <v>6E</v>
      </c>
      <c r="E42" s="76" t="str">
        <f t="shared" si="0"/>
        <v>EUR1E6E60Y_Quote</v>
      </c>
      <c r="F42" s="76" t="str">
        <f>_xll.qlSimpleQuote(E42,,RateTickValue,Permanent,Trigger,ObjectOverwrite)</f>
        <v>EUR1E6E60Y_Quote#0000</v>
      </c>
      <c r="G42" s="75" t="str">
        <f>_xll.ohRangeRetrieveError(F42)</f>
        <v/>
      </c>
      <c r="H42" s="74"/>
      <c r="N42" s="122">
        <v>60</v>
      </c>
      <c r="O42" s="301" t="s">
        <v>44</v>
      </c>
      <c r="P42" s="300" t="str">
        <v>1E</v>
      </c>
      <c r="Q42" s="300" t="str">
        <v>6E</v>
      </c>
      <c r="R42" s="298" t="str">
        <f t="shared" si="1"/>
        <v>EUR1E6E60Y</v>
      </c>
      <c r="S42" s="263" t="str">
        <v>EUR1E6E60Y=ICAP</v>
      </c>
      <c r="T42" s="379">
        <v>10.6</v>
      </c>
      <c r="U42" s="379">
        <v>0</v>
      </c>
      <c r="V42" s="379">
        <f>_xll.qlMidEquivalent(T42,U42)</f>
        <v>10.6</v>
      </c>
      <c r="W42" s="259" t="b">
        <f t="shared" si="2"/>
        <v>1</v>
      </c>
      <c r="X42" s="378">
        <v>10.6</v>
      </c>
      <c r="Y42" s="253"/>
      <c r="Z42" s="377">
        <v>10.6</v>
      </c>
      <c r="AA42" s="253"/>
      <c r="AB42" s="577">
        <v>10.6</v>
      </c>
      <c r="AC42" s="250" t="e">
        <f>_xll.qlSimpleQuoteSetValue(F42,ROUND(AB42/10000,6),Trigger)</f>
        <v>#N/A</v>
      </c>
      <c r="AD42" s="217"/>
      <c r="AE42" s="17"/>
      <c r="AF42" s="17"/>
      <c r="AG42" s="17"/>
      <c r="AH42" s="17"/>
    </row>
    <row r="43" spans="1:34" ht="12"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137"/>
      <c r="AD2" s="49"/>
      <c r="AE2" s="17"/>
      <c r="AF2" s="17"/>
      <c r="AG2" s="17"/>
      <c r="AH2" s="17"/>
      <c r="AI2" s="17"/>
      <c r="AJ2" s="17"/>
    </row>
    <row r="3" spans="1:36" x14ac:dyDescent="0.2">
      <c r="A3" s="103" t="s">
        <v>137</v>
      </c>
      <c r="B3" s="98"/>
      <c r="C3" s="98"/>
      <c r="D3" s="98"/>
      <c r="E3" s="99"/>
      <c r="F3" s="100"/>
      <c r="G3" s="99"/>
      <c r="H3" s="95"/>
      <c r="N3" s="122"/>
      <c r="O3" s="253"/>
      <c r="P3" s="137"/>
      <c r="Q3" s="137"/>
      <c r="R3" s="137"/>
      <c r="S3" s="137" t="str">
        <f>_xll.qlInterpolation(,InterpolationType,_xll.ohFilter(N5:N42,W5:W42),_xll.ohFilter(V5:V42,W5:W42))</f>
        <v>obj_00701#0000</v>
      </c>
      <c r="T3" s="137"/>
      <c r="U3" s="137"/>
      <c r="V3" s="137"/>
      <c r="W3" s="137"/>
      <c r="X3" s="137"/>
      <c r="Y3" s="253"/>
      <c r="Z3" s="253"/>
      <c r="AA3" s="253"/>
      <c r="AB3" s="137"/>
      <c r="AC3" s="284">
        <f>_xll.ohTrigger(AC5:AC42)</f>
        <v>1</v>
      </c>
      <c r="AD3" s="217"/>
      <c r="AE3" s="17"/>
      <c r="AF3" s="17"/>
      <c r="AG3" s="17"/>
      <c r="AH3" s="17"/>
      <c r="AI3" s="17"/>
      <c r="AJ3" s="17"/>
    </row>
    <row r="4" spans="1:36"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6" t="s">
        <v>237</v>
      </c>
      <c r="AC4" s="94" t="s">
        <v>236</v>
      </c>
      <c r="AD4" s="217"/>
      <c r="AE4" s="17"/>
      <c r="AF4" s="17"/>
      <c r="AG4" s="17"/>
      <c r="AH4" s="17"/>
      <c r="AI4" s="17"/>
      <c r="AJ4" s="312" t="s">
        <v>269</v>
      </c>
    </row>
    <row r="5" spans="1:36"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EUR3E6E6M_Quote#0000</v>
      </c>
      <c r="G5" s="75" t="str">
        <f>_xll.ohRangeRetrieveError(F5)</f>
        <v/>
      </c>
      <c r="H5" s="74"/>
      <c r="N5" s="380">
        <v>0.5</v>
      </c>
      <c r="O5" s="301" t="s">
        <v>27</v>
      </c>
      <c r="P5" s="300" t="str">
        <f t="array" ref="P5:P42">VLOOKUP(Currency,Conventions,2)</f>
        <v>3E</v>
      </c>
      <c r="Q5" s="300" t="str">
        <f t="array" ref="Q5:Q42">VLOOKUP(Currency,Conventions,3)</f>
        <v>6E</v>
      </c>
      <c r="R5" s="298" t="str">
        <f t="shared" ref="R5:R42" si="1">Currency&amp;$P5&amp;$Q5&amp;$O5</f>
        <v>EUR3E6E6M</v>
      </c>
      <c r="S5" s="263" t="str">
        <f t="array" ref="S5:S42">Instruments&amp;"="&amp;VLOOKUP(Contributor,ContributorTable,2,FALSE)</f>
        <v>EUR3E6E6M=ICAP</v>
      </c>
      <c r="T5" s="379" t="s">
        <v>244</v>
      </c>
      <c r="U5" s="379" t="s">
        <v>244</v>
      </c>
      <c r="V5" s="379" t="e">
        <f>_xll.qlMidEquivalent(T5,U5)</f>
        <v>#NUM!</v>
      </c>
      <c r="W5" s="259" t="b">
        <f t="shared" ref="W5:W42" si="2">IF(ISNUMBER(V5),TRUE,FALSE)</f>
        <v>0</v>
      </c>
      <c r="X5" s="383" t="e">
        <f t="array" ref="X5:X41">_xll.qlInterpolationInterpolate(S3,N5:N42)</f>
        <v>#NUM!</v>
      </c>
      <c r="Y5" s="253"/>
      <c r="Z5" s="377" t="e">
        <v>#NUM!</v>
      </c>
      <c r="AA5" s="253"/>
      <c r="AB5" s="576" t="e">
        <f t="array" ref="AB5:AB42">QuoteStatic</f>
        <v>#NUM!</v>
      </c>
      <c r="AC5" s="258" t="e">
        <f>_xll.qlSimpleQuoteSetValue(F5,ROUND(AB5/10000,6),Trigger)</f>
        <v>#NUM!</v>
      </c>
      <c r="AD5" s="217"/>
      <c r="AE5" s="17"/>
      <c r="AF5" s="89" t="s">
        <v>124</v>
      </c>
      <c r="AG5" s="88" t="s">
        <v>117</v>
      </c>
      <c r="AH5" s="87" t="s">
        <v>119</v>
      </c>
      <c r="AI5" s="17" t="str">
        <f t="shared" ref="AI5:AI42" si="3">O5</f>
        <v>6M</v>
      </c>
      <c r="AJ5" s="376" t="e">
        <f>((Swap6M!AB5-Swap3M!AB5)*100-AB5)/10000</f>
        <v>#NUM!</v>
      </c>
    </row>
    <row r="6" spans="1:36" x14ac:dyDescent="0.2">
      <c r="A6" s="80"/>
      <c r="B6" s="90" t="s">
        <v>21</v>
      </c>
      <c r="C6" s="78" t="str">
        <f t="shared" ref="C6:C42" si="4">C5</f>
        <v>3E</v>
      </c>
      <c r="D6" s="77" t="str">
        <f t="shared" ref="D6:D42" si="5">D5</f>
        <v>6E</v>
      </c>
      <c r="E6" s="76" t="str">
        <f t="shared" si="0"/>
        <v>EUR3E6E1Y_Quote</v>
      </c>
      <c r="F6" s="76" t="str">
        <f>_xll.qlSimpleQuote(E6,,RateTickValue,Permanent,Trigger,ObjectOverwrite)</f>
        <v>EUR3E6E1Y_Quote#0000</v>
      </c>
      <c r="G6" s="75" t="str">
        <f>_xll.ohRangeRetrieveError(F6)</f>
        <v/>
      </c>
      <c r="H6" s="74"/>
      <c r="N6" s="380">
        <v>1</v>
      </c>
      <c r="O6" s="301" t="s">
        <v>21</v>
      </c>
      <c r="P6" s="300" t="str">
        <v>3E</v>
      </c>
      <c r="Q6" s="300" t="str">
        <v>6E</v>
      </c>
      <c r="R6" s="298" t="str">
        <f t="shared" si="1"/>
        <v>EUR3E6E1Y</v>
      </c>
      <c r="S6" s="263" t="str">
        <v>EUR3E6E1Y=ICAP</v>
      </c>
      <c r="T6" s="379">
        <v>9.5</v>
      </c>
      <c r="U6" s="379">
        <v>10.5</v>
      </c>
      <c r="V6" s="379">
        <f>_xll.qlMidEquivalent(T6,U6)</f>
        <v>10</v>
      </c>
      <c r="W6" s="259" t="b">
        <f t="shared" si="2"/>
        <v>1</v>
      </c>
      <c r="X6" s="383">
        <v>10</v>
      </c>
      <c r="Y6" s="253"/>
      <c r="Z6" s="377">
        <v>11.35</v>
      </c>
      <c r="AA6" s="253"/>
      <c r="AB6" s="576">
        <v>11.35</v>
      </c>
      <c r="AC6" s="258" t="e">
        <f>_xll.qlSimpleQuoteSetValue(F6,ROUND(AB6/10000,6),Trigger)</f>
        <v>#N/A</v>
      </c>
      <c r="AD6" s="217"/>
      <c r="AE6" s="17"/>
      <c r="AF6" s="86" t="s">
        <v>110</v>
      </c>
      <c r="AG6" s="85" t="s">
        <v>129</v>
      </c>
      <c r="AH6" s="84" t="s">
        <v>122</v>
      </c>
      <c r="AI6" s="17" t="str">
        <f t="shared" si="3"/>
        <v>1Y</v>
      </c>
      <c r="AJ6" s="376">
        <f>((Swap6M!AB6-Swap3M!AB6)*100-AB6)/10000</f>
        <v>-5.0000000000000707E-6</v>
      </c>
    </row>
    <row r="7" spans="1:36" x14ac:dyDescent="0.2">
      <c r="A7" s="80"/>
      <c r="B7" s="90" t="s">
        <v>127</v>
      </c>
      <c r="C7" s="78" t="str">
        <f t="shared" si="4"/>
        <v>3E</v>
      </c>
      <c r="D7" s="77" t="str">
        <f t="shared" si="5"/>
        <v>6E</v>
      </c>
      <c r="E7" s="76" t="str">
        <f t="shared" si="0"/>
        <v>EUR3E6E15M_Quote</v>
      </c>
      <c r="F7" s="76" t="str">
        <f>_xll.qlSimpleQuote(E7,,RateTickValue,Permanent,Trigger,ObjectOverwrite)</f>
        <v>EUR3E6E15M_Quote#0000</v>
      </c>
      <c r="G7" s="75" t="str">
        <f>_xll.ohRangeRetrieveError(F7)</f>
        <v/>
      </c>
      <c r="H7" s="74"/>
      <c r="N7" s="380">
        <v>1.25</v>
      </c>
      <c r="O7" s="301" t="s">
        <v>127</v>
      </c>
      <c r="P7" s="300" t="str">
        <v>3E</v>
      </c>
      <c r="Q7" s="300" t="str">
        <v>6E</v>
      </c>
      <c r="R7" s="298" t="str">
        <f t="shared" si="1"/>
        <v>EUR3E6E15M</v>
      </c>
      <c r="S7" s="263" t="str">
        <v>EUR3E6E15M=ICAP</v>
      </c>
      <c r="T7" s="379" t="s">
        <v>244</v>
      </c>
      <c r="U7" s="379" t="s">
        <v>244</v>
      </c>
      <c r="V7" s="379" t="e">
        <f>_xll.qlMidEquivalent(T7,U7)</f>
        <v>#NUM!</v>
      </c>
      <c r="W7" s="259" t="b">
        <f t="shared" si="2"/>
        <v>0</v>
      </c>
      <c r="X7" s="383">
        <v>10.707205499281535</v>
      </c>
      <c r="Y7" s="253"/>
      <c r="Z7" s="377">
        <v>11.74</v>
      </c>
      <c r="AA7" s="253"/>
      <c r="AB7" s="576">
        <v>11.74</v>
      </c>
      <c r="AC7" s="258" t="e">
        <f>_xll.qlSimpleQuoteSetValue(F7,ROUND(AB7/10000,6),Trigger)</f>
        <v>#N/A</v>
      </c>
      <c r="AD7" s="217"/>
      <c r="AE7" s="17"/>
      <c r="AF7" s="86" t="s">
        <v>121</v>
      </c>
      <c r="AG7" s="85" t="s">
        <v>117</v>
      </c>
      <c r="AH7" s="84" t="s">
        <v>119</v>
      </c>
      <c r="AI7" s="17" t="str">
        <f t="shared" si="3"/>
        <v>15M</v>
      </c>
      <c r="AJ7" s="376">
        <f>((Swap6M!AB7-Swap3M!AB7)*100-AB7)/10000</f>
        <v>-2.3399999999999981E-4</v>
      </c>
    </row>
    <row r="8" spans="1:36" x14ac:dyDescent="0.2">
      <c r="A8" s="80"/>
      <c r="B8" s="90" t="s">
        <v>126</v>
      </c>
      <c r="C8" s="78" t="str">
        <f t="shared" si="4"/>
        <v>3E</v>
      </c>
      <c r="D8" s="77" t="str">
        <f t="shared" si="5"/>
        <v>6E</v>
      </c>
      <c r="E8" s="76" t="str">
        <f t="shared" si="0"/>
        <v>EUR3E6E18M_Quote</v>
      </c>
      <c r="F8" s="76" t="str">
        <f>_xll.qlSimpleQuote(E8,,RateTickValue,Permanent,Trigger,ObjectOverwrite)</f>
        <v>EUR3E6E18M_Quote#0000</v>
      </c>
      <c r="G8" s="75" t="str">
        <f>_xll.ohRangeRetrieveError(F8)</f>
        <v/>
      </c>
      <c r="H8" s="74"/>
      <c r="N8" s="380">
        <v>1.5</v>
      </c>
      <c r="O8" s="301" t="s">
        <v>126</v>
      </c>
      <c r="P8" s="300" t="str">
        <v>3E</v>
      </c>
      <c r="Q8" s="300" t="str">
        <v>6E</v>
      </c>
      <c r="R8" s="298" t="str">
        <f t="shared" si="1"/>
        <v>EUR3E6E18M</v>
      </c>
      <c r="S8" s="263" t="str">
        <v>EUR3E6E18M=ICAP</v>
      </c>
      <c r="T8" s="379">
        <v>10.8</v>
      </c>
      <c r="U8" s="379">
        <v>11.8</v>
      </c>
      <c r="V8" s="379">
        <f>_xll.qlMidEquivalent(T8,U8)</f>
        <v>11.3</v>
      </c>
      <c r="W8" s="259" t="b">
        <f t="shared" si="2"/>
        <v>1</v>
      </c>
      <c r="X8" s="383">
        <v>11.3</v>
      </c>
      <c r="Y8" s="253"/>
      <c r="Z8" s="377">
        <v>12.1</v>
      </c>
      <c r="AA8" s="253"/>
      <c r="AB8" s="576">
        <v>12.1</v>
      </c>
      <c r="AC8" s="258" t="e">
        <f>_xll.qlSimpleQuoteSetValue(F8,ROUND(AB8/10000,6),Trigger)</f>
        <v>#N/A</v>
      </c>
      <c r="AD8" s="217"/>
      <c r="AE8" s="17"/>
      <c r="AF8" s="86" t="s">
        <v>120</v>
      </c>
      <c r="AG8" s="85" t="s">
        <v>117</v>
      </c>
      <c r="AH8" s="84" t="s">
        <v>119</v>
      </c>
      <c r="AI8" s="17" t="str">
        <f t="shared" si="3"/>
        <v>18M</v>
      </c>
      <c r="AJ8" s="376">
        <f>((Swap6M!AB8-Swap3M!AB8)*100-AB8)/10000</f>
        <v>0</v>
      </c>
    </row>
    <row r="9" spans="1:36" ht="13.5" thickBot="1" x14ac:dyDescent="0.25">
      <c r="A9" s="80"/>
      <c r="B9" s="90" t="s">
        <v>125</v>
      </c>
      <c r="C9" s="78" t="str">
        <f t="shared" si="4"/>
        <v>3E</v>
      </c>
      <c r="D9" s="77" t="str">
        <f t="shared" si="5"/>
        <v>6E</v>
      </c>
      <c r="E9" s="76" t="str">
        <f t="shared" si="0"/>
        <v>EUR3E6E21M_Quote</v>
      </c>
      <c r="F9" s="76" t="str">
        <f>_xll.qlSimpleQuote(E9,,RateTickValue,Permanent,Trigger,ObjectOverwrite)</f>
        <v>EUR3E6E21M_Quote#0000</v>
      </c>
      <c r="G9" s="75" t="str">
        <f>_xll.ohRangeRetrieveError(F9)</f>
        <v/>
      </c>
      <c r="H9" s="74"/>
      <c r="N9" s="380">
        <v>1.75</v>
      </c>
      <c r="O9" s="301" t="s">
        <v>125</v>
      </c>
      <c r="P9" s="300" t="str">
        <v>3E</v>
      </c>
      <c r="Q9" s="300" t="str">
        <v>6E</v>
      </c>
      <c r="R9" s="298" t="str">
        <f t="shared" si="1"/>
        <v>EUR3E6E21M</v>
      </c>
      <c r="S9" s="263" t="str">
        <v>EUR3E6E21M=ICAP</v>
      </c>
      <c r="T9" s="379" t="s">
        <v>244</v>
      </c>
      <c r="U9" s="379" t="s">
        <v>244</v>
      </c>
      <c r="V9" s="379" t="e">
        <f>_xll.qlMidEquivalent(T9,U9)</f>
        <v>#NUM!</v>
      </c>
      <c r="W9" s="259" t="b">
        <f t="shared" si="2"/>
        <v>0</v>
      </c>
      <c r="X9" s="383">
        <v>11.697133502155394</v>
      </c>
      <c r="Y9" s="253"/>
      <c r="Z9" s="377">
        <v>12.43</v>
      </c>
      <c r="AA9" s="253"/>
      <c r="AB9" s="576">
        <v>12.43</v>
      </c>
      <c r="AC9" s="258" t="e">
        <f>_xll.qlSimpleQuoteSetValue(F9,ROUND(AB9/10000,6),Trigger)</f>
        <v>#N/A</v>
      </c>
      <c r="AD9" s="217"/>
      <c r="AE9" s="17"/>
      <c r="AF9" s="83" t="s">
        <v>118</v>
      </c>
      <c r="AG9" s="82" t="s">
        <v>119</v>
      </c>
      <c r="AH9" s="81" t="s">
        <v>117</v>
      </c>
      <c r="AI9" s="17" t="str">
        <f t="shared" si="3"/>
        <v>21M</v>
      </c>
      <c r="AJ9" s="376">
        <f>((Swap6M!AB9-Swap3M!AB9)*100-AB9)/10000</f>
        <v>-1.7300000000000003E-4</v>
      </c>
    </row>
    <row r="10" spans="1:36" x14ac:dyDescent="0.2">
      <c r="A10" s="80"/>
      <c r="B10" s="79" t="s">
        <v>102</v>
      </c>
      <c r="C10" s="78" t="str">
        <f t="shared" si="4"/>
        <v>3E</v>
      </c>
      <c r="D10" s="77" t="str">
        <f t="shared" si="5"/>
        <v>6E</v>
      </c>
      <c r="E10" s="76" t="str">
        <f t="shared" si="0"/>
        <v>EUR3E6E2Y_Quote</v>
      </c>
      <c r="F10" s="76" t="str">
        <f>_xll.qlSimpleQuote(E10,,RateTickValue,Permanent,Trigger,ObjectOverwrite)</f>
        <v>EUR3E6E2Y_Quote#0000</v>
      </c>
      <c r="G10" s="75" t="str">
        <f>_xll.ohRangeRetrieveError(F10)</f>
        <v/>
      </c>
      <c r="H10" s="74"/>
      <c r="J10" s="89" t="s">
        <v>124</v>
      </c>
      <c r="K10" s="88" t="s">
        <v>117</v>
      </c>
      <c r="L10" s="87" t="s">
        <v>119</v>
      </c>
      <c r="N10" s="122">
        <v>2</v>
      </c>
      <c r="O10" s="301" t="s">
        <v>102</v>
      </c>
      <c r="P10" s="300" t="str">
        <v>3E</v>
      </c>
      <c r="Q10" s="300" t="str">
        <v>6E</v>
      </c>
      <c r="R10" s="298" t="str">
        <f t="shared" si="1"/>
        <v>EUR3E6E2Y</v>
      </c>
      <c r="S10" s="263" t="str">
        <v>EUR3E6E2Y=ICAP</v>
      </c>
      <c r="T10" s="379">
        <v>11.45</v>
      </c>
      <c r="U10" s="379">
        <v>12.45</v>
      </c>
      <c r="V10" s="379">
        <f>_xll.qlMidEquivalent(T10,U10)</f>
        <v>11.95</v>
      </c>
      <c r="W10" s="259" t="b">
        <f t="shared" si="2"/>
        <v>1</v>
      </c>
      <c r="X10" s="383">
        <v>11.95</v>
      </c>
      <c r="Y10" s="253"/>
      <c r="Z10" s="377">
        <v>12.7</v>
      </c>
      <c r="AA10" s="253"/>
      <c r="AB10" s="576">
        <v>12.7</v>
      </c>
      <c r="AC10" s="258" t="e">
        <f>_xll.qlSimpleQuoteSetValue(F10,ROUND(AB10/10000,6),Trigger)</f>
        <v>#N/A</v>
      </c>
      <c r="AD10" s="217"/>
      <c r="AE10" s="17"/>
      <c r="AF10" s="17"/>
      <c r="AG10" s="17"/>
      <c r="AH10" s="17"/>
      <c r="AI10" s="17" t="str">
        <f t="shared" si="3"/>
        <v>2Y</v>
      </c>
      <c r="AJ10" s="376">
        <f>((Swap6M!AB10-Swap3M!AB10)*100-AB10)/10000</f>
        <v>0</v>
      </c>
    </row>
    <row r="11" spans="1:36" x14ac:dyDescent="0.2">
      <c r="A11" s="80"/>
      <c r="B11" s="79" t="s">
        <v>101</v>
      </c>
      <c r="C11" s="78" t="str">
        <f t="shared" si="4"/>
        <v>3E</v>
      </c>
      <c r="D11" s="77" t="str">
        <f t="shared" si="5"/>
        <v>6E</v>
      </c>
      <c r="E11" s="76" t="str">
        <f t="shared" si="0"/>
        <v>EUR3E6E3Y_Quote</v>
      </c>
      <c r="F11" s="76" t="str">
        <f>_xll.qlSimpleQuote(E11,,RateTickValue,Permanent,Trigger,ObjectOverwrite)</f>
        <v>EUR3E6E3Y_Quote#0000</v>
      </c>
      <c r="G11" s="75" t="str">
        <f>_xll.ohRangeRetrieveError(F11)</f>
        <v/>
      </c>
      <c r="H11" s="74"/>
      <c r="J11" s="86" t="s">
        <v>110</v>
      </c>
      <c r="K11" s="85" t="s">
        <v>129</v>
      </c>
      <c r="L11" s="84" t="s">
        <v>122</v>
      </c>
      <c r="N11" s="122">
        <v>3</v>
      </c>
      <c r="O11" s="301" t="s">
        <v>101</v>
      </c>
      <c r="P11" s="300" t="str">
        <v>3E</v>
      </c>
      <c r="Q11" s="300" t="str">
        <v>6E</v>
      </c>
      <c r="R11" s="298" t="str">
        <f t="shared" si="1"/>
        <v>EUR3E6E3Y</v>
      </c>
      <c r="S11" s="263" t="str">
        <v>EUR3E6E3Y=ICAP</v>
      </c>
      <c r="T11" s="379">
        <v>11.9</v>
      </c>
      <c r="U11" s="379">
        <v>12.9</v>
      </c>
      <c r="V11" s="379">
        <f>_xll.qlMidEquivalent(T11,U11)</f>
        <v>12.4</v>
      </c>
      <c r="W11" s="259" t="b">
        <f t="shared" si="2"/>
        <v>1</v>
      </c>
      <c r="X11" s="383">
        <v>12.4</v>
      </c>
      <c r="Y11" s="253"/>
      <c r="Z11" s="377">
        <v>13.35</v>
      </c>
      <c r="AA11" s="253"/>
      <c r="AB11" s="576">
        <v>13.35</v>
      </c>
      <c r="AC11" s="258" t="e">
        <f>_xll.qlSimpleQuoteSetValue(F11,ROUND(AB11/10000,6),Trigger)</f>
        <v>#N/A</v>
      </c>
      <c r="AD11" s="217"/>
      <c r="AE11" s="17"/>
      <c r="AF11" s="17"/>
      <c r="AG11" s="17"/>
      <c r="AH11" s="17"/>
      <c r="AI11" s="17" t="str">
        <f t="shared" si="3"/>
        <v>3Y</v>
      </c>
      <c r="AJ11" s="376">
        <f>((Swap6M!AB11-Swap3M!AB11)*100-AB11)/10000</f>
        <v>-4.9999999999998937E-6</v>
      </c>
    </row>
    <row r="12" spans="1:36" x14ac:dyDescent="0.2">
      <c r="A12" s="80"/>
      <c r="B12" s="79" t="s">
        <v>100</v>
      </c>
      <c r="C12" s="78" t="str">
        <f t="shared" si="4"/>
        <v>3E</v>
      </c>
      <c r="D12" s="77" t="str">
        <f t="shared" si="5"/>
        <v>6E</v>
      </c>
      <c r="E12" s="76" t="str">
        <f t="shared" si="0"/>
        <v>EUR3E6E4Y_Quote</v>
      </c>
      <c r="F12" s="76" t="str">
        <f>_xll.qlSimpleQuote(E12,,RateTickValue,Permanent,Trigger,ObjectOverwrite)</f>
        <v>EUR3E6E4Y_Quote#0000</v>
      </c>
      <c r="G12" s="75" t="str">
        <f>_xll.ohRangeRetrieveError(F12)</f>
        <v/>
      </c>
      <c r="H12" s="74"/>
      <c r="J12" s="86" t="s">
        <v>121</v>
      </c>
      <c r="K12" s="85" t="s">
        <v>117</v>
      </c>
      <c r="L12" s="84" t="s">
        <v>119</v>
      </c>
      <c r="N12" s="122">
        <v>4</v>
      </c>
      <c r="O12" s="301" t="s">
        <v>100</v>
      </c>
      <c r="P12" s="300" t="str">
        <v>3E</v>
      </c>
      <c r="Q12" s="300" t="str">
        <v>6E</v>
      </c>
      <c r="R12" s="298" t="str">
        <f t="shared" si="1"/>
        <v>EUR3E6E4Y</v>
      </c>
      <c r="S12" s="263" t="str">
        <v>EUR3E6E4Y=ICAP</v>
      </c>
      <c r="T12" s="379">
        <v>11.85</v>
      </c>
      <c r="U12" s="379">
        <v>12.85</v>
      </c>
      <c r="V12" s="379">
        <f>_xll.qlMidEquivalent(T12,U12)</f>
        <v>12.35</v>
      </c>
      <c r="W12" s="259" t="b">
        <f t="shared" si="2"/>
        <v>1</v>
      </c>
      <c r="X12" s="383">
        <v>12.35</v>
      </c>
      <c r="Y12" s="253"/>
      <c r="Z12" s="377">
        <v>13.8</v>
      </c>
      <c r="AA12" s="253"/>
      <c r="AB12" s="576">
        <v>13.8</v>
      </c>
      <c r="AC12" s="258" t="e">
        <f>_xll.qlSimpleQuoteSetValue(F12,ROUND(AB12/10000,6),Trigger)</f>
        <v>#N/A</v>
      </c>
      <c r="AD12" s="217"/>
      <c r="AE12" s="17"/>
      <c r="AF12" s="17"/>
      <c r="AG12" s="17"/>
      <c r="AH12" s="17"/>
      <c r="AI12" s="17" t="str">
        <f t="shared" si="3"/>
        <v>4Y</v>
      </c>
      <c r="AJ12" s="376">
        <f>((Swap6M!AB12-Swap3M!AB12)*100-AB12)/10000</f>
        <v>0</v>
      </c>
    </row>
    <row r="13" spans="1:36" x14ac:dyDescent="0.2">
      <c r="A13" s="80"/>
      <c r="B13" s="79" t="s">
        <v>99</v>
      </c>
      <c r="C13" s="78" t="str">
        <f t="shared" si="4"/>
        <v>3E</v>
      </c>
      <c r="D13" s="77" t="str">
        <f t="shared" si="5"/>
        <v>6E</v>
      </c>
      <c r="E13" s="76" t="str">
        <f t="shared" si="0"/>
        <v>EUR3E6E5Y_Quote</v>
      </c>
      <c r="F13" s="76" t="str">
        <f>_xll.qlSimpleQuote(E13,,RateTickValue,Permanent,Trigger,ObjectOverwrite)</f>
        <v>EUR3E6E5Y_Quote#0000</v>
      </c>
      <c r="G13" s="75" t="str">
        <f>_xll.ohRangeRetrieveError(F13)</f>
        <v/>
      </c>
      <c r="H13" s="74"/>
      <c r="J13" s="86" t="s">
        <v>120</v>
      </c>
      <c r="K13" s="85" t="s">
        <v>117</v>
      </c>
      <c r="L13" s="84" t="s">
        <v>119</v>
      </c>
      <c r="N13" s="122">
        <v>5</v>
      </c>
      <c r="O13" s="301" t="s">
        <v>99</v>
      </c>
      <c r="P13" s="300" t="str">
        <v>3E</v>
      </c>
      <c r="Q13" s="300" t="str">
        <v>6E</v>
      </c>
      <c r="R13" s="298" t="str">
        <f t="shared" si="1"/>
        <v>EUR3E6E5Y</v>
      </c>
      <c r="S13" s="263" t="str">
        <v>EUR3E6E5Y=ICAP</v>
      </c>
      <c r="T13" s="379">
        <v>11.5</v>
      </c>
      <c r="U13" s="379">
        <v>12.5</v>
      </c>
      <c r="V13" s="379">
        <f>_xll.qlMidEquivalent(T13,U13)</f>
        <v>12</v>
      </c>
      <c r="W13" s="259" t="b">
        <f t="shared" si="2"/>
        <v>1</v>
      </c>
      <c r="X13" s="383">
        <v>12</v>
      </c>
      <c r="Y13" s="253"/>
      <c r="Z13" s="377">
        <v>13.9</v>
      </c>
      <c r="AA13" s="253"/>
      <c r="AB13" s="576">
        <v>13.9</v>
      </c>
      <c r="AC13" s="258" t="e">
        <f>_xll.qlSimpleQuoteSetValue(F13,ROUND(AB13/10000,6),Trigger)</f>
        <v>#N/A</v>
      </c>
      <c r="AD13" s="217"/>
      <c r="AE13" s="17"/>
      <c r="AF13" s="17"/>
      <c r="AG13" s="17"/>
      <c r="AH13" s="17"/>
      <c r="AI13" s="17" t="str">
        <f t="shared" si="3"/>
        <v>5Y</v>
      </c>
      <c r="AJ13" s="376">
        <f>((Swap6M!AB13-Swap3M!AB13)*100-AB13)/10000</f>
        <v>1.2434497875801753E-18</v>
      </c>
    </row>
    <row r="14" spans="1:36" ht="13.5" thickBot="1" x14ac:dyDescent="0.25">
      <c r="A14" s="80"/>
      <c r="B14" s="79" t="s">
        <v>98</v>
      </c>
      <c r="C14" s="78" t="str">
        <f t="shared" si="4"/>
        <v>3E</v>
      </c>
      <c r="D14" s="77" t="str">
        <f t="shared" si="5"/>
        <v>6E</v>
      </c>
      <c r="E14" s="76" t="str">
        <f t="shared" si="0"/>
        <v>EUR3E6E6Y_Quote</v>
      </c>
      <c r="F14" s="76" t="str">
        <f>_xll.qlSimpleQuote(E14,,RateTickValue,Permanent,Trigger,ObjectOverwrite)</f>
        <v>EUR3E6E6Y_Quote#0000</v>
      </c>
      <c r="G14" s="75" t="str">
        <f>_xll.ohRangeRetrieveError(F14)</f>
        <v/>
      </c>
      <c r="H14" s="74"/>
      <c r="J14" s="83" t="s">
        <v>118</v>
      </c>
      <c r="K14" s="82" t="s">
        <v>119</v>
      </c>
      <c r="L14" s="81" t="s">
        <v>117</v>
      </c>
      <c r="N14" s="122">
        <v>6</v>
      </c>
      <c r="O14" s="301" t="s">
        <v>98</v>
      </c>
      <c r="P14" s="300" t="str">
        <v>3E</v>
      </c>
      <c r="Q14" s="300" t="str">
        <v>6E</v>
      </c>
      <c r="R14" s="298" t="str">
        <f t="shared" si="1"/>
        <v>EUR3E6E6Y</v>
      </c>
      <c r="S14" s="263" t="str">
        <v>EUR3E6E6Y=ICAP</v>
      </c>
      <c r="T14" s="379">
        <v>11.25</v>
      </c>
      <c r="U14" s="379">
        <v>12.25</v>
      </c>
      <c r="V14" s="379">
        <f>_xll.qlMidEquivalent(T14,U14)</f>
        <v>11.75</v>
      </c>
      <c r="W14" s="259" t="b">
        <f t="shared" si="2"/>
        <v>1</v>
      </c>
      <c r="X14" s="383">
        <v>11.75</v>
      </c>
      <c r="Y14" s="253"/>
      <c r="Z14" s="377">
        <v>13.8</v>
      </c>
      <c r="AA14" s="253"/>
      <c r="AB14" s="576">
        <v>13.8</v>
      </c>
      <c r="AC14" s="258" t="e">
        <f>_xll.qlSimpleQuoteSetValue(F14,ROUND(AB14/10000,6),Trigger)</f>
        <v>#N/A</v>
      </c>
      <c r="AD14" s="217"/>
      <c r="AE14" s="17"/>
      <c r="AF14" s="17"/>
      <c r="AG14" s="17"/>
      <c r="AH14" s="17"/>
      <c r="AI14" s="17" t="str">
        <f t="shared" si="3"/>
        <v>6Y</v>
      </c>
      <c r="AJ14" s="376">
        <f>((Swap6M!AB14-Swap3M!AB14)*100-AB14)/10000</f>
        <v>-1.0658141036401502E-18</v>
      </c>
    </row>
    <row r="15" spans="1:36" x14ac:dyDescent="0.2">
      <c r="A15" s="80"/>
      <c r="B15" s="79" t="s">
        <v>97</v>
      </c>
      <c r="C15" s="78" t="str">
        <f t="shared" si="4"/>
        <v>3E</v>
      </c>
      <c r="D15" s="77" t="str">
        <f t="shared" si="5"/>
        <v>6E</v>
      </c>
      <c r="E15" s="76" t="str">
        <f t="shared" si="0"/>
        <v>EUR3E6E7Y_Quote</v>
      </c>
      <c r="F15" s="76" t="str">
        <f>_xll.qlSimpleQuote(E15,,RateTickValue,Permanent,Trigger,ObjectOverwrite)</f>
        <v>EUR3E6E7Y_Quote#0000</v>
      </c>
      <c r="G15" s="75" t="str">
        <f>_xll.ohRangeRetrieveError(F15)</f>
        <v/>
      </c>
      <c r="H15" s="74"/>
      <c r="N15" s="122">
        <v>7</v>
      </c>
      <c r="O15" s="301" t="s">
        <v>97</v>
      </c>
      <c r="P15" s="300" t="str">
        <v>3E</v>
      </c>
      <c r="Q15" s="300" t="str">
        <v>6E</v>
      </c>
      <c r="R15" s="298" t="str">
        <f t="shared" si="1"/>
        <v>EUR3E6E7Y</v>
      </c>
      <c r="S15" s="263" t="str">
        <v>EUR3E6E7Y=ICAP</v>
      </c>
      <c r="T15" s="379">
        <v>10.9</v>
      </c>
      <c r="U15" s="379">
        <v>11.9</v>
      </c>
      <c r="V15" s="379">
        <f>_xll.qlMidEquivalent(T15,U15)</f>
        <v>11.4</v>
      </c>
      <c r="W15" s="259" t="b">
        <f t="shared" si="2"/>
        <v>1</v>
      </c>
      <c r="X15" s="383">
        <v>11.4</v>
      </c>
      <c r="Y15" s="253"/>
      <c r="Z15" s="377">
        <v>13.45</v>
      </c>
      <c r="AA15" s="253"/>
      <c r="AB15" s="576">
        <v>13.45</v>
      </c>
      <c r="AC15" s="258" t="e">
        <f>_xll.qlSimpleQuoteSetValue(F15,ROUND(AB15/10000,6),Trigger)</f>
        <v>#N/A</v>
      </c>
      <c r="AD15" s="217"/>
      <c r="AE15" s="17"/>
      <c r="AF15" s="17"/>
      <c r="AG15" s="17"/>
      <c r="AH15" s="17"/>
      <c r="AI15" s="17" t="str">
        <f t="shared" si="3"/>
        <v>7Y</v>
      </c>
      <c r="AJ15" s="376">
        <f>((Swap6M!AB15-Swap3M!AB15)*100-AB15)/10000</f>
        <v>-5.0000000000009593E-6</v>
      </c>
    </row>
    <row r="16" spans="1:36" x14ac:dyDescent="0.2">
      <c r="A16" s="80"/>
      <c r="B16" s="79" t="s">
        <v>96</v>
      </c>
      <c r="C16" s="78" t="str">
        <f t="shared" si="4"/>
        <v>3E</v>
      </c>
      <c r="D16" s="77" t="str">
        <f t="shared" si="5"/>
        <v>6E</v>
      </c>
      <c r="E16" s="76" t="str">
        <f t="shared" si="0"/>
        <v>EUR3E6E8Y_Quote</v>
      </c>
      <c r="F16" s="76" t="str">
        <f>_xll.qlSimpleQuote(E16,,RateTickValue,Permanent,Trigger,ObjectOverwrite)</f>
        <v>EUR3E6E8Y_Quote#0000</v>
      </c>
      <c r="G16" s="75" t="str">
        <f>_xll.ohRangeRetrieveError(F16)</f>
        <v/>
      </c>
      <c r="H16" s="74"/>
      <c r="N16" s="122">
        <v>8</v>
      </c>
      <c r="O16" s="301" t="s">
        <v>96</v>
      </c>
      <c r="P16" s="300" t="str">
        <v>3E</v>
      </c>
      <c r="Q16" s="300" t="str">
        <v>6E</v>
      </c>
      <c r="R16" s="298" t="str">
        <f t="shared" si="1"/>
        <v>EUR3E6E8Y</v>
      </c>
      <c r="S16" s="263" t="str">
        <v>EUR3E6E8Y=ICAP</v>
      </c>
      <c r="T16" s="379">
        <v>10.6</v>
      </c>
      <c r="U16" s="379">
        <v>11.6</v>
      </c>
      <c r="V16" s="379">
        <f>_xll.qlMidEquivalent(T16,U16)</f>
        <v>11.1</v>
      </c>
      <c r="W16" s="259" t="b">
        <f t="shared" si="2"/>
        <v>1</v>
      </c>
      <c r="X16" s="383">
        <v>11.1</v>
      </c>
      <c r="Y16" s="253"/>
      <c r="Z16" s="377">
        <v>12.95</v>
      </c>
      <c r="AA16" s="253"/>
      <c r="AB16" s="576">
        <v>12.95</v>
      </c>
      <c r="AC16" s="258" t="e">
        <f>_xll.qlSimpleQuoteSetValue(F16,ROUND(AB16/10000,6),Trigger)</f>
        <v>#N/A</v>
      </c>
      <c r="AD16" s="217"/>
      <c r="AE16" s="17"/>
      <c r="AF16" s="17"/>
      <c r="AG16" s="17"/>
      <c r="AH16" s="17"/>
      <c r="AI16" s="17" t="str">
        <f t="shared" si="3"/>
        <v>8Y</v>
      </c>
      <c r="AJ16" s="376">
        <f>((Swap6M!AB16-Swap3M!AB16)*100-AB16)/10000</f>
        <v>-4.9999999999998937E-6</v>
      </c>
    </row>
    <row r="17" spans="1:36" x14ac:dyDescent="0.2">
      <c r="A17" s="80"/>
      <c r="B17" s="79" t="s">
        <v>95</v>
      </c>
      <c r="C17" s="78" t="str">
        <f t="shared" si="4"/>
        <v>3E</v>
      </c>
      <c r="D17" s="77" t="str">
        <f t="shared" si="5"/>
        <v>6E</v>
      </c>
      <c r="E17" s="76" t="str">
        <f t="shared" si="0"/>
        <v>EUR3E6E9Y_Quote</v>
      </c>
      <c r="F17" s="76" t="str">
        <f>_xll.qlSimpleQuote(E17,,RateTickValue,Permanent,Trigger,ObjectOverwrite)</f>
        <v>EUR3E6E9Y_Quote#0000</v>
      </c>
      <c r="G17" s="75" t="str">
        <f>_xll.ohRangeRetrieveError(F17)</f>
        <v/>
      </c>
      <c r="H17" s="74"/>
      <c r="N17" s="122">
        <v>9</v>
      </c>
      <c r="O17" s="301" t="s">
        <v>95</v>
      </c>
      <c r="P17" s="300" t="str">
        <v>3E</v>
      </c>
      <c r="Q17" s="300" t="str">
        <v>6E</v>
      </c>
      <c r="R17" s="298" t="str">
        <f t="shared" si="1"/>
        <v>EUR3E6E9Y</v>
      </c>
      <c r="S17" s="263" t="str">
        <v>EUR3E6E9Y=ICAP</v>
      </c>
      <c r="T17" s="379">
        <v>10.15</v>
      </c>
      <c r="U17" s="379">
        <v>11.15</v>
      </c>
      <c r="V17" s="379">
        <f>_xll.qlMidEquivalent(T17,U17)</f>
        <v>10.65</v>
      </c>
      <c r="W17" s="259" t="b">
        <f t="shared" si="2"/>
        <v>1</v>
      </c>
      <c r="X17" s="383">
        <v>10.65</v>
      </c>
      <c r="Y17" s="253"/>
      <c r="Z17" s="377">
        <v>12.4</v>
      </c>
      <c r="AA17" s="253"/>
      <c r="AB17" s="576">
        <v>12.4</v>
      </c>
      <c r="AC17" s="258" t="e">
        <f>_xll.qlSimpleQuoteSetValue(F17,ROUND(AB17/10000,6),Trigger)</f>
        <v>#N/A</v>
      </c>
      <c r="AD17" s="217"/>
      <c r="AE17" s="17"/>
      <c r="AF17" s="17"/>
      <c r="AG17" s="17"/>
      <c r="AH17" s="17"/>
      <c r="AI17" s="17" t="str">
        <f t="shared" si="3"/>
        <v>9Y</v>
      </c>
      <c r="AJ17" s="376">
        <f>((Swap6M!AB17-Swap3M!AB17)*100-AB17)/10000</f>
        <v>1.0658141036401502E-18</v>
      </c>
    </row>
    <row r="18" spans="1:36" x14ac:dyDescent="0.2">
      <c r="A18" s="80"/>
      <c r="B18" s="79" t="s">
        <v>94</v>
      </c>
      <c r="C18" s="78" t="str">
        <f t="shared" si="4"/>
        <v>3E</v>
      </c>
      <c r="D18" s="77" t="str">
        <f t="shared" si="5"/>
        <v>6E</v>
      </c>
      <c r="E18" s="76" t="str">
        <f t="shared" si="0"/>
        <v>EUR3E6E10Y_Quote</v>
      </c>
      <c r="F18" s="76" t="str">
        <f>_xll.qlSimpleQuote(E18,,RateTickValue,Permanent,Trigger,ObjectOverwrite)</f>
        <v>EUR3E6E10Y_Quote#0000</v>
      </c>
      <c r="G18" s="75" t="str">
        <f>_xll.ohRangeRetrieveError(F18)</f>
        <v/>
      </c>
      <c r="H18" s="74"/>
      <c r="N18" s="122">
        <v>10</v>
      </c>
      <c r="O18" s="301" t="s">
        <v>94</v>
      </c>
      <c r="P18" s="300" t="str">
        <v>3E</v>
      </c>
      <c r="Q18" s="300" t="str">
        <v>6E</v>
      </c>
      <c r="R18" s="298" t="str">
        <f t="shared" si="1"/>
        <v>EUR3E6E10Y</v>
      </c>
      <c r="S18" s="263" t="str">
        <v>EUR3E6E10Y=ICAP</v>
      </c>
      <c r="T18" s="379">
        <v>9.6999999999999993</v>
      </c>
      <c r="U18" s="379">
        <v>10.7</v>
      </c>
      <c r="V18" s="379">
        <f>_xll.qlMidEquivalent(T18,U18)</f>
        <v>10.199999999999999</v>
      </c>
      <c r="W18" s="259" t="b">
        <f t="shared" si="2"/>
        <v>1</v>
      </c>
      <c r="X18" s="383">
        <v>10.199999999999999</v>
      </c>
      <c r="Y18" s="253"/>
      <c r="Z18" s="377">
        <v>11.85</v>
      </c>
      <c r="AA18" s="253"/>
      <c r="AB18" s="576">
        <v>11.85</v>
      </c>
      <c r="AC18" s="258" t="e">
        <f>_xll.qlSimpleQuoteSetValue(F18,ROUND(AB18/10000,6),Trigger)</f>
        <v>#N/A</v>
      </c>
      <c r="AD18" s="217"/>
      <c r="AE18" s="17"/>
      <c r="AF18" s="17"/>
      <c r="AG18" s="17"/>
      <c r="AH18" s="17"/>
      <c r="AI18" s="17" t="str">
        <f t="shared" si="3"/>
        <v>10Y</v>
      </c>
      <c r="AJ18" s="376">
        <f>((Swap6M!AB18-Swap3M!AB18)*100-AB18)/10000</f>
        <v>-4.9999999999988273E-6</v>
      </c>
    </row>
    <row r="19" spans="1:36" x14ac:dyDescent="0.2">
      <c r="A19" s="80"/>
      <c r="B19" s="79" t="s">
        <v>93</v>
      </c>
      <c r="C19" s="78" t="str">
        <f t="shared" si="4"/>
        <v>3E</v>
      </c>
      <c r="D19" s="77" t="str">
        <f t="shared" si="5"/>
        <v>6E</v>
      </c>
      <c r="E19" s="76" t="str">
        <f t="shared" si="0"/>
        <v>EUR3E6E11Y_Quote</v>
      </c>
      <c r="F19" s="76" t="str">
        <f>_xll.qlSimpleQuote(E19,,RateTickValue,Permanent,Trigger,ObjectOverwrite)</f>
        <v>EUR3E6E11Y_Quote#0000</v>
      </c>
      <c r="G19" s="75" t="str">
        <f>_xll.ohRangeRetrieveError(F19)</f>
        <v/>
      </c>
      <c r="H19" s="74"/>
      <c r="N19" s="122">
        <v>11</v>
      </c>
      <c r="O19" s="301" t="s">
        <v>93</v>
      </c>
      <c r="P19" s="300" t="str">
        <v>3E</v>
      </c>
      <c r="Q19" s="300" t="str">
        <v>6E</v>
      </c>
      <c r="R19" s="298" t="str">
        <f t="shared" si="1"/>
        <v>EUR3E6E11Y</v>
      </c>
      <c r="S19" s="263" t="str">
        <v>EUR3E6E11Y=ICAP</v>
      </c>
      <c r="T19" s="379">
        <v>9.35</v>
      </c>
      <c r="U19" s="379">
        <v>10.35</v>
      </c>
      <c r="V19" s="379">
        <f>_xll.qlMidEquivalent(T19,U19)</f>
        <v>9.85</v>
      </c>
      <c r="W19" s="259" t="b">
        <f t="shared" si="2"/>
        <v>1</v>
      </c>
      <c r="X19" s="383">
        <v>9.85</v>
      </c>
      <c r="Y19" s="253"/>
      <c r="Z19" s="377">
        <v>11.3</v>
      </c>
      <c r="AA19" s="253"/>
      <c r="AB19" s="576">
        <v>11.3</v>
      </c>
      <c r="AC19" s="258" t="e">
        <f>_xll.qlSimpleQuoteSetValue(F19,ROUND(AB19/10000,6),Trigger)</f>
        <v>#N/A</v>
      </c>
      <c r="AD19" s="217"/>
      <c r="AE19" s="17"/>
      <c r="AF19" s="17"/>
      <c r="AG19" s="17"/>
      <c r="AH19" s="17"/>
      <c r="AI19" s="17" t="str">
        <f t="shared" si="3"/>
        <v>11Y</v>
      </c>
      <c r="AJ19" s="376">
        <f>((Swap6M!AB19-Swap3M!AB19)*100-AB19)/10000</f>
        <v>-1.7763568394002505E-19</v>
      </c>
    </row>
    <row r="20" spans="1:36" x14ac:dyDescent="0.2">
      <c r="A20" s="80"/>
      <c r="B20" s="79" t="s">
        <v>92</v>
      </c>
      <c r="C20" s="78" t="str">
        <f t="shared" si="4"/>
        <v>3E</v>
      </c>
      <c r="D20" s="77" t="str">
        <f t="shared" si="5"/>
        <v>6E</v>
      </c>
      <c r="E20" s="76" t="str">
        <f t="shared" si="0"/>
        <v>EUR3E6E12Y_Quote</v>
      </c>
      <c r="F20" s="76" t="str">
        <f>_xll.qlSimpleQuote(E20,,RateTickValue,Permanent,Trigger,ObjectOverwrite)</f>
        <v>EUR3E6E12Y_Quote#0000</v>
      </c>
      <c r="G20" s="75" t="str">
        <f>_xll.ohRangeRetrieveError(F20)</f>
        <v/>
      </c>
      <c r="H20" s="74"/>
      <c r="N20" s="122">
        <v>12</v>
      </c>
      <c r="O20" s="301" t="s">
        <v>92</v>
      </c>
      <c r="P20" s="300" t="str">
        <v>3E</v>
      </c>
      <c r="Q20" s="300" t="str">
        <v>6E</v>
      </c>
      <c r="R20" s="298" t="str">
        <f t="shared" si="1"/>
        <v>EUR3E6E12Y</v>
      </c>
      <c r="S20" s="263" t="str">
        <v>EUR3E6E12Y=ICAP</v>
      </c>
      <c r="T20" s="379">
        <v>9.0500000000000007</v>
      </c>
      <c r="U20" s="379">
        <v>10.050000000000001</v>
      </c>
      <c r="V20" s="379">
        <f>_xll.qlMidEquivalent(T20,U20)</f>
        <v>9.5500000000000007</v>
      </c>
      <c r="W20" s="259" t="b">
        <f t="shared" si="2"/>
        <v>1</v>
      </c>
      <c r="X20" s="383">
        <v>9.5500000000000007</v>
      </c>
      <c r="Y20" s="253"/>
      <c r="Z20" s="377">
        <v>10.75</v>
      </c>
      <c r="AA20" s="253"/>
      <c r="AB20" s="576">
        <v>10.75</v>
      </c>
      <c r="AC20" s="258" t="e">
        <f>_xll.qlSimpleQuoteSetValue(F20,ROUND(AB20/10000,6),Trigger)</f>
        <v>#N/A</v>
      </c>
      <c r="AD20" s="217"/>
      <c r="AE20" s="17"/>
      <c r="AF20" s="17"/>
      <c r="AG20" s="17"/>
      <c r="AH20" s="17"/>
      <c r="AI20" s="17" t="str">
        <f t="shared" si="3"/>
        <v>12Y</v>
      </c>
      <c r="AJ20" s="376">
        <f>((Swap6M!AB20-Swap3M!AB20)*100-AB20)/10000</f>
        <v>-5.0000000000023806E-6</v>
      </c>
    </row>
    <row r="21" spans="1:36" x14ac:dyDescent="0.2">
      <c r="A21" s="80"/>
      <c r="B21" s="79" t="s">
        <v>91</v>
      </c>
      <c r="C21" s="78" t="str">
        <f t="shared" si="4"/>
        <v>3E</v>
      </c>
      <c r="D21" s="77" t="str">
        <f t="shared" si="5"/>
        <v>6E</v>
      </c>
      <c r="E21" s="76" t="str">
        <f t="shared" si="0"/>
        <v>EUR3E6E13Y_Quote</v>
      </c>
      <c r="F21" s="76" t="str">
        <f>_xll.qlSimpleQuote(E21,,RateTickValue,Permanent,Trigger,ObjectOverwrite)</f>
        <v>EUR3E6E13Y_Quote#0000</v>
      </c>
      <c r="G21" s="75" t="str">
        <f>_xll.ohRangeRetrieveError(F21)</f>
        <v/>
      </c>
      <c r="H21" s="74"/>
      <c r="N21" s="122">
        <v>13</v>
      </c>
      <c r="O21" s="301" t="s">
        <v>91</v>
      </c>
      <c r="P21" s="300" t="str">
        <v>3E</v>
      </c>
      <c r="Q21" s="300" t="str">
        <v>6E</v>
      </c>
      <c r="R21" s="298" t="str">
        <f t="shared" si="1"/>
        <v>EUR3E6E13Y</v>
      </c>
      <c r="S21" s="263" t="str">
        <v>EUR3E6E13Y=ICAP</v>
      </c>
      <c r="T21" s="379" t="s">
        <v>244</v>
      </c>
      <c r="U21" s="379" t="s">
        <v>244</v>
      </c>
      <c r="V21" s="379" t="e">
        <f>_xll.qlMidEquivalent(T21,U21)</f>
        <v>#NUM!</v>
      </c>
      <c r="W21" s="259" t="b">
        <f t="shared" si="2"/>
        <v>0</v>
      </c>
      <c r="X21" s="383">
        <v>9.2370385241899786</v>
      </c>
      <c r="Y21" s="253"/>
      <c r="Z21" s="377">
        <v>10.199999999999999</v>
      </c>
      <c r="AA21" s="253"/>
      <c r="AB21" s="576">
        <v>10.199999999999999</v>
      </c>
      <c r="AC21" s="258" t="e">
        <f>_xll.qlSimpleQuoteSetValue(F21,ROUND(AB21/10000,6),Trigger)</f>
        <v>#N/A</v>
      </c>
      <c r="AD21" s="217"/>
      <c r="AE21" s="17"/>
      <c r="AF21" s="17"/>
      <c r="AG21" s="17"/>
      <c r="AH21" s="17"/>
      <c r="AI21" s="17" t="str">
        <f t="shared" si="3"/>
        <v>13Y</v>
      </c>
      <c r="AJ21" s="376" t="e">
        <f>((Swap6M!AB21-Swap3M!AB21)*100-AB21)/10000</f>
        <v>#NUM!</v>
      </c>
    </row>
    <row r="22" spans="1:36" x14ac:dyDescent="0.2">
      <c r="A22" s="80"/>
      <c r="B22" s="79" t="s">
        <v>90</v>
      </c>
      <c r="C22" s="78" t="str">
        <f t="shared" si="4"/>
        <v>3E</v>
      </c>
      <c r="D22" s="77" t="str">
        <f t="shared" si="5"/>
        <v>6E</v>
      </c>
      <c r="E22" s="76" t="str">
        <f t="shared" si="0"/>
        <v>EUR3E6E14Y_Quote</v>
      </c>
      <c r="F22" s="76" t="str">
        <f>_xll.qlSimpleQuote(E22,,RateTickValue,Permanent,Trigger,ObjectOverwrite)</f>
        <v>EUR3E6E14Y_Quote#0000</v>
      </c>
      <c r="G22" s="75" t="str">
        <f>_xll.ohRangeRetrieveError(F22)</f>
        <v/>
      </c>
      <c r="H22" s="74"/>
      <c r="N22" s="122">
        <v>14</v>
      </c>
      <c r="O22" s="301" t="s">
        <v>90</v>
      </c>
      <c r="P22" s="300" t="str">
        <v>3E</v>
      </c>
      <c r="Q22" s="300" t="str">
        <v>6E</v>
      </c>
      <c r="R22" s="298" t="str">
        <f t="shared" si="1"/>
        <v>EUR3E6E14Y</v>
      </c>
      <c r="S22" s="263" t="str">
        <v>EUR3E6E14Y=ICAP</v>
      </c>
      <c r="T22" s="379" t="s">
        <v>244</v>
      </c>
      <c r="U22" s="379" t="s">
        <v>244</v>
      </c>
      <c r="V22" s="379" t="e">
        <f>_xll.qlMidEquivalent(T22,U22)</f>
        <v>#NUM!</v>
      </c>
      <c r="W22" s="259" t="b">
        <f t="shared" si="2"/>
        <v>0</v>
      </c>
      <c r="X22" s="383">
        <v>8.9139108863230252</v>
      </c>
      <c r="Y22" s="253"/>
      <c r="Z22" s="377">
        <v>9.68</v>
      </c>
      <c r="AA22" s="253"/>
      <c r="AB22" s="576">
        <v>9.68</v>
      </c>
      <c r="AC22" s="258" t="e">
        <f>_xll.qlSimpleQuoteSetValue(F22,ROUND(AB22/10000,6),Trigger)</f>
        <v>#N/A</v>
      </c>
      <c r="AD22" s="217"/>
      <c r="AE22" s="17"/>
      <c r="AF22" s="17"/>
      <c r="AG22" s="17"/>
      <c r="AH22" s="17"/>
      <c r="AI22" s="17" t="str">
        <f t="shared" si="3"/>
        <v>14Y</v>
      </c>
      <c r="AJ22" s="376" t="e">
        <f>((Swap6M!AB22-Swap3M!AB22)*100-AB22)/10000</f>
        <v>#NUM!</v>
      </c>
    </row>
    <row r="23" spans="1:36" x14ac:dyDescent="0.2">
      <c r="A23" s="80"/>
      <c r="B23" s="79" t="s">
        <v>89</v>
      </c>
      <c r="C23" s="78" t="str">
        <f t="shared" si="4"/>
        <v>3E</v>
      </c>
      <c r="D23" s="77" t="str">
        <f t="shared" si="5"/>
        <v>6E</v>
      </c>
      <c r="E23" s="76" t="str">
        <f t="shared" si="0"/>
        <v>EUR3E6E15Y_Quote</v>
      </c>
      <c r="F23" s="76" t="str">
        <f>_xll.qlSimpleQuote(E23,,RateTickValue,Permanent,Trigger,ObjectOverwrite)</f>
        <v>EUR3E6E15Y_Quote#0000</v>
      </c>
      <c r="G23" s="75" t="str">
        <f>_xll.ohRangeRetrieveError(F23)</f>
        <v/>
      </c>
      <c r="H23" s="74"/>
      <c r="N23" s="122">
        <v>15</v>
      </c>
      <c r="O23" s="301" t="s">
        <v>89</v>
      </c>
      <c r="P23" s="300" t="str">
        <v>3E</v>
      </c>
      <c r="Q23" s="300" t="str">
        <v>6E</v>
      </c>
      <c r="R23" s="298" t="str">
        <f t="shared" si="1"/>
        <v>EUR3E6E15Y</v>
      </c>
      <c r="S23" s="263" t="str">
        <v>EUR3E6E15Y=ICAP</v>
      </c>
      <c r="T23" s="379">
        <v>8.1</v>
      </c>
      <c r="U23" s="379">
        <v>9.1</v>
      </c>
      <c r="V23" s="379">
        <f>_xll.qlMidEquivalent(T23,U23)</f>
        <v>8.6</v>
      </c>
      <c r="W23" s="259" t="b">
        <f t="shared" si="2"/>
        <v>1</v>
      </c>
      <c r="X23" s="383">
        <v>8.6</v>
      </c>
      <c r="Y23" s="253"/>
      <c r="Z23" s="377">
        <v>9.1999999999999993</v>
      </c>
      <c r="AA23" s="253"/>
      <c r="AB23" s="576">
        <v>9.1999999999999993</v>
      </c>
      <c r="AC23" s="258" t="e">
        <f>_xll.qlSimpleQuoteSetValue(F23,ROUND(AB23/10000,6),Trigger)</f>
        <v>#N/A</v>
      </c>
      <c r="AD23" s="217"/>
      <c r="AE23" s="17"/>
      <c r="AF23" s="17"/>
      <c r="AG23" s="17"/>
      <c r="AH23" s="17"/>
      <c r="AI23" s="17" t="str">
        <f t="shared" si="3"/>
        <v>15Y</v>
      </c>
      <c r="AJ23" s="376">
        <f>((Swap6M!AB23-Swap3M!AB23)*100-AB23)/10000</f>
        <v>8.8817841970012525E-19</v>
      </c>
    </row>
    <row r="24" spans="1:36" x14ac:dyDescent="0.2">
      <c r="A24" s="80"/>
      <c r="B24" s="79" t="s">
        <v>88</v>
      </c>
      <c r="C24" s="78" t="str">
        <f t="shared" si="4"/>
        <v>3E</v>
      </c>
      <c r="D24" s="77" t="str">
        <f t="shared" si="5"/>
        <v>6E</v>
      </c>
      <c r="E24" s="76" t="str">
        <f t="shared" si="0"/>
        <v>EUR3E6E16Y_Quote</v>
      </c>
      <c r="F24" s="76" t="str">
        <f>_xll.qlSimpleQuote(E24,,RateTickValue,Permanent,Trigger,ObjectOverwrite)</f>
        <v>EUR3E6E16Y_Quote#0000</v>
      </c>
      <c r="G24" s="75" t="str">
        <f>_xll.ohRangeRetrieveError(F24)</f>
        <v/>
      </c>
      <c r="H24" s="74"/>
      <c r="N24" s="122">
        <v>16</v>
      </c>
      <c r="O24" s="301" t="s">
        <v>88</v>
      </c>
      <c r="P24" s="300" t="str">
        <v>3E</v>
      </c>
      <c r="Q24" s="300" t="str">
        <v>6E</v>
      </c>
      <c r="R24" s="298" t="str">
        <f t="shared" si="1"/>
        <v>EUR3E6E16Y</v>
      </c>
      <c r="S24" s="263" t="str">
        <v>EUR3E6E16Y=ICAP</v>
      </c>
      <c r="T24" s="379" t="s">
        <v>244</v>
      </c>
      <c r="U24" s="379" t="s">
        <v>244</v>
      </c>
      <c r="V24" s="379" t="e">
        <f>_xll.qlMidEquivalent(T24,U24)</f>
        <v>#NUM!</v>
      </c>
      <c r="W24" s="259" t="b">
        <f t="shared" si="2"/>
        <v>0</v>
      </c>
      <c r="X24" s="383">
        <v>8.311111988281171</v>
      </c>
      <c r="Y24" s="253"/>
      <c r="Z24" s="377">
        <v>8.7799999999999994</v>
      </c>
      <c r="AA24" s="253"/>
      <c r="AB24" s="576">
        <v>8.7799999999999994</v>
      </c>
      <c r="AC24" s="258" t="e">
        <f>_xll.qlSimpleQuoteSetValue(F24,ROUND(AB24/10000,6),Trigger)</f>
        <v>#N/A</v>
      </c>
      <c r="AD24" s="217"/>
      <c r="AE24" s="17"/>
      <c r="AF24" s="17"/>
      <c r="AG24" s="17"/>
      <c r="AH24" s="17"/>
      <c r="AI24" s="17" t="str">
        <f t="shared" si="3"/>
        <v>16Y</v>
      </c>
      <c r="AJ24" s="376" t="e">
        <f>((Swap6M!AB24-Swap3M!AB24)*100-AB24)/10000</f>
        <v>#NUM!</v>
      </c>
    </row>
    <row r="25" spans="1:36" x14ac:dyDescent="0.2">
      <c r="A25" s="80"/>
      <c r="B25" s="79" t="s">
        <v>87</v>
      </c>
      <c r="C25" s="78" t="str">
        <f t="shared" si="4"/>
        <v>3E</v>
      </c>
      <c r="D25" s="77" t="str">
        <f t="shared" si="5"/>
        <v>6E</v>
      </c>
      <c r="E25" s="76" t="str">
        <f t="shared" si="0"/>
        <v>EUR3E6E17Y_Quote</v>
      </c>
      <c r="F25" s="76" t="str">
        <f>_xll.qlSimpleQuote(E25,,RateTickValue,Permanent,Trigger,ObjectOverwrite)</f>
        <v>EUR3E6E17Y_Quote#0000</v>
      </c>
      <c r="G25" s="75" t="str">
        <f>_xll.ohRangeRetrieveError(F25)</f>
        <v/>
      </c>
      <c r="H25" s="74"/>
      <c r="N25" s="122">
        <v>17</v>
      </c>
      <c r="O25" s="301" t="s">
        <v>87</v>
      </c>
      <c r="P25" s="300" t="str">
        <v>3E</v>
      </c>
      <c r="Q25" s="300" t="str">
        <v>6E</v>
      </c>
      <c r="R25" s="298" t="str">
        <f t="shared" si="1"/>
        <v>EUR3E6E17Y</v>
      </c>
      <c r="S25" s="263" t="str">
        <v>EUR3E6E17Y=ICAP</v>
      </c>
      <c r="T25" s="379" t="s">
        <v>244</v>
      </c>
      <c r="U25" s="379" t="s">
        <v>244</v>
      </c>
      <c r="V25" s="379" t="e">
        <f>_xll.qlMidEquivalent(T25,U25)</f>
        <v>#NUM!</v>
      </c>
      <c r="W25" s="259" t="b">
        <f t="shared" si="2"/>
        <v>0</v>
      </c>
      <c r="X25" s="383">
        <v>8.0487458120644462</v>
      </c>
      <c r="Y25" s="253"/>
      <c r="Z25" s="377">
        <v>8.43</v>
      </c>
      <c r="AA25" s="253"/>
      <c r="AB25" s="576">
        <v>8.43</v>
      </c>
      <c r="AC25" s="258" t="e">
        <f>_xll.qlSimpleQuoteSetValue(F25,ROUND(AB25/10000,6),Trigger)</f>
        <v>#N/A</v>
      </c>
      <c r="AD25" s="217"/>
      <c r="AE25" s="17"/>
      <c r="AF25" s="17"/>
      <c r="AG25" s="17"/>
      <c r="AH25" s="17"/>
      <c r="AI25" s="17" t="str">
        <f t="shared" si="3"/>
        <v>17Y</v>
      </c>
      <c r="AJ25" s="376" t="e">
        <f>((Swap6M!AB25-Swap3M!AB25)*100-AB25)/10000</f>
        <v>#NUM!</v>
      </c>
    </row>
    <row r="26" spans="1:36" x14ac:dyDescent="0.2">
      <c r="A26" s="80"/>
      <c r="B26" s="79" t="s">
        <v>86</v>
      </c>
      <c r="C26" s="78" t="str">
        <f t="shared" si="4"/>
        <v>3E</v>
      </c>
      <c r="D26" s="77" t="str">
        <f t="shared" si="5"/>
        <v>6E</v>
      </c>
      <c r="E26" s="76" t="str">
        <f t="shared" si="0"/>
        <v>EUR3E6E18Y_Quote</v>
      </c>
      <c r="F26" s="76" t="str">
        <f>_xll.qlSimpleQuote(E26,,RateTickValue,Permanent,Trigger,ObjectOverwrite)</f>
        <v>EUR3E6E18Y_Quote#0000</v>
      </c>
      <c r="G26" s="75" t="str">
        <f>_xll.ohRangeRetrieveError(F26)</f>
        <v/>
      </c>
      <c r="H26" s="74"/>
      <c r="N26" s="122">
        <v>18</v>
      </c>
      <c r="O26" s="301" t="s">
        <v>86</v>
      </c>
      <c r="P26" s="300" t="str">
        <v>3E</v>
      </c>
      <c r="Q26" s="300" t="str">
        <v>6E</v>
      </c>
      <c r="R26" s="298" t="str">
        <f t="shared" si="1"/>
        <v>EUR3E6E18Y</v>
      </c>
      <c r="S26" s="263" t="str">
        <v>EUR3E6E18Y=ICAP</v>
      </c>
      <c r="T26" s="379" t="s">
        <v>244</v>
      </c>
      <c r="U26" s="379" t="s">
        <v>244</v>
      </c>
      <c r="V26" s="379" t="e">
        <f>_xll.qlMidEquivalent(T26,U26)</f>
        <v>#NUM!</v>
      </c>
      <c r="W26" s="259" t="b">
        <f t="shared" si="2"/>
        <v>0</v>
      </c>
      <c r="X26" s="383">
        <v>7.8108236417071328</v>
      </c>
      <c r="Y26" s="253"/>
      <c r="Z26" s="377">
        <v>8.1199999999999992</v>
      </c>
      <c r="AA26" s="253"/>
      <c r="AB26" s="576">
        <v>8.1199999999999992</v>
      </c>
      <c r="AC26" s="258" t="e">
        <f>_xll.qlSimpleQuoteSetValue(F26,ROUND(AB26/10000,6),Trigger)</f>
        <v>#N/A</v>
      </c>
      <c r="AD26" s="217"/>
      <c r="AE26" s="17"/>
      <c r="AF26" s="17"/>
      <c r="AG26" s="17"/>
      <c r="AH26" s="17"/>
      <c r="AI26" s="17" t="str">
        <f t="shared" si="3"/>
        <v>18Y</v>
      </c>
      <c r="AJ26" s="376" t="e">
        <f>((Swap6M!AB26-Swap3M!AB26)*100-AB26)/10000</f>
        <v>#NUM!</v>
      </c>
    </row>
    <row r="27" spans="1:36" x14ac:dyDescent="0.2">
      <c r="A27" s="80"/>
      <c r="B27" s="79" t="s">
        <v>85</v>
      </c>
      <c r="C27" s="78" t="str">
        <f t="shared" si="4"/>
        <v>3E</v>
      </c>
      <c r="D27" s="77" t="str">
        <f t="shared" si="5"/>
        <v>6E</v>
      </c>
      <c r="E27" s="76" t="str">
        <f t="shared" si="0"/>
        <v>EUR3E6E19Y_Quote</v>
      </c>
      <c r="F27" s="76" t="str">
        <f>_xll.qlSimpleQuote(E27,,RateTickValue,Permanent,Trigger,ObjectOverwrite)</f>
        <v>EUR3E6E19Y_Quote#0000</v>
      </c>
      <c r="G27" s="75" t="str">
        <f>_xll.ohRangeRetrieveError(F27)</f>
        <v/>
      </c>
      <c r="H27" s="74"/>
      <c r="N27" s="122">
        <v>19</v>
      </c>
      <c r="O27" s="301" t="s">
        <v>85</v>
      </c>
      <c r="P27" s="300" t="str">
        <v>3E</v>
      </c>
      <c r="Q27" s="300" t="str">
        <v>6E</v>
      </c>
      <c r="R27" s="298" t="str">
        <f t="shared" si="1"/>
        <v>EUR3E6E19Y</v>
      </c>
      <c r="S27" s="263" t="str">
        <v>EUR3E6E19Y=ICAP</v>
      </c>
      <c r="T27" s="379" t="s">
        <v>244</v>
      </c>
      <c r="U27" s="379" t="s">
        <v>244</v>
      </c>
      <c r="V27" s="379" t="e">
        <f>_xll.qlMidEquivalent(T27,U27)</f>
        <v>#NUM!</v>
      </c>
      <c r="W27" s="259" t="b">
        <f t="shared" si="2"/>
        <v>0</v>
      </c>
      <c r="X27" s="383">
        <v>7.5952676475665477</v>
      </c>
      <c r="Y27" s="253"/>
      <c r="Z27" s="377">
        <v>7.84</v>
      </c>
      <c r="AA27" s="253"/>
      <c r="AB27" s="576">
        <v>7.84</v>
      </c>
      <c r="AC27" s="258" t="e">
        <f>_xll.qlSimpleQuoteSetValue(F27,ROUND(AB27/10000,6),Trigger)</f>
        <v>#N/A</v>
      </c>
      <c r="AD27" s="217"/>
      <c r="AE27" s="17"/>
      <c r="AF27" s="17"/>
      <c r="AG27" s="17"/>
      <c r="AH27" s="17"/>
      <c r="AI27" s="17" t="str">
        <f t="shared" si="3"/>
        <v>19Y</v>
      </c>
      <c r="AJ27" s="376" t="e">
        <f>((Swap6M!AB27-Swap3M!AB27)*100-AB27)/10000</f>
        <v>#NUM!</v>
      </c>
    </row>
    <row r="28" spans="1:36" x14ac:dyDescent="0.2">
      <c r="A28" s="80"/>
      <c r="B28" s="79" t="s">
        <v>84</v>
      </c>
      <c r="C28" s="78" t="str">
        <f t="shared" si="4"/>
        <v>3E</v>
      </c>
      <c r="D28" s="77" t="str">
        <f t="shared" si="5"/>
        <v>6E</v>
      </c>
      <c r="E28" s="76" t="str">
        <f t="shared" si="0"/>
        <v>EUR3E6E20Y_Quote</v>
      </c>
      <c r="F28" s="76" t="str">
        <f>_xll.qlSimpleQuote(E28,,RateTickValue,Permanent,Trigger,ObjectOverwrite)</f>
        <v>EUR3E6E20Y_Quote#0000</v>
      </c>
      <c r="G28" s="75" t="str">
        <f>_xll.ohRangeRetrieveError(F28)</f>
        <v/>
      </c>
      <c r="H28" s="74"/>
      <c r="N28" s="122">
        <v>20</v>
      </c>
      <c r="O28" s="301" t="s">
        <v>84</v>
      </c>
      <c r="P28" s="300" t="str">
        <v>3E</v>
      </c>
      <c r="Q28" s="300" t="str">
        <v>6E</v>
      </c>
      <c r="R28" s="298" t="str">
        <f t="shared" si="1"/>
        <v>EUR3E6E20Y</v>
      </c>
      <c r="S28" s="263" t="str">
        <v>EUR3E6E20Y=ICAP</v>
      </c>
      <c r="T28" s="379">
        <v>6.9</v>
      </c>
      <c r="U28" s="379">
        <v>7.9</v>
      </c>
      <c r="V28" s="379">
        <f>_xll.qlMidEquivalent(T28,U28)</f>
        <v>7.4</v>
      </c>
      <c r="W28" s="259" t="b">
        <f t="shared" si="2"/>
        <v>1</v>
      </c>
      <c r="X28" s="383">
        <v>7.4</v>
      </c>
      <c r="Y28" s="253"/>
      <c r="Z28" s="377">
        <v>7.6</v>
      </c>
      <c r="AA28" s="253"/>
      <c r="AB28" s="576">
        <v>7.6</v>
      </c>
      <c r="AC28" s="258" t="e">
        <f>_xll.qlSimpleQuoteSetValue(F28,ROUND(AB28/10000,6),Trigger)</f>
        <v>#N/A</v>
      </c>
      <c r="AD28" s="217"/>
      <c r="AE28" s="17"/>
      <c r="AF28" s="17"/>
      <c r="AG28" s="17"/>
      <c r="AH28" s="17"/>
      <c r="AI28" s="17" t="str">
        <f t="shared" si="3"/>
        <v>20Y</v>
      </c>
      <c r="AJ28" s="376">
        <f>((Swap6M!AB28-Swap3M!AB28)*100-AB28)/10000</f>
        <v>7.1054273576010022E-19</v>
      </c>
    </row>
    <row r="29" spans="1:36" x14ac:dyDescent="0.2">
      <c r="A29" s="80"/>
      <c r="B29" s="79" t="s">
        <v>83</v>
      </c>
      <c r="C29" s="78" t="str">
        <f t="shared" si="4"/>
        <v>3E</v>
      </c>
      <c r="D29" s="77" t="str">
        <f t="shared" si="5"/>
        <v>6E</v>
      </c>
      <c r="E29" s="76" t="str">
        <f t="shared" si="0"/>
        <v>EUR3E6E21Y_Quote</v>
      </c>
      <c r="F29" s="76" t="str">
        <f>_xll.qlSimpleQuote(E29,,RateTickValue,Permanent,Trigger,ObjectOverwrite)</f>
        <v>EUR3E6E21Y_Quote#0000</v>
      </c>
      <c r="G29" s="75" t="str">
        <f>_xll.ohRangeRetrieveError(F29)</f>
        <v/>
      </c>
      <c r="H29" s="74"/>
      <c r="N29" s="122">
        <v>21</v>
      </c>
      <c r="O29" s="301" t="s">
        <v>83</v>
      </c>
      <c r="P29" s="300" t="str">
        <v>3E</v>
      </c>
      <c r="Q29" s="300" t="str">
        <v>6E</v>
      </c>
      <c r="R29" s="298" t="str">
        <f t="shared" si="1"/>
        <v>EUR3E6E21Y</v>
      </c>
      <c r="S29" s="263" t="str">
        <v>EUR3E6E21Y=ICAP</v>
      </c>
      <c r="T29" s="379" t="s">
        <v>244</v>
      </c>
      <c r="U29" s="379" t="s">
        <v>244</v>
      </c>
      <c r="V29" s="379" t="e">
        <f>_xll.qlMidEquivalent(T29,U29)</f>
        <v>#NUM!</v>
      </c>
      <c r="W29" s="259" t="b">
        <f t="shared" si="2"/>
        <v>0</v>
      </c>
      <c r="X29" s="383">
        <v>7.222900765978534</v>
      </c>
      <c r="Y29" s="253"/>
      <c r="Z29" s="377">
        <v>7.38</v>
      </c>
      <c r="AA29" s="253"/>
      <c r="AB29" s="576">
        <v>7.38</v>
      </c>
      <c r="AC29" s="258" t="e">
        <f>_xll.qlSimpleQuoteSetValue(F29,ROUND(AB29/10000,6),Trigger)</f>
        <v>#N/A</v>
      </c>
      <c r="AD29" s="217"/>
      <c r="AE29" s="17"/>
      <c r="AF29" s="17"/>
      <c r="AG29" s="17"/>
      <c r="AH29" s="17"/>
      <c r="AI29" s="17" t="str">
        <f t="shared" si="3"/>
        <v>21Y</v>
      </c>
      <c r="AJ29" s="376" t="e">
        <f>((Swap6M!AB29-Swap3M!AB29)*100-AB29)/10000</f>
        <v>#NUM!</v>
      </c>
    </row>
    <row r="30" spans="1:36" x14ac:dyDescent="0.2">
      <c r="A30" s="80"/>
      <c r="B30" s="79" t="s">
        <v>82</v>
      </c>
      <c r="C30" s="78" t="str">
        <f t="shared" si="4"/>
        <v>3E</v>
      </c>
      <c r="D30" s="77" t="str">
        <f t="shared" si="5"/>
        <v>6E</v>
      </c>
      <c r="E30" s="76" t="str">
        <f t="shared" si="0"/>
        <v>EUR3E6E22Y_Quote</v>
      </c>
      <c r="F30" s="76" t="str">
        <f>_xll.qlSimpleQuote(E30,,RateTickValue,Permanent,Trigger,ObjectOverwrite)</f>
        <v>EUR3E6E22Y_Quote#0000</v>
      </c>
      <c r="G30" s="75" t="str">
        <f>_xll.ohRangeRetrieveError(F30)</f>
        <v/>
      </c>
      <c r="H30" s="74"/>
      <c r="N30" s="122">
        <v>22</v>
      </c>
      <c r="O30" s="301" t="s">
        <v>82</v>
      </c>
      <c r="P30" s="300" t="str">
        <v>3E</v>
      </c>
      <c r="Q30" s="300" t="str">
        <v>6E</v>
      </c>
      <c r="R30" s="298" t="str">
        <f t="shared" si="1"/>
        <v>EUR3E6E22Y</v>
      </c>
      <c r="S30" s="263" t="str">
        <v>EUR3E6E22Y=ICAP</v>
      </c>
      <c r="T30" s="379" t="s">
        <v>244</v>
      </c>
      <c r="U30" s="379" t="s">
        <v>244</v>
      </c>
      <c r="V30" s="379" t="e">
        <f>_xll.qlMidEquivalent(T30,U30)</f>
        <v>#NUM!</v>
      </c>
      <c r="W30" s="259" t="b">
        <f t="shared" si="2"/>
        <v>0</v>
      </c>
      <c r="X30" s="383">
        <v>7.0616815989281108</v>
      </c>
      <c r="Y30" s="253"/>
      <c r="Z30" s="377">
        <v>7.17</v>
      </c>
      <c r="AA30" s="253"/>
      <c r="AB30" s="576">
        <v>7.17</v>
      </c>
      <c r="AC30" s="258" t="e">
        <f>_xll.qlSimpleQuoteSetValue(F30,ROUND(AB30/10000,6),Trigger)</f>
        <v>#N/A</v>
      </c>
      <c r="AD30" s="217"/>
      <c r="AE30" s="17"/>
      <c r="AF30" s="17"/>
      <c r="AG30" s="17"/>
      <c r="AH30" s="17"/>
      <c r="AI30" s="17" t="str">
        <f t="shared" si="3"/>
        <v>22Y</v>
      </c>
      <c r="AJ30" s="376" t="e">
        <f>((Swap6M!AB30-Swap3M!AB30)*100-AB30)/10000</f>
        <v>#NUM!</v>
      </c>
    </row>
    <row r="31" spans="1:36" x14ac:dyDescent="0.2">
      <c r="A31" s="80"/>
      <c r="B31" s="79" t="s">
        <v>81</v>
      </c>
      <c r="C31" s="78" t="str">
        <f t="shared" si="4"/>
        <v>3E</v>
      </c>
      <c r="D31" s="77" t="str">
        <f t="shared" si="5"/>
        <v>6E</v>
      </c>
      <c r="E31" s="76" t="str">
        <f t="shared" si="0"/>
        <v>EUR3E6E23Y_Quote</v>
      </c>
      <c r="F31" s="76" t="str">
        <f>_xll.qlSimpleQuote(E31,,RateTickValue,Permanent,Trigger,ObjectOverwrite)</f>
        <v>EUR3E6E23Y_Quote#0000</v>
      </c>
      <c r="G31" s="75" t="str">
        <f>_xll.ohRangeRetrieveError(F31)</f>
        <v/>
      </c>
      <c r="H31" s="74"/>
      <c r="N31" s="122">
        <v>23</v>
      </c>
      <c r="O31" s="301" t="s">
        <v>81</v>
      </c>
      <c r="P31" s="300" t="str">
        <v>3E</v>
      </c>
      <c r="Q31" s="300" t="str">
        <v>6E</v>
      </c>
      <c r="R31" s="298" t="str">
        <f t="shared" si="1"/>
        <v>EUR3E6E23Y</v>
      </c>
      <c r="S31" s="263" t="str">
        <v>EUR3E6E23Y=ICAP</v>
      </c>
      <c r="T31" s="379" t="s">
        <v>244</v>
      </c>
      <c r="U31" s="379" t="s">
        <v>244</v>
      </c>
      <c r="V31" s="379" t="e">
        <f>_xll.qlMidEquivalent(T31,U31)</f>
        <v>#NUM!</v>
      </c>
      <c r="W31" s="259" t="b">
        <f t="shared" si="2"/>
        <v>0</v>
      </c>
      <c r="X31" s="383">
        <v>6.91401204888842</v>
      </c>
      <c r="Y31" s="253"/>
      <c r="Z31" s="377">
        <v>6.98</v>
      </c>
      <c r="AA31" s="253"/>
      <c r="AB31" s="576">
        <v>6.98</v>
      </c>
      <c r="AC31" s="258" t="e">
        <f>_xll.qlSimpleQuoteSetValue(F31,ROUND(AB31/10000,6),Trigger)</f>
        <v>#N/A</v>
      </c>
      <c r="AD31" s="217"/>
      <c r="AE31" s="17"/>
      <c r="AF31" s="17"/>
      <c r="AG31" s="17"/>
      <c r="AH31" s="17"/>
      <c r="AI31" s="17" t="str">
        <f t="shared" si="3"/>
        <v>23Y</v>
      </c>
      <c r="AJ31" s="376" t="e">
        <f>((Swap6M!AB31-Swap3M!AB31)*100-AB31)/10000</f>
        <v>#NUM!</v>
      </c>
    </row>
    <row r="32" spans="1:36" x14ac:dyDescent="0.2">
      <c r="A32" s="80"/>
      <c r="B32" s="79" t="s">
        <v>80</v>
      </c>
      <c r="C32" s="78" t="str">
        <f t="shared" si="4"/>
        <v>3E</v>
      </c>
      <c r="D32" s="77" t="str">
        <f t="shared" si="5"/>
        <v>6E</v>
      </c>
      <c r="E32" s="76" t="str">
        <f t="shared" si="0"/>
        <v>EUR3E6E24Y_Quote</v>
      </c>
      <c r="F32" s="76" t="str">
        <f>_xll.qlSimpleQuote(E32,,RateTickValue,Permanent,Trigger,ObjectOverwrite)</f>
        <v>EUR3E6E24Y_Quote#0000</v>
      </c>
      <c r="G32" s="75" t="str">
        <f>_xll.ohRangeRetrieveError(F32)</f>
        <v/>
      </c>
      <c r="H32" s="74"/>
      <c r="N32" s="122">
        <v>24</v>
      </c>
      <c r="O32" s="301" t="s">
        <v>80</v>
      </c>
      <c r="P32" s="300" t="str">
        <v>3E</v>
      </c>
      <c r="Q32" s="300" t="str">
        <v>6E</v>
      </c>
      <c r="R32" s="298" t="str">
        <f t="shared" si="1"/>
        <v>EUR3E6E24Y</v>
      </c>
      <c r="S32" s="263" t="str">
        <v>EUR3E6E24Y=ICAP</v>
      </c>
      <c r="T32" s="379" t="s">
        <v>244</v>
      </c>
      <c r="U32" s="379" t="s">
        <v>244</v>
      </c>
      <c r="V32" s="379" t="e">
        <f>_xll.qlMidEquivalent(T32,U32)</f>
        <v>#NUM!</v>
      </c>
      <c r="W32" s="259" t="b">
        <f t="shared" si="2"/>
        <v>0</v>
      </c>
      <c r="X32" s="383">
        <v>6.7775616658991531</v>
      </c>
      <c r="Y32" s="253"/>
      <c r="Z32" s="377">
        <v>6.81</v>
      </c>
      <c r="AA32" s="253"/>
      <c r="AB32" s="576">
        <v>6.81</v>
      </c>
      <c r="AC32" s="258" t="e">
        <f>_xll.qlSimpleQuoteSetValue(F32,ROUND(AB32/10000,6),Trigger)</f>
        <v>#N/A</v>
      </c>
      <c r="AD32" s="217"/>
      <c r="AE32" s="17"/>
      <c r="AF32" s="17"/>
      <c r="AG32" s="17"/>
      <c r="AH32" s="17"/>
      <c r="AI32" s="17" t="str">
        <f t="shared" si="3"/>
        <v>24Y</v>
      </c>
      <c r="AJ32" s="376" t="e">
        <f>((Swap6M!AB32-Swap3M!AB32)*100-AB32)/10000</f>
        <v>#NUM!</v>
      </c>
    </row>
    <row r="33" spans="1:36" x14ac:dyDescent="0.2">
      <c r="A33" s="80"/>
      <c r="B33" s="79" t="s">
        <v>79</v>
      </c>
      <c r="C33" s="78" t="str">
        <f t="shared" si="4"/>
        <v>3E</v>
      </c>
      <c r="D33" s="77" t="str">
        <f t="shared" si="5"/>
        <v>6E</v>
      </c>
      <c r="E33" s="76" t="str">
        <f t="shared" si="0"/>
        <v>EUR3E6E25Y_Quote</v>
      </c>
      <c r="F33" s="76" t="str">
        <f>_xll.qlSimpleQuote(E33,,RateTickValue,Permanent,Trigger,ObjectOverwrite)</f>
        <v>EUR3E6E25Y_Quote#0000</v>
      </c>
      <c r="G33" s="75" t="str">
        <f>_xll.ohRangeRetrieveError(F33)</f>
        <v/>
      </c>
      <c r="H33" s="74"/>
      <c r="N33" s="122">
        <v>25</v>
      </c>
      <c r="O33" s="301" t="s">
        <v>79</v>
      </c>
      <c r="P33" s="300" t="str">
        <v>3E</v>
      </c>
      <c r="Q33" s="300" t="str">
        <v>6E</v>
      </c>
      <c r="R33" s="298" t="str">
        <f t="shared" si="1"/>
        <v>EUR3E6E25Y</v>
      </c>
      <c r="S33" s="263" t="str">
        <v>EUR3E6E25Y=ICAP</v>
      </c>
      <c r="T33" s="379">
        <v>6.15</v>
      </c>
      <c r="U33" s="379">
        <v>7.15</v>
      </c>
      <c r="V33" s="379">
        <f>_xll.qlMidEquivalent(T33,U33)</f>
        <v>6.65</v>
      </c>
      <c r="W33" s="259" t="b">
        <f t="shared" si="2"/>
        <v>1</v>
      </c>
      <c r="X33" s="383">
        <v>6.65</v>
      </c>
      <c r="Y33" s="253"/>
      <c r="Z33" s="377">
        <v>6.65</v>
      </c>
      <c r="AA33" s="253"/>
      <c r="AB33" s="576">
        <v>6.65</v>
      </c>
      <c r="AC33" s="258" t="e">
        <f>_xll.qlSimpleQuoteSetValue(F33,ROUND(AB33/10000,6),Trigger)</f>
        <v>#N/A</v>
      </c>
      <c r="AD33" s="217"/>
      <c r="AE33" s="17"/>
      <c r="AF33" s="17"/>
      <c r="AG33" s="17"/>
      <c r="AH33" s="17"/>
      <c r="AI33" s="17" t="str">
        <f t="shared" si="3"/>
        <v>25Y</v>
      </c>
      <c r="AJ33" s="376">
        <f>((Swap6M!AB33-Swap3M!AB33)*100-AB33)/10000</f>
        <v>-4.9999999999972289E-6</v>
      </c>
    </row>
    <row r="34" spans="1:36" x14ac:dyDescent="0.2">
      <c r="A34" s="80"/>
      <c r="B34" s="79" t="s">
        <v>78</v>
      </c>
      <c r="C34" s="78" t="str">
        <f t="shared" si="4"/>
        <v>3E</v>
      </c>
      <c r="D34" s="77" t="str">
        <f t="shared" si="5"/>
        <v>6E</v>
      </c>
      <c r="E34" s="76" t="str">
        <f t="shared" si="0"/>
        <v>EUR3E6E26Y_Quote</v>
      </c>
      <c r="F34" s="76" t="str">
        <f>_xll.qlSimpleQuote(E34,,RateTickValue,Permanent,Trigger,ObjectOverwrite)</f>
        <v>EUR3E6E26Y_Quote#0000</v>
      </c>
      <c r="G34" s="75" t="str">
        <f>_xll.ohRangeRetrieveError(F34)</f>
        <v/>
      </c>
      <c r="H34" s="74"/>
      <c r="N34" s="122">
        <v>26</v>
      </c>
      <c r="O34" s="301" t="s">
        <v>78</v>
      </c>
      <c r="P34" s="300" t="str">
        <v>3E</v>
      </c>
      <c r="Q34" s="300" t="str">
        <v>6E</v>
      </c>
      <c r="R34" s="298" t="str">
        <f t="shared" si="1"/>
        <v>EUR3E6E26Y</v>
      </c>
      <c r="S34" s="263" t="str">
        <v>EUR3E6E26Y=ICAP</v>
      </c>
      <c r="T34" s="379" t="s">
        <v>244</v>
      </c>
      <c r="U34" s="379" t="s">
        <v>244</v>
      </c>
      <c r="V34" s="379" t="e">
        <f>_xll.qlMidEquivalent(T34,U34)</f>
        <v>#NUM!</v>
      </c>
      <c r="W34" s="259" t="b">
        <f t="shared" si="2"/>
        <v>0</v>
      </c>
      <c r="X34" s="383">
        <v>6.529284947804693</v>
      </c>
      <c r="Y34" s="253"/>
      <c r="Z34" s="377">
        <v>6.51</v>
      </c>
      <c r="AA34" s="253"/>
      <c r="AB34" s="576">
        <v>6.51</v>
      </c>
      <c r="AC34" s="258" t="e">
        <f>_xll.qlSimpleQuoteSetValue(F34,ROUND(AB34/10000,6),Trigger)</f>
        <v>#N/A</v>
      </c>
      <c r="AD34" s="217"/>
      <c r="AE34" s="17"/>
      <c r="AF34" s="17"/>
      <c r="AG34" s="17"/>
      <c r="AH34" s="17"/>
      <c r="AI34" s="17" t="str">
        <f t="shared" si="3"/>
        <v>26Y</v>
      </c>
      <c r="AJ34" s="376" t="e">
        <f>((Swap6M!AB34-Swap3M!AB34)*100-AB34)/10000</f>
        <v>#NUM!</v>
      </c>
    </row>
    <row r="35" spans="1:36" x14ac:dyDescent="0.2">
      <c r="A35" s="80"/>
      <c r="B35" s="79" t="s">
        <v>77</v>
      </c>
      <c r="C35" s="78" t="str">
        <f t="shared" si="4"/>
        <v>3E</v>
      </c>
      <c r="D35" s="77" t="str">
        <f t="shared" si="5"/>
        <v>6E</v>
      </c>
      <c r="E35" s="76" t="str">
        <f t="shared" si="0"/>
        <v>EUR3E6E27Y_Quote</v>
      </c>
      <c r="F35" s="76" t="str">
        <f>_xll.qlSimpleQuote(E35,,RateTickValue,Permanent,Trigger,ObjectOverwrite)</f>
        <v>EUR3E6E27Y_Quote#0000</v>
      </c>
      <c r="G35" s="75" t="str">
        <f>_xll.ohRangeRetrieveError(F35)</f>
        <v/>
      </c>
      <c r="H35" s="74"/>
      <c r="N35" s="122">
        <v>27</v>
      </c>
      <c r="O35" s="301" t="s">
        <v>77</v>
      </c>
      <c r="P35" s="300" t="str">
        <v>3E</v>
      </c>
      <c r="Q35" s="300" t="str">
        <v>6E</v>
      </c>
      <c r="R35" s="298" t="str">
        <f t="shared" si="1"/>
        <v>EUR3E6E27Y</v>
      </c>
      <c r="S35" s="263" t="str">
        <v>EUR3E6E27Y=ICAP</v>
      </c>
      <c r="T35" s="379" t="s">
        <v>244</v>
      </c>
      <c r="U35" s="379" t="s">
        <v>244</v>
      </c>
      <c r="V35" s="379" t="e">
        <f>_xll.qlMidEquivalent(T35,U35)</f>
        <v>#NUM!</v>
      </c>
      <c r="W35" s="259" t="b">
        <f t="shared" si="2"/>
        <v>0</v>
      </c>
      <c r="X35" s="383">
        <v>6.4145277922231152</v>
      </c>
      <c r="Y35" s="253"/>
      <c r="Z35" s="377">
        <v>6.38</v>
      </c>
      <c r="AA35" s="253"/>
      <c r="AB35" s="576">
        <v>6.38</v>
      </c>
      <c r="AC35" s="258" t="e">
        <f>_xll.qlSimpleQuoteSetValue(F35,ROUND(AB35/10000,6),Trigger)</f>
        <v>#N/A</v>
      </c>
      <c r="AD35" s="217"/>
      <c r="AE35" s="17"/>
      <c r="AF35" s="17"/>
      <c r="AG35" s="17"/>
      <c r="AH35" s="17"/>
      <c r="AI35" s="17" t="str">
        <f t="shared" si="3"/>
        <v>27Y</v>
      </c>
      <c r="AJ35" s="376" t="e">
        <f>((Swap6M!AB35-Swap3M!AB35)*100-AB35)/10000</f>
        <v>#NUM!</v>
      </c>
    </row>
    <row r="36" spans="1:36" x14ac:dyDescent="0.2">
      <c r="A36" s="80"/>
      <c r="B36" s="79" t="s">
        <v>76</v>
      </c>
      <c r="C36" s="78" t="str">
        <f t="shared" si="4"/>
        <v>3E</v>
      </c>
      <c r="D36" s="77" t="str">
        <f t="shared" si="5"/>
        <v>6E</v>
      </c>
      <c r="E36" s="76" t="str">
        <f t="shared" si="0"/>
        <v>EUR3E6E28Y_Quote</v>
      </c>
      <c r="F36" s="76" t="str">
        <f>_xll.qlSimpleQuote(E36,,RateTickValue,Permanent,Trigger,ObjectOverwrite)</f>
        <v>EUR3E6E28Y_Quote#0000</v>
      </c>
      <c r="G36" s="75" t="str">
        <f>_xll.ohRangeRetrieveError(F36)</f>
        <v/>
      </c>
      <c r="H36" s="74"/>
      <c r="N36" s="122">
        <v>28</v>
      </c>
      <c r="O36" s="301" t="s">
        <v>76</v>
      </c>
      <c r="P36" s="300" t="str">
        <v>3E</v>
      </c>
      <c r="Q36" s="300" t="str">
        <v>6E</v>
      </c>
      <c r="R36" s="298" t="str">
        <f t="shared" si="1"/>
        <v>EUR3E6E28Y</v>
      </c>
      <c r="S36" s="263" t="str">
        <v>EUR3E6E28Y=ICAP</v>
      </c>
      <c r="T36" s="379" t="s">
        <v>244</v>
      </c>
      <c r="U36" s="379" t="s">
        <v>244</v>
      </c>
      <c r="V36" s="379" t="e">
        <f>_xll.qlMidEquivalent(T36,U36)</f>
        <v>#NUM!</v>
      </c>
      <c r="W36" s="259" t="b">
        <f t="shared" si="2"/>
        <v>0</v>
      </c>
      <c r="X36" s="383">
        <v>6.3051281627391909</v>
      </c>
      <c r="Y36" s="253"/>
      <c r="Z36" s="377">
        <v>6.26</v>
      </c>
      <c r="AA36" s="253"/>
      <c r="AB36" s="576">
        <v>6.26</v>
      </c>
      <c r="AC36" s="258" t="e">
        <f>_xll.qlSimpleQuoteSetValue(F36,ROUND(AB36/10000,6),Trigger)</f>
        <v>#N/A</v>
      </c>
      <c r="AD36" s="217"/>
      <c r="AE36" s="17"/>
      <c r="AF36" s="17"/>
      <c r="AG36" s="17"/>
      <c r="AH36" s="17"/>
      <c r="AI36" s="17" t="str">
        <f t="shared" si="3"/>
        <v>28Y</v>
      </c>
      <c r="AJ36" s="376" t="e">
        <f>((Swap6M!AB36-Swap3M!AB36)*100-AB36)/10000</f>
        <v>#NUM!</v>
      </c>
    </row>
    <row r="37" spans="1:36" x14ac:dyDescent="0.2">
      <c r="A37" s="80"/>
      <c r="B37" s="79" t="s">
        <v>75</v>
      </c>
      <c r="C37" s="78" t="str">
        <f t="shared" si="4"/>
        <v>3E</v>
      </c>
      <c r="D37" s="77" t="str">
        <f t="shared" si="5"/>
        <v>6E</v>
      </c>
      <c r="E37" s="76" t="str">
        <f t="shared" si="0"/>
        <v>EUR3E6E29Y_Quote</v>
      </c>
      <c r="F37" s="76" t="str">
        <f>_xll.qlSimpleQuote(E37,,RateTickValue,Permanent,Trigger,ObjectOverwrite)</f>
        <v>EUR3E6E29Y_Quote#0000</v>
      </c>
      <c r="G37" s="75" t="str">
        <f>_xll.ohRangeRetrieveError(F37)</f>
        <v/>
      </c>
      <c r="H37" s="74"/>
      <c r="N37" s="122">
        <v>29</v>
      </c>
      <c r="O37" s="301" t="s">
        <v>75</v>
      </c>
      <c r="P37" s="300" t="str">
        <v>3E</v>
      </c>
      <c r="Q37" s="300" t="str">
        <v>6E</v>
      </c>
      <c r="R37" s="298" t="str">
        <f t="shared" si="1"/>
        <v>EUR3E6E29Y</v>
      </c>
      <c r="S37" s="263" t="str">
        <v>EUR3E6E29Y=ICAP</v>
      </c>
      <c r="T37" s="379" t="s">
        <v>244</v>
      </c>
      <c r="U37" s="379" t="s">
        <v>244</v>
      </c>
      <c r="V37" s="379" t="e">
        <f>_xll.qlMidEquivalent(T37,U37)</f>
        <v>#NUM!</v>
      </c>
      <c r="W37" s="259" t="b">
        <f t="shared" si="2"/>
        <v>0</v>
      </c>
      <c r="X37" s="383">
        <v>6.200485688836844</v>
      </c>
      <c r="Y37" s="253"/>
      <c r="Z37" s="377">
        <v>6.15</v>
      </c>
      <c r="AA37" s="253"/>
      <c r="AB37" s="576">
        <v>6.15</v>
      </c>
      <c r="AC37" s="258" t="e">
        <f>_xll.qlSimpleQuoteSetValue(F37,ROUND(AB37/10000,6),Trigger)</f>
        <v>#N/A</v>
      </c>
      <c r="AD37" s="217"/>
      <c r="AE37" s="17"/>
      <c r="AF37" s="17"/>
      <c r="AG37" s="17"/>
      <c r="AH37" s="17"/>
      <c r="AI37" s="17" t="str">
        <f t="shared" si="3"/>
        <v>29Y</v>
      </c>
      <c r="AJ37" s="376" t="e">
        <f>((Swap6M!AB37-Swap3M!AB37)*100-AB37)/10000</f>
        <v>#NUM!</v>
      </c>
    </row>
    <row r="38" spans="1:36" x14ac:dyDescent="0.2">
      <c r="A38" s="80"/>
      <c r="B38" s="79" t="s">
        <v>74</v>
      </c>
      <c r="C38" s="78" t="str">
        <f t="shared" si="4"/>
        <v>3E</v>
      </c>
      <c r="D38" s="77" t="str">
        <f t="shared" si="5"/>
        <v>6E</v>
      </c>
      <c r="E38" s="76" t="str">
        <f t="shared" si="0"/>
        <v>EUR3E6E30Y_Quote</v>
      </c>
      <c r="F38" s="76" t="str">
        <f>_xll.qlSimpleQuote(E38,,RateTickValue,Permanent,Trigger,ObjectOverwrite)</f>
        <v>EUR3E6E30Y_Quote#0000</v>
      </c>
      <c r="G38" s="75" t="str">
        <f>_xll.ohRangeRetrieveError(F38)</f>
        <v/>
      </c>
      <c r="H38" s="74"/>
      <c r="N38" s="122">
        <v>30</v>
      </c>
      <c r="O38" s="301" t="s">
        <v>74</v>
      </c>
      <c r="P38" s="300" t="str">
        <v>3E</v>
      </c>
      <c r="Q38" s="300" t="str">
        <v>6E</v>
      </c>
      <c r="R38" s="298" t="str">
        <f t="shared" si="1"/>
        <v>EUR3E6E30Y</v>
      </c>
      <c r="S38" s="263" t="str">
        <v>EUR3E6E30Y=ICAP</v>
      </c>
      <c r="T38" s="379">
        <v>5.6</v>
      </c>
      <c r="U38" s="379">
        <v>6.6</v>
      </c>
      <c r="V38" s="379">
        <f>_xll.qlMidEquivalent(T38,U38)</f>
        <v>6.1</v>
      </c>
      <c r="W38" s="259" t="b">
        <f t="shared" si="2"/>
        <v>1</v>
      </c>
      <c r="X38" s="383">
        <v>6.1</v>
      </c>
      <c r="Y38" s="253"/>
      <c r="Z38" s="377">
        <v>6.05</v>
      </c>
      <c r="AA38" s="253"/>
      <c r="AB38" s="576">
        <v>6.05</v>
      </c>
      <c r="AC38" s="258" t="e">
        <f>_xll.qlSimpleQuoteSetValue(F38,ROUND(AB38/10000,6),Trigger)</f>
        <v>#N/A</v>
      </c>
      <c r="AD38" s="217"/>
      <c r="AE38" s="17"/>
      <c r="AF38" s="17"/>
      <c r="AG38" s="17"/>
      <c r="AH38" s="17"/>
      <c r="AI38" s="17" t="str">
        <f t="shared" si="3"/>
        <v>30Y</v>
      </c>
      <c r="AJ38" s="376">
        <f>((Swap6M!AB38-Swap3M!AB38)*100-AB38)/10000</f>
        <v>-4.999999999999449E-6</v>
      </c>
    </row>
    <row r="39" spans="1:36" x14ac:dyDescent="0.2">
      <c r="A39" s="80"/>
      <c r="B39" s="79" t="s">
        <v>69</v>
      </c>
      <c r="C39" s="78" t="str">
        <f t="shared" si="4"/>
        <v>3E</v>
      </c>
      <c r="D39" s="77" t="str">
        <f t="shared" si="5"/>
        <v>6E</v>
      </c>
      <c r="E39" s="76" t="str">
        <f t="shared" si="0"/>
        <v>EUR3E6E35Y_Quote</v>
      </c>
      <c r="F39" s="76" t="str">
        <f>_xll.qlSimpleQuote(E39,,RateTickValue,Permanent,Trigger,ObjectOverwrite)</f>
        <v>EUR3E6E35Y_Quote#0000</v>
      </c>
      <c r="G39" s="75" t="str">
        <f>_xll.ohRangeRetrieveError(F39)</f>
        <v/>
      </c>
      <c r="H39" s="74"/>
      <c r="N39" s="122">
        <v>35</v>
      </c>
      <c r="O39" s="301" t="s">
        <v>69</v>
      </c>
      <c r="P39" s="300" t="str">
        <v>3E</v>
      </c>
      <c r="Q39" s="300" t="str">
        <v>6E</v>
      </c>
      <c r="R39" s="298" t="str">
        <f t="shared" si="1"/>
        <v>EUR3E6E35Y</v>
      </c>
      <c r="S39" s="263" t="str">
        <v>EUR3E6E35Y=ICAP</v>
      </c>
      <c r="T39" s="379" t="s">
        <v>244</v>
      </c>
      <c r="U39" s="379" t="s">
        <v>244</v>
      </c>
      <c r="V39" s="379" t="e">
        <f>_xll.qlMidEquivalent(T39,U39)</f>
        <v>#NUM!</v>
      </c>
      <c r="W39" s="259" t="b">
        <f t="shared" si="2"/>
        <v>0</v>
      </c>
      <c r="X39" s="383">
        <v>5.6524497666484645</v>
      </c>
      <c r="Y39" s="253"/>
      <c r="Z39" s="377">
        <v>5.6</v>
      </c>
      <c r="AA39" s="253"/>
      <c r="AB39" s="576">
        <v>5.6</v>
      </c>
      <c r="AC39" s="258" t="e">
        <f>_xll.qlSimpleQuoteSetValue(F39,ROUND(AB39/10000,6),Trigger)</f>
        <v>#N/A</v>
      </c>
      <c r="AD39" s="217"/>
      <c r="AE39" s="17"/>
      <c r="AF39" s="17"/>
      <c r="AG39" s="17"/>
      <c r="AH39" s="17"/>
      <c r="AI39" s="17" t="str">
        <f t="shared" si="3"/>
        <v>35Y</v>
      </c>
      <c r="AJ39" s="376" t="e">
        <f>((Swap6M!AB39-Swap3M!AB39)*100-AB39)/10000</f>
        <v>#NUM!</v>
      </c>
    </row>
    <row r="40" spans="1:36" x14ac:dyDescent="0.2">
      <c r="A40" s="80"/>
      <c r="B40" s="79" t="s">
        <v>64</v>
      </c>
      <c r="C40" s="78" t="str">
        <f t="shared" si="4"/>
        <v>3E</v>
      </c>
      <c r="D40" s="77" t="str">
        <f t="shared" si="5"/>
        <v>6E</v>
      </c>
      <c r="E40" s="76" t="str">
        <f t="shared" si="0"/>
        <v>EUR3E6E40Y_Quote</v>
      </c>
      <c r="F40" s="76" t="str">
        <f>_xll.qlSimpleQuote(E40,,RateTickValue,Permanent,Trigger,ObjectOverwrite)</f>
        <v>EUR3E6E40Y_Quote#0000</v>
      </c>
      <c r="G40" s="75" t="str">
        <f>_xll.ohRangeRetrieveError(F40)</f>
        <v/>
      </c>
      <c r="H40" s="74"/>
      <c r="N40" s="122">
        <v>40</v>
      </c>
      <c r="O40" s="301" t="s">
        <v>64</v>
      </c>
      <c r="P40" s="300" t="str">
        <v>3E</v>
      </c>
      <c r="Q40" s="300" t="str">
        <v>6E</v>
      </c>
      <c r="R40" s="298" t="str">
        <f t="shared" si="1"/>
        <v>EUR3E6E40Y</v>
      </c>
      <c r="S40" s="263" t="str">
        <v>EUR3E6E40Y=ICAP</v>
      </c>
      <c r="T40" s="379">
        <v>4.8</v>
      </c>
      <c r="U40" s="379">
        <v>5.8</v>
      </c>
      <c r="V40" s="379">
        <f>_xll.qlMidEquivalent(T40,U40)</f>
        <v>5.3</v>
      </c>
      <c r="W40" s="259" t="b">
        <f t="shared" si="2"/>
        <v>1</v>
      </c>
      <c r="X40" s="383">
        <v>5.3</v>
      </c>
      <c r="Y40" s="381">
        <f>X38-X40</f>
        <v>0.79999999999999982</v>
      </c>
      <c r="Z40" s="377">
        <v>5.25</v>
      </c>
      <c r="AA40" s="253"/>
      <c r="AB40" s="576">
        <v>5.25</v>
      </c>
      <c r="AC40" s="258" t="e">
        <f>_xll.qlSimpleQuoteSetValue(F40,ROUND(AB40/10000,6),Trigger)</f>
        <v>#N/A</v>
      </c>
      <c r="AD40" s="217"/>
      <c r="AE40" s="17"/>
      <c r="AF40" s="17"/>
      <c r="AG40" s="17"/>
      <c r="AH40" s="17"/>
      <c r="AI40" s="17" t="str">
        <f t="shared" si="3"/>
        <v>40Y</v>
      </c>
      <c r="AJ40" s="376">
        <f>((Swap6M!AB40-Swap3M!AB40)*100-AB40)/10000</f>
        <v>-4.9999999999995379E-6</v>
      </c>
    </row>
    <row r="41" spans="1:36" x14ac:dyDescent="0.2">
      <c r="A41" s="80"/>
      <c r="B41" s="79" t="s">
        <v>54</v>
      </c>
      <c r="C41" s="78" t="str">
        <f t="shared" si="4"/>
        <v>3E</v>
      </c>
      <c r="D41" s="77" t="str">
        <f t="shared" si="5"/>
        <v>6E</v>
      </c>
      <c r="E41" s="76" t="str">
        <f t="shared" si="0"/>
        <v>EUR3E6E50Y_Quote</v>
      </c>
      <c r="F41" s="76" t="str">
        <f>_xll.qlSimpleQuote(E41,,RateTickValue,Permanent,Trigger,ObjectOverwrite)</f>
        <v>EUR3E6E50Y_Quote#0000</v>
      </c>
      <c r="G41" s="75" t="str">
        <f>_xll.ohRangeRetrieveError(F41)</f>
        <v/>
      </c>
      <c r="H41" s="74"/>
      <c r="N41" s="122">
        <v>50</v>
      </c>
      <c r="O41" s="301" t="s">
        <v>54</v>
      </c>
      <c r="P41" s="300" t="str">
        <v>3E</v>
      </c>
      <c r="Q41" s="300" t="str">
        <v>6E</v>
      </c>
      <c r="R41" s="298" t="str">
        <f t="shared" si="1"/>
        <v>EUR3E6E50Y</v>
      </c>
      <c r="S41" s="263" t="str">
        <v>EUR3E6E50Y=ICAP</v>
      </c>
      <c r="T41" s="379">
        <v>4.3499999999999996</v>
      </c>
      <c r="U41" s="379">
        <v>5.35</v>
      </c>
      <c r="V41" s="379">
        <f>_xll.qlMidEquivalent(T41,U41)</f>
        <v>4.8499999999999996</v>
      </c>
      <c r="W41" s="259" t="b">
        <f t="shared" si="2"/>
        <v>1</v>
      </c>
      <c r="X41" s="383">
        <v>4.8499999999999996</v>
      </c>
      <c r="Y41" s="381">
        <f>X40-X41</f>
        <v>0.45000000000000018</v>
      </c>
      <c r="Z41" s="377">
        <v>4.75</v>
      </c>
      <c r="AA41" s="253"/>
      <c r="AB41" s="576">
        <v>4.75</v>
      </c>
      <c r="AC41" s="258" t="e">
        <f>_xll.qlSimpleQuoteSetValue(F41,ROUND(AB41/10000,6),Trigger)</f>
        <v>#N/A</v>
      </c>
      <c r="AD41" s="217"/>
      <c r="AE41" s="17"/>
      <c r="AF41" s="17"/>
      <c r="AG41" s="17"/>
      <c r="AH41" s="17"/>
      <c r="AI41" s="17" t="str">
        <f t="shared" si="3"/>
        <v>50Y</v>
      </c>
      <c r="AJ41" s="376">
        <f>((Swap6M!AB41-Swap3M!AB41)*100-AB41)/10000</f>
        <v>-5.0000000000029134E-6</v>
      </c>
    </row>
    <row r="42" spans="1:36" x14ac:dyDescent="0.2">
      <c r="A42" s="80"/>
      <c r="B42" s="79" t="s">
        <v>44</v>
      </c>
      <c r="C42" s="78" t="str">
        <f t="shared" si="4"/>
        <v>3E</v>
      </c>
      <c r="D42" s="77" t="str">
        <f t="shared" si="5"/>
        <v>6E</v>
      </c>
      <c r="E42" s="76" t="str">
        <f t="shared" si="0"/>
        <v>EUR3E6E60Y_Quote</v>
      </c>
      <c r="F42" s="76" t="str">
        <f>_xll.qlSimpleQuote(E42,,RateTickValue,Permanent,Trigger,ObjectOverwrite)</f>
        <v>EUR3E6E60Y_Quote#0000</v>
      </c>
      <c r="G42" s="75" t="str">
        <f>_xll.ohRangeRetrieveError(F42)</f>
        <v/>
      </c>
      <c r="H42" s="74"/>
      <c r="N42" s="122">
        <v>60</v>
      </c>
      <c r="O42" s="301" t="s">
        <v>44</v>
      </c>
      <c r="P42" s="300" t="str">
        <v>3E</v>
      </c>
      <c r="Q42" s="300" t="str">
        <v>6E</v>
      </c>
      <c r="R42" s="298" t="str">
        <f t="shared" si="1"/>
        <v>EUR3E6E60Y</v>
      </c>
      <c r="S42" s="263" t="str">
        <v>EUR3E6E60Y=ICAP</v>
      </c>
      <c r="T42" s="379">
        <v>4.05</v>
      </c>
      <c r="U42" s="379">
        <v>5.05</v>
      </c>
      <c r="V42" s="379">
        <f>_xll.qlMidEquivalent(T42,U42)</f>
        <v>4.55</v>
      </c>
      <c r="W42" s="259" t="b">
        <f t="shared" si="2"/>
        <v>1</v>
      </c>
      <c r="X42" s="382">
        <f>X41-Y42</f>
        <v>4.5968749999999989</v>
      </c>
      <c r="Y42" s="381">
        <f>Y41/Y40*Y41</f>
        <v>0.25312500000000027</v>
      </c>
      <c r="Z42" s="377">
        <v>4.4400000000000004</v>
      </c>
      <c r="AA42" s="253"/>
      <c r="AB42" s="577">
        <v>4.4400000000000004</v>
      </c>
      <c r="AC42" s="250" t="e">
        <f>_xll.qlSimpleQuoteSetValue(F42,ROUND(AB42/10000,6),Trigger)</f>
        <v>#N/A</v>
      </c>
      <c r="AD42" s="217"/>
      <c r="AE42" s="17"/>
      <c r="AF42" s="17"/>
      <c r="AG42" s="17"/>
      <c r="AH42" s="17"/>
      <c r="AI42" s="17" t="str">
        <f t="shared" si="3"/>
        <v>60Y</v>
      </c>
      <c r="AJ42" s="376">
        <f>((Swap6M!AB42-Swap3M!AB42)*100-AB42)/10000</f>
        <v>-3.9999999999996483E-6</v>
      </c>
    </row>
    <row r="43" spans="1:36"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c r="AI43" s="17"/>
      <c r="AJ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H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4" x14ac:dyDescent="0.2">
      <c r="N1" s="315" t="s">
        <v>293</v>
      </c>
      <c r="O1" s="199"/>
      <c r="P1" s="199"/>
      <c r="Q1" s="199"/>
      <c r="R1" s="199"/>
      <c r="S1" s="199"/>
      <c r="T1" s="199"/>
      <c r="U1" s="199"/>
      <c r="V1" s="199"/>
      <c r="W1" s="199"/>
      <c r="X1" s="199"/>
      <c r="Y1" s="199"/>
      <c r="Z1" s="199"/>
      <c r="AA1" s="199"/>
      <c r="AB1" s="199"/>
      <c r="AC1" s="199"/>
      <c r="AD1" s="196"/>
      <c r="AE1" s="17"/>
      <c r="AF1" s="17"/>
      <c r="AG1" s="17"/>
      <c r="AH1" s="17"/>
    </row>
    <row r="2" spans="1:34" x14ac:dyDescent="0.2">
      <c r="N2" s="287"/>
      <c r="O2" s="137"/>
      <c r="P2" s="253"/>
      <c r="Q2" s="253"/>
      <c r="R2" s="253"/>
      <c r="S2" s="144" t="s">
        <v>222</v>
      </c>
      <c r="T2" s="253"/>
      <c r="U2" s="253"/>
      <c r="V2" s="253"/>
      <c r="W2" s="253"/>
      <c r="X2" s="137"/>
      <c r="Y2" s="253"/>
      <c r="Z2" s="253"/>
      <c r="AA2" s="253"/>
      <c r="AB2" s="253"/>
      <c r="AC2" s="137"/>
      <c r="AD2" s="49"/>
      <c r="AE2" s="17"/>
      <c r="AF2" s="17"/>
      <c r="AG2" s="17"/>
      <c r="AH2" s="17"/>
    </row>
    <row r="3" spans="1:34" x14ac:dyDescent="0.2">
      <c r="A3" s="103" t="s">
        <v>137</v>
      </c>
      <c r="B3" s="98"/>
      <c r="C3" s="98"/>
      <c r="D3" s="98"/>
      <c r="E3" s="99"/>
      <c r="F3" s="100"/>
      <c r="G3" s="99"/>
      <c r="H3" s="95"/>
      <c r="N3" s="122"/>
      <c r="O3" s="253"/>
      <c r="P3" s="137"/>
      <c r="Q3" s="137"/>
      <c r="R3" s="137"/>
      <c r="S3" s="137" t="str">
        <f>_xll.qlInterpolation(,InterpolationType,_xll.ohFilter(N5:N42,W5:W42),_xll.ohFilter(V5:V42,W5:W42))</f>
        <v>obj_00700#0000</v>
      </c>
      <c r="T3" s="137"/>
      <c r="U3" s="137"/>
      <c r="V3" s="137"/>
      <c r="W3" s="137"/>
      <c r="X3" s="137"/>
      <c r="Y3" s="253"/>
      <c r="Z3" s="253"/>
      <c r="AA3" s="253"/>
      <c r="AB3" s="137"/>
      <c r="AC3" s="284">
        <f>_xll.ohTrigger(AC5:AC42)</f>
        <v>1</v>
      </c>
      <c r="AD3" s="217"/>
      <c r="AE3" s="17"/>
      <c r="AF3" s="17"/>
      <c r="AG3" s="17"/>
      <c r="AH3" s="17"/>
    </row>
    <row r="4" spans="1:34"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69"/>
      <c r="P4" s="194"/>
      <c r="Q4" s="194"/>
      <c r="R4" s="194"/>
      <c r="S4" s="283" t="e">
        <f ca="1">_xll.RData(S5:S42,T4:U4,,ReutersRtMode,,T5)</f>
        <v>#NAME?</v>
      </c>
      <c r="T4" s="313" t="s">
        <v>243</v>
      </c>
      <c r="U4" s="313" t="s">
        <v>212</v>
      </c>
      <c r="V4" s="313" t="s">
        <v>268</v>
      </c>
      <c r="W4" s="313"/>
      <c r="X4" s="279" t="s">
        <v>267</v>
      </c>
      <c r="Y4" s="253"/>
      <c r="Z4" s="281" t="s">
        <v>239</v>
      </c>
      <c r="AA4" s="253"/>
      <c r="AB4" s="406" t="s">
        <v>237</v>
      </c>
      <c r="AC4" s="94" t="s">
        <v>236</v>
      </c>
      <c r="AD4" s="217"/>
      <c r="AE4" s="17"/>
      <c r="AF4" s="17"/>
      <c r="AG4" s="17"/>
      <c r="AH4" s="17"/>
    </row>
    <row r="5" spans="1:34"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EUR6E12E6M_Quote#0000</v>
      </c>
      <c r="G5" s="75" t="str">
        <f>_xll.ohRangeRetrieveError(F5)</f>
        <v/>
      </c>
      <c r="H5" s="74"/>
      <c r="N5" s="380">
        <v>0.5</v>
      </c>
      <c r="O5" s="301" t="s">
        <v>27</v>
      </c>
      <c r="P5" s="300" t="str">
        <f t="array" ref="P5:P42">VLOOKUP(Currency,Conventions,2)</f>
        <v>6E</v>
      </c>
      <c r="Q5" s="300" t="str">
        <f t="array" ref="Q5:Q42">VLOOKUP(Currency,Conventions,3)</f>
        <v>12E</v>
      </c>
      <c r="R5" s="298" t="str">
        <f t="shared" ref="R5:R42" si="1">Currency&amp;$P5&amp;$Q5&amp;$O5</f>
        <v>EUR6E12E6M</v>
      </c>
      <c r="S5" s="263" t="str">
        <f t="array" ref="S5:S42">Instruments&amp;"="&amp;VLOOKUP(Contributor,ContributorTable,2,FALSE)</f>
        <v>EUR6E12E6M=ICAP</v>
      </c>
      <c r="T5" s="379" t="s">
        <v>244</v>
      </c>
      <c r="U5" s="379" t="s">
        <v>244</v>
      </c>
      <c r="V5" s="379" t="e">
        <f>_xll.qlMidEquivalent(T5,U5)</f>
        <v>#NUM!</v>
      </c>
      <c r="W5" s="259" t="b">
        <f t="shared" ref="W5:W42" si="2">IF(ISNUMBER(V5),TRUE,FALSE)</f>
        <v>0</v>
      </c>
      <c r="X5" s="383" t="e">
        <f t="array" ref="X5:X38">_xll.qlInterpolationInterpolate(S3,N5:N42)</f>
        <v>#NUM!</v>
      </c>
      <c r="Y5" s="253"/>
      <c r="Z5" s="377" t="e">
        <v>#NUM!</v>
      </c>
      <c r="AA5" s="253"/>
      <c r="AB5" s="576" t="e">
        <f t="array" ref="AB5:AB42">QuoteStatic</f>
        <v>#NUM!</v>
      </c>
      <c r="AC5" s="258" t="e">
        <f>_xll.qlSimpleQuoteSetValue(F5,ROUND(AB5/10000,6),Trigger)</f>
        <v>#NUM!</v>
      </c>
      <c r="AD5" s="217"/>
      <c r="AE5" s="17"/>
      <c r="AF5" s="89" t="s">
        <v>124</v>
      </c>
      <c r="AG5" s="88" t="s">
        <v>119</v>
      </c>
      <c r="AH5" s="87" t="s">
        <v>130</v>
      </c>
    </row>
    <row r="6" spans="1:34" x14ac:dyDescent="0.2">
      <c r="A6" s="80"/>
      <c r="B6" s="90" t="s">
        <v>21</v>
      </c>
      <c r="C6" s="78" t="str">
        <f t="shared" ref="C6:C42" si="3">C5</f>
        <v>6E</v>
      </c>
      <c r="D6" s="77" t="str">
        <f t="shared" ref="D6:D42" si="4">D5</f>
        <v>12E</v>
      </c>
      <c r="E6" s="76" t="str">
        <f t="shared" si="0"/>
        <v>EUR6E12E1Y_Quote</v>
      </c>
      <c r="F6" s="76" t="str">
        <f>_xll.qlSimpleQuote(E6,,RateTickValue,Permanent,Trigger,ObjectOverwrite)</f>
        <v>EUR6E12E1Y_Quote#0000</v>
      </c>
      <c r="G6" s="75" t="str">
        <f>_xll.ohRangeRetrieveError(F6)</f>
        <v/>
      </c>
      <c r="H6" s="74"/>
      <c r="N6" s="380">
        <v>1</v>
      </c>
      <c r="O6" s="301" t="s">
        <v>21</v>
      </c>
      <c r="P6" s="300" t="str">
        <v>6E</v>
      </c>
      <c r="Q6" s="300" t="str">
        <v>12E</v>
      </c>
      <c r="R6" s="298" t="str">
        <f t="shared" si="1"/>
        <v>EUR6E12E1Y</v>
      </c>
      <c r="S6" s="263" t="str">
        <v>EUR6E12E1Y=ICAP</v>
      </c>
      <c r="T6" s="379">
        <v>11.5</v>
      </c>
      <c r="U6" s="379">
        <v>0</v>
      </c>
      <c r="V6" s="379">
        <f>_xll.qlMidEquivalent(T6,U6)</f>
        <v>11.5</v>
      </c>
      <c r="W6" s="259" t="b">
        <f t="shared" si="2"/>
        <v>1</v>
      </c>
      <c r="X6" s="383">
        <v>11.5</v>
      </c>
      <c r="Y6" s="253"/>
      <c r="Z6" s="377">
        <v>16.100000000000001</v>
      </c>
      <c r="AA6" s="253"/>
      <c r="AB6" s="576">
        <v>16.100000000000001</v>
      </c>
      <c r="AC6" s="258" t="e">
        <f>_xll.qlSimpleQuoteSetValue(F6,ROUND(AB6/10000,6),Trigger)</f>
        <v>#N/A</v>
      </c>
      <c r="AD6" s="217"/>
      <c r="AE6" s="17"/>
      <c r="AF6" s="86" t="s">
        <v>110</v>
      </c>
      <c r="AG6" s="85" t="s">
        <v>122</v>
      </c>
      <c r="AH6" s="84" t="s">
        <v>131</v>
      </c>
    </row>
    <row r="7" spans="1:34" x14ac:dyDescent="0.2">
      <c r="A7" s="80"/>
      <c r="B7" s="90" t="s">
        <v>127</v>
      </c>
      <c r="C7" s="78" t="str">
        <f t="shared" si="3"/>
        <v>6E</v>
      </c>
      <c r="D7" s="77" t="str">
        <f t="shared" si="4"/>
        <v>12E</v>
      </c>
      <c r="E7" s="76" t="str">
        <f t="shared" si="0"/>
        <v>EUR6E12E15M_Quote</v>
      </c>
      <c r="F7" s="76" t="str">
        <f>_xll.qlSimpleQuote(E7,,RateTickValue,Permanent,Trigger,ObjectOverwrite)</f>
        <v>EUR6E12E15M_Quote#0000</v>
      </c>
      <c r="G7" s="75" t="str">
        <f>_xll.ohRangeRetrieveError(F7)</f>
        <v/>
      </c>
      <c r="H7" s="74"/>
      <c r="N7" s="380">
        <v>1.25</v>
      </c>
      <c r="O7" s="301" t="s">
        <v>127</v>
      </c>
      <c r="P7" s="300" t="str">
        <v>6E</v>
      </c>
      <c r="Q7" s="300" t="str">
        <v>12E</v>
      </c>
      <c r="R7" s="298" t="str">
        <f t="shared" si="1"/>
        <v>EUR6E12E15M</v>
      </c>
      <c r="S7" s="263" t="str">
        <v>EUR6E12E15M=ICAP</v>
      </c>
      <c r="T7" s="379" t="s">
        <v>244</v>
      </c>
      <c r="U7" s="379" t="s">
        <v>244</v>
      </c>
      <c r="V7" s="379" t="e">
        <f>_xll.qlMidEquivalent(T7,U7)</f>
        <v>#NUM!</v>
      </c>
      <c r="W7" s="259" t="b">
        <f t="shared" si="2"/>
        <v>0</v>
      </c>
      <c r="X7" s="383">
        <v>12.050187007852388</v>
      </c>
      <c r="Y7" s="253"/>
      <c r="Z7" s="377">
        <v>15.34</v>
      </c>
      <c r="AA7" s="253"/>
      <c r="AB7" s="576">
        <v>15.34</v>
      </c>
      <c r="AC7" s="258" t="e">
        <f>_xll.qlSimpleQuoteSetValue(F7,ROUND(AB7/10000,6),Trigger)</f>
        <v>#N/A</v>
      </c>
      <c r="AD7" s="217"/>
      <c r="AE7" s="17"/>
      <c r="AF7" s="86" t="s">
        <v>121</v>
      </c>
      <c r="AG7" s="85" t="s">
        <v>119</v>
      </c>
      <c r="AH7" s="84" t="s">
        <v>130</v>
      </c>
    </row>
    <row r="8" spans="1:34" x14ac:dyDescent="0.2">
      <c r="A8" s="80"/>
      <c r="B8" s="90" t="s">
        <v>126</v>
      </c>
      <c r="C8" s="78" t="str">
        <f t="shared" si="3"/>
        <v>6E</v>
      </c>
      <c r="D8" s="77" t="str">
        <f t="shared" si="4"/>
        <v>12E</v>
      </c>
      <c r="E8" s="76" t="str">
        <f t="shared" si="0"/>
        <v>EUR6E12E18M_Quote</v>
      </c>
      <c r="F8" s="76" t="str">
        <f>_xll.qlSimpleQuote(E8,,RateTickValue,Permanent,Trigger,ObjectOverwrite)</f>
        <v>EUR6E12E18M_Quote#0000</v>
      </c>
      <c r="G8" s="75" t="str">
        <f>_xll.ohRangeRetrieveError(F8)</f>
        <v/>
      </c>
      <c r="H8" s="74"/>
      <c r="N8" s="380">
        <v>1.5</v>
      </c>
      <c r="O8" s="301" t="s">
        <v>126</v>
      </c>
      <c r="P8" s="300" t="str">
        <v>6E</v>
      </c>
      <c r="Q8" s="300" t="str">
        <v>12E</v>
      </c>
      <c r="R8" s="298" t="str">
        <f t="shared" si="1"/>
        <v>EUR6E12E18M</v>
      </c>
      <c r="S8" s="263" t="str">
        <v>EUR6E12E18M=ICAP</v>
      </c>
      <c r="T8" s="379" t="s">
        <v>244</v>
      </c>
      <c r="U8" s="379" t="s">
        <v>244</v>
      </c>
      <c r="V8" s="379" t="e">
        <f>_xll.qlMidEquivalent(T8,U8)</f>
        <v>#NUM!</v>
      </c>
      <c r="W8" s="259" t="b">
        <f t="shared" si="2"/>
        <v>0</v>
      </c>
      <c r="X8" s="383">
        <v>12.5779440069799</v>
      </c>
      <c r="Y8" s="253"/>
      <c r="Z8" s="377">
        <v>14.62</v>
      </c>
      <c r="AA8" s="253"/>
      <c r="AB8" s="576">
        <v>14.62</v>
      </c>
      <c r="AC8" s="258" t="e">
        <f>_xll.qlSimpleQuoteSetValue(F8,ROUND(AB8/10000,6),Trigger)</f>
        <v>#N/A</v>
      </c>
      <c r="AD8" s="217"/>
      <c r="AE8" s="17"/>
      <c r="AF8" s="86" t="s">
        <v>120</v>
      </c>
      <c r="AG8" s="85" t="s">
        <v>119</v>
      </c>
      <c r="AH8" s="84" t="s">
        <v>130</v>
      </c>
    </row>
    <row r="9" spans="1:34" ht="13.5" thickBot="1" x14ac:dyDescent="0.25">
      <c r="A9" s="80"/>
      <c r="B9" s="90" t="s">
        <v>125</v>
      </c>
      <c r="C9" s="78" t="str">
        <f t="shared" si="3"/>
        <v>6E</v>
      </c>
      <c r="D9" s="77" t="str">
        <f t="shared" si="4"/>
        <v>12E</v>
      </c>
      <c r="E9" s="76" t="str">
        <f t="shared" si="0"/>
        <v>EUR6E12E21M_Quote</v>
      </c>
      <c r="F9" s="76" t="str">
        <f>_xll.qlSimpleQuote(E9,,RateTickValue,Permanent,Trigger,ObjectOverwrite)</f>
        <v>EUR6E12E21M_Quote#0000</v>
      </c>
      <c r="G9" s="75" t="str">
        <f>_xll.ohRangeRetrieveError(F9)</f>
        <v/>
      </c>
      <c r="H9" s="74"/>
      <c r="N9" s="380">
        <v>1.75</v>
      </c>
      <c r="O9" s="301" t="s">
        <v>125</v>
      </c>
      <c r="P9" s="300" t="str">
        <v>6E</v>
      </c>
      <c r="Q9" s="300" t="str">
        <v>12E</v>
      </c>
      <c r="R9" s="298" t="str">
        <f t="shared" si="1"/>
        <v>EUR6E12E21M</v>
      </c>
      <c r="S9" s="263" t="str">
        <v>EUR6E12E21M=ICAP</v>
      </c>
      <c r="T9" s="379" t="s">
        <v>244</v>
      </c>
      <c r="U9" s="379" t="s">
        <v>244</v>
      </c>
      <c r="V9" s="379" t="e">
        <f>_xll.qlMidEquivalent(T9,U9)</f>
        <v>#NUM!</v>
      </c>
      <c r="W9" s="259" t="b">
        <f t="shared" si="2"/>
        <v>0</v>
      </c>
      <c r="X9" s="383">
        <v>12.991729002617461</v>
      </c>
      <c r="Y9" s="253"/>
      <c r="Z9" s="377">
        <v>14.06</v>
      </c>
      <c r="AA9" s="253"/>
      <c r="AB9" s="576">
        <v>14.06</v>
      </c>
      <c r="AC9" s="258" t="e">
        <f>_xll.qlSimpleQuoteSetValue(F9,ROUND(AB9/10000,6),Trigger)</f>
        <v>#N/A</v>
      </c>
      <c r="AD9" s="217"/>
      <c r="AE9" s="17"/>
      <c r="AF9" s="83" t="s">
        <v>118</v>
      </c>
      <c r="AG9" s="82" t="s">
        <v>130</v>
      </c>
      <c r="AH9" s="81" t="s">
        <v>117</v>
      </c>
    </row>
    <row r="10" spans="1:34" x14ac:dyDescent="0.2">
      <c r="A10" s="80"/>
      <c r="B10" s="79" t="s">
        <v>102</v>
      </c>
      <c r="C10" s="78" t="str">
        <f t="shared" si="3"/>
        <v>6E</v>
      </c>
      <c r="D10" s="77" t="str">
        <f t="shared" si="4"/>
        <v>12E</v>
      </c>
      <c r="E10" s="76" t="str">
        <f t="shared" si="0"/>
        <v>EUR6E12E2Y_Quote</v>
      </c>
      <c r="F10" s="76" t="str">
        <f>_xll.qlSimpleQuote(E10,,RateTickValue,Permanent,Trigger,ObjectOverwrite)</f>
        <v>EUR6E12E2Y_Quote#0000</v>
      </c>
      <c r="G10" s="75" t="str">
        <f>_xll.ohRangeRetrieveError(F10)</f>
        <v/>
      </c>
      <c r="H10" s="74"/>
      <c r="J10" s="89" t="s">
        <v>124</v>
      </c>
      <c r="K10" s="88" t="s">
        <v>119</v>
      </c>
      <c r="L10" s="87" t="s">
        <v>130</v>
      </c>
      <c r="N10" s="122">
        <v>2</v>
      </c>
      <c r="O10" s="301" t="s">
        <v>102</v>
      </c>
      <c r="P10" s="300" t="str">
        <v>6E</v>
      </c>
      <c r="Q10" s="300" t="str">
        <v>12E</v>
      </c>
      <c r="R10" s="298" t="str">
        <f t="shared" si="1"/>
        <v>EUR6E12E2Y</v>
      </c>
      <c r="S10" s="263" t="str">
        <v>EUR6E12E2Y=ICAP</v>
      </c>
      <c r="T10" s="379">
        <v>13.2</v>
      </c>
      <c r="U10" s="379">
        <v>0</v>
      </c>
      <c r="V10" s="379">
        <f>_xll.qlMidEquivalent(T10,U10)</f>
        <v>13.2</v>
      </c>
      <c r="W10" s="259" t="b">
        <f t="shared" si="2"/>
        <v>1</v>
      </c>
      <c r="X10" s="383">
        <v>13.2</v>
      </c>
      <c r="Y10" s="253"/>
      <c r="Z10" s="377">
        <v>13.8</v>
      </c>
      <c r="AA10" s="253"/>
      <c r="AB10" s="576">
        <v>13.8</v>
      </c>
      <c r="AC10" s="258" t="e">
        <f>_xll.qlSimpleQuoteSetValue(F10,ROUND(AB10/10000,6),Trigger)</f>
        <v>#N/A</v>
      </c>
      <c r="AD10" s="217"/>
      <c r="AE10" s="17"/>
      <c r="AF10" s="17"/>
      <c r="AG10" s="17"/>
      <c r="AH10" s="17"/>
    </row>
    <row r="11" spans="1:34" x14ac:dyDescent="0.2">
      <c r="A11" s="80"/>
      <c r="B11" s="79" t="s">
        <v>101</v>
      </c>
      <c r="C11" s="78" t="str">
        <f t="shared" si="3"/>
        <v>6E</v>
      </c>
      <c r="D11" s="77" t="str">
        <f t="shared" si="4"/>
        <v>12E</v>
      </c>
      <c r="E11" s="76" t="str">
        <f t="shared" si="0"/>
        <v>EUR6E12E3Y_Quote</v>
      </c>
      <c r="F11" s="76" t="str">
        <f>_xll.qlSimpleQuote(E11,,RateTickValue,Permanent,Trigger,ObjectOverwrite)</f>
        <v>EUR6E12E3Y_Quote#0000</v>
      </c>
      <c r="G11" s="75" t="str">
        <f>_xll.ohRangeRetrieveError(F11)</f>
        <v/>
      </c>
      <c r="H11" s="74"/>
      <c r="J11" s="86" t="s">
        <v>110</v>
      </c>
      <c r="K11" s="85" t="s">
        <v>122</v>
      </c>
      <c r="L11" s="84" t="s">
        <v>131</v>
      </c>
      <c r="N11" s="122">
        <v>3</v>
      </c>
      <c r="O11" s="301" t="s">
        <v>101</v>
      </c>
      <c r="P11" s="300" t="str">
        <v>6E</v>
      </c>
      <c r="Q11" s="300" t="str">
        <v>12E</v>
      </c>
      <c r="R11" s="298" t="str">
        <f t="shared" si="1"/>
        <v>EUR6E12E3Y</v>
      </c>
      <c r="S11" s="263" t="str">
        <v>EUR6E12E3Y=ICAP</v>
      </c>
      <c r="T11" s="379">
        <v>13.3</v>
      </c>
      <c r="U11" s="379">
        <v>0</v>
      </c>
      <c r="V11" s="379">
        <f>_xll.qlMidEquivalent(T11,U11)</f>
        <v>13.3</v>
      </c>
      <c r="W11" s="259" t="b">
        <f t="shared" si="2"/>
        <v>1</v>
      </c>
      <c r="X11" s="383">
        <v>13.3</v>
      </c>
      <c r="Y11" s="253"/>
      <c r="Z11" s="377">
        <v>13.9</v>
      </c>
      <c r="AA11" s="253"/>
      <c r="AB11" s="576">
        <v>13.9</v>
      </c>
      <c r="AC11" s="258" t="e">
        <f>_xll.qlSimpleQuoteSetValue(F11,ROUND(AB11/10000,6),Trigger)</f>
        <v>#N/A</v>
      </c>
      <c r="AD11" s="217"/>
      <c r="AE11" s="17"/>
      <c r="AF11" s="17"/>
      <c r="AG11" s="17"/>
      <c r="AH11" s="17"/>
    </row>
    <row r="12" spans="1:34" x14ac:dyDescent="0.2">
      <c r="A12" s="80"/>
      <c r="B12" s="79" t="s">
        <v>100</v>
      </c>
      <c r="C12" s="78" t="str">
        <f t="shared" si="3"/>
        <v>6E</v>
      </c>
      <c r="D12" s="77" t="str">
        <f t="shared" si="4"/>
        <v>12E</v>
      </c>
      <c r="E12" s="76" t="str">
        <f t="shared" si="0"/>
        <v>EUR6E12E4Y_Quote</v>
      </c>
      <c r="F12" s="76" t="str">
        <f>_xll.qlSimpleQuote(E12,,RateTickValue,Permanent,Trigger,ObjectOverwrite)</f>
        <v>EUR6E12E4Y_Quote#0000</v>
      </c>
      <c r="G12" s="75" t="str">
        <f>_xll.ohRangeRetrieveError(F12)</f>
        <v/>
      </c>
      <c r="H12" s="74"/>
      <c r="J12" s="86" t="s">
        <v>121</v>
      </c>
      <c r="K12" s="85" t="s">
        <v>119</v>
      </c>
      <c r="L12" s="84" t="s">
        <v>130</v>
      </c>
      <c r="N12" s="122">
        <v>4</v>
      </c>
      <c r="O12" s="301" t="s">
        <v>100</v>
      </c>
      <c r="P12" s="300" t="str">
        <v>6E</v>
      </c>
      <c r="Q12" s="300" t="str">
        <v>12E</v>
      </c>
      <c r="R12" s="298" t="str">
        <f t="shared" si="1"/>
        <v>EUR6E12E4Y</v>
      </c>
      <c r="S12" s="263" t="str">
        <v>EUR6E12E4Y=ICAP</v>
      </c>
      <c r="T12" s="379">
        <v>13.3</v>
      </c>
      <c r="U12" s="379">
        <v>0</v>
      </c>
      <c r="V12" s="379">
        <f>_xll.qlMidEquivalent(T12,U12)</f>
        <v>13.3</v>
      </c>
      <c r="W12" s="259" t="b">
        <f t="shared" si="2"/>
        <v>1</v>
      </c>
      <c r="X12" s="383">
        <v>13.3</v>
      </c>
      <c r="Y12" s="253"/>
      <c r="Z12" s="377">
        <v>14</v>
      </c>
      <c r="AA12" s="253"/>
      <c r="AB12" s="576">
        <v>14</v>
      </c>
      <c r="AC12" s="258" t="e">
        <f>_xll.qlSimpleQuoteSetValue(F12,ROUND(AB12/10000,6),Trigger)</f>
        <v>#N/A</v>
      </c>
      <c r="AD12" s="217"/>
      <c r="AE12" s="17"/>
      <c r="AF12" s="17"/>
      <c r="AG12" s="17"/>
      <c r="AH12" s="17"/>
    </row>
    <row r="13" spans="1:34" x14ac:dyDescent="0.2">
      <c r="A13" s="80"/>
      <c r="B13" s="79" t="s">
        <v>99</v>
      </c>
      <c r="C13" s="78" t="str">
        <f t="shared" si="3"/>
        <v>6E</v>
      </c>
      <c r="D13" s="77" t="str">
        <f t="shared" si="4"/>
        <v>12E</v>
      </c>
      <c r="E13" s="76" t="str">
        <f t="shared" si="0"/>
        <v>EUR6E12E5Y_Quote</v>
      </c>
      <c r="F13" s="76" t="str">
        <f>_xll.qlSimpleQuote(E13,,RateTickValue,Permanent,Trigger,ObjectOverwrite)</f>
        <v>EUR6E12E5Y_Quote#0000</v>
      </c>
      <c r="G13" s="75" t="str">
        <f>_xll.ohRangeRetrieveError(F13)</f>
        <v/>
      </c>
      <c r="H13" s="74"/>
      <c r="J13" s="86" t="s">
        <v>120</v>
      </c>
      <c r="K13" s="85" t="s">
        <v>119</v>
      </c>
      <c r="L13" s="84" t="s">
        <v>130</v>
      </c>
      <c r="N13" s="122">
        <v>5</v>
      </c>
      <c r="O13" s="301" t="s">
        <v>99</v>
      </c>
      <c r="P13" s="300" t="str">
        <v>6E</v>
      </c>
      <c r="Q13" s="300" t="str">
        <v>12E</v>
      </c>
      <c r="R13" s="298" t="str">
        <f t="shared" si="1"/>
        <v>EUR6E12E5Y</v>
      </c>
      <c r="S13" s="263" t="str">
        <v>EUR6E12E5Y=ICAP</v>
      </c>
      <c r="T13" s="379">
        <v>13.2</v>
      </c>
      <c r="U13" s="379">
        <v>0</v>
      </c>
      <c r="V13" s="379">
        <f>_xll.qlMidEquivalent(T13,U13)</f>
        <v>13.2</v>
      </c>
      <c r="W13" s="259" t="b">
        <f t="shared" si="2"/>
        <v>1</v>
      </c>
      <c r="X13" s="383">
        <v>13.2</v>
      </c>
      <c r="Y13" s="253"/>
      <c r="Z13" s="377">
        <v>14.1</v>
      </c>
      <c r="AA13" s="253"/>
      <c r="AB13" s="576">
        <v>14.1</v>
      </c>
      <c r="AC13" s="258" t="e">
        <f>_xll.qlSimpleQuoteSetValue(F13,ROUND(AB13/10000,6),Trigger)</f>
        <v>#N/A</v>
      </c>
      <c r="AD13" s="217"/>
      <c r="AE13" s="17"/>
      <c r="AF13" s="17"/>
      <c r="AG13" s="17"/>
      <c r="AH13" s="17"/>
    </row>
    <row r="14" spans="1:34" ht="13.5" thickBot="1" x14ac:dyDescent="0.25">
      <c r="A14" s="80"/>
      <c r="B14" s="79" t="s">
        <v>98</v>
      </c>
      <c r="C14" s="78" t="str">
        <f t="shared" si="3"/>
        <v>6E</v>
      </c>
      <c r="D14" s="77" t="str">
        <f t="shared" si="4"/>
        <v>12E</v>
      </c>
      <c r="E14" s="76" t="str">
        <f t="shared" si="0"/>
        <v>EUR6E12E6Y_Quote</v>
      </c>
      <c r="F14" s="76" t="str">
        <f>_xll.qlSimpleQuote(E14,,RateTickValue,Permanent,Trigger,ObjectOverwrite)</f>
        <v>EUR6E12E6Y_Quote#0000</v>
      </c>
      <c r="G14" s="75" t="str">
        <f>_xll.ohRangeRetrieveError(F14)</f>
        <v/>
      </c>
      <c r="H14" s="74"/>
      <c r="J14" s="83" t="s">
        <v>118</v>
      </c>
      <c r="K14" s="82" t="s">
        <v>130</v>
      </c>
      <c r="L14" s="81" t="s">
        <v>117</v>
      </c>
      <c r="N14" s="122">
        <v>6</v>
      </c>
      <c r="O14" s="301" t="s">
        <v>98</v>
      </c>
      <c r="P14" s="300" t="str">
        <v>6E</v>
      </c>
      <c r="Q14" s="300" t="str">
        <v>12E</v>
      </c>
      <c r="R14" s="298" t="str">
        <f t="shared" si="1"/>
        <v>EUR6E12E6Y</v>
      </c>
      <c r="S14" s="263" t="str">
        <v>EUR6E12E6Y=ICAP</v>
      </c>
      <c r="T14" s="379">
        <v>13.1</v>
      </c>
      <c r="U14" s="379">
        <v>0</v>
      </c>
      <c r="V14" s="379">
        <f>_xll.qlMidEquivalent(T14,U14)</f>
        <v>13.1</v>
      </c>
      <c r="W14" s="259" t="b">
        <f t="shared" si="2"/>
        <v>1</v>
      </c>
      <c r="X14" s="383">
        <v>13.1</v>
      </c>
      <c r="Y14" s="253"/>
      <c r="Z14" s="377">
        <v>14</v>
      </c>
      <c r="AA14" s="253"/>
      <c r="AB14" s="576">
        <v>14</v>
      </c>
      <c r="AC14" s="258" t="e">
        <f>_xll.qlSimpleQuoteSetValue(F14,ROUND(AB14/10000,6),Trigger)</f>
        <v>#N/A</v>
      </c>
      <c r="AD14" s="217"/>
      <c r="AE14" s="17"/>
      <c r="AF14" s="17"/>
      <c r="AG14" s="17"/>
      <c r="AH14" s="17"/>
    </row>
    <row r="15" spans="1:34" x14ac:dyDescent="0.2">
      <c r="A15" s="80"/>
      <c r="B15" s="79" t="s">
        <v>97</v>
      </c>
      <c r="C15" s="78" t="str">
        <f t="shared" si="3"/>
        <v>6E</v>
      </c>
      <c r="D15" s="77" t="str">
        <f t="shared" si="4"/>
        <v>12E</v>
      </c>
      <c r="E15" s="76" t="str">
        <f t="shared" si="0"/>
        <v>EUR6E12E7Y_Quote</v>
      </c>
      <c r="F15" s="76" t="str">
        <f>_xll.qlSimpleQuote(E15,,RateTickValue,Permanent,Trigger,ObjectOverwrite)</f>
        <v>EUR6E12E7Y_Quote#0000</v>
      </c>
      <c r="G15" s="75" t="str">
        <f>_xll.ohRangeRetrieveError(F15)</f>
        <v/>
      </c>
      <c r="H15" s="74"/>
      <c r="N15" s="122">
        <v>7</v>
      </c>
      <c r="O15" s="301" t="s">
        <v>97</v>
      </c>
      <c r="P15" s="300" t="str">
        <v>6E</v>
      </c>
      <c r="Q15" s="300" t="str">
        <v>12E</v>
      </c>
      <c r="R15" s="298" t="str">
        <f t="shared" si="1"/>
        <v>EUR6E12E7Y</v>
      </c>
      <c r="S15" s="263" t="str">
        <v>EUR6E12E7Y=ICAP</v>
      </c>
      <c r="T15" s="379">
        <v>12.9</v>
      </c>
      <c r="U15" s="379">
        <v>0</v>
      </c>
      <c r="V15" s="379">
        <f>_xll.qlMidEquivalent(T15,U15)</f>
        <v>12.9</v>
      </c>
      <c r="W15" s="259" t="b">
        <f t="shared" si="2"/>
        <v>1</v>
      </c>
      <c r="X15" s="383">
        <v>12.9</v>
      </c>
      <c r="Y15" s="253"/>
      <c r="Z15" s="377">
        <v>13.8</v>
      </c>
      <c r="AA15" s="253"/>
      <c r="AB15" s="576">
        <v>13.8</v>
      </c>
      <c r="AC15" s="258" t="e">
        <f>_xll.qlSimpleQuoteSetValue(F15,ROUND(AB15/10000,6),Trigger)</f>
        <v>#N/A</v>
      </c>
      <c r="AD15" s="217"/>
      <c r="AE15" s="17"/>
      <c r="AF15" s="17"/>
      <c r="AG15" s="17"/>
      <c r="AH15" s="17"/>
    </row>
    <row r="16" spans="1:34" x14ac:dyDescent="0.2">
      <c r="A16" s="80"/>
      <c r="B16" s="79" t="s">
        <v>96</v>
      </c>
      <c r="C16" s="78" t="str">
        <f t="shared" si="3"/>
        <v>6E</v>
      </c>
      <c r="D16" s="77" t="str">
        <f t="shared" si="4"/>
        <v>12E</v>
      </c>
      <c r="E16" s="76" t="str">
        <f t="shared" si="0"/>
        <v>EUR6E12E8Y_Quote</v>
      </c>
      <c r="F16" s="76" t="str">
        <f>_xll.qlSimpleQuote(E16,,RateTickValue,Permanent,Trigger,ObjectOverwrite)</f>
        <v>EUR6E12E8Y_Quote#0000</v>
      </c>
      <c r="G16" s="75" t="str">
        <f>_xll.ohRangeRetrieveError(F16)</f>
        <v/>
      </c>
      <c r="H16" s="74"/>
      <c r="N16" s="122">
        <v>8</v>
      </c>
      <c r="O16" s="301" t="s">
        <v>96</v>
      </c>
      <c r="P16" s="300" t="str">
        <v>6E</v>
      </c>
      <c r="Q16" s="300" t="str">
        <v>12E</v>
      </c>
      <c r="R16" s="298" t="str">
        <f t="shared" si="1"/>
        <v>EUR6E12E8Y</v>
      </c>
      <c r="S16" s="263" t="str">
        <v>EUR6E12E8Y=ICAP</v>
      </c>
      <c r="T16" s="379">
        <v>12.6</v>
      </c>
      <c r="U16" s="379">
        <v>0</v>
      </c>
      <c r="V16" s="379">
        <f>_xll.qlMidEquivalent(T16,U16)</f>
        <v>12.6</v>
      </c>
      <c r="W16" s="259" t="b">
        <f t="shared" si="2"/>
        <v>1</v>
      </c>
      <c r="X16" s="383">
        <v>12.6</v>
      </c>
      <c r="Y16" s="253"/>
      <c r="Z16" s="377">
        <v>13.5</v>
      </c>
      <c r="AA16" s="253"/>
      <c r="AB16" s="576">
        <v>13.5</v>
      </c>
      <c r="AC16" s="258" t="e">
        <f>_xll.qlSimpleQuoteSetValue(F16,ROUND(AB16/10000,6),Trigger)</f>
        <v>#N/A</v>
      </c>
      <c r="AD16" s="217"/>
      <c r="AE16" s="17"/>
      <c r="AF16" s="17"/>
      <c r="AG16" s="17"/>
      <c r="AH16" s="17"/>
    </row>
    <row r="17" spans="1:34" x14ac:dyDescent="0.2">
      <c r="A17" s="80"/>
      <c r="B17" s="79" t="s">
        <v>95</v>
      </c>
      <c r="C17" s="78" t="str">
        <f t="shared" si="3"/>
        <v>6E</v>
      </c>
      <c r="D17" s="77" t="str">
        <f t="shared" si="4"/>
        <v>12E</v>
      </c>
      <c r="E17" s="76" t="str">
        <f t="shared" si="0"/>
        <v>EUR6E12E9Y_Quote</v>
      </c>
      <c r="F17" s="76" t="str">
        <f>_xll.qlSimpleQuote(E17,,RateTickValue,Permanent,Trigger,ObjectOverwrite)</f>
        <v>EUR6E12E9Y_Quote#0000</v>
      </c>
      <c r="G17" s="75" t="str">
        <f>_xll.ohRangeRetrieveError(F17)</f>
        <v/>
      </c>
      <c r="H17" s="74"/>
      <c r="N17" s="122">
        <v>9</v>
      </c>
      <c r="O17" s="301" t="s">
        <v>95</v>
      </c>
      <c r="P17" s="300" t="str">
        <v>6E</v>
      </c>
      <c r="Q17" s="300" t="str">
        <v>12E</v>
      </c>
      <c r="R17" s="298" t="str">
        <f t="shared" si="1"/>
        <v>EUR6E12E9Y</v>
      </c>
      <c r="S17" s="263" t="str">
        <v>EUR6E12E9Y=ICAP</v>
      </c>
      <c r="T17" s="379">
        <v>12.4</v>
      </c>
      <c r="U17" s="379">
        <v>0</v>
      </c>
      <c r="V17" s="379">
        <f>_xll.qlMidEquivalent(T17,U17)</f>
        <v>12.4</v>
      </c>
      <c r="W17" s="259" t="b">
        <f t="shared" si="2"/>
        <v>1</v>
      </c>
      <c r="X17" s="383">
        <v>12.4</v>
      </c>
      <c r="Y17" s="253"/>
      <c r="Z17" s="377">
        <v>13.2</v>
      </c>
      <c r="AA17" s="253"/>
      <c r="AB17" s="576">
        <v>13.2</v>
      </c>
      <c r="AC17" s="258" t="e">
        <f>_xll.qlSimpleQuoteSetValue(F17,ROUND(AB17/10000,6),Trigger)</f>
        <v>#N/A</v>
      </c>
      <c r="AD17" s="217"/>
      <c r="AE17" s="17"/>
      <c r="AF17" s="17"/>
      <c r="AG17" s="17"/>
      <c r="AH17" s="17"/>
    </row>
    <row r="18" spans="1:34" x14ac:dyDescent="0.2">
      <c r="A18" s="80"/>
      <c r="B18" s="79" t="s">
        <v>94</v>
      </c>
      <c r="C18" s="78" t="str">
        <f t="shared" si="3"/>
        <v>6E</v>
      </c>
      <c r="D18" s="77" t="str">
        <f t="shared" si="4"/>
        <v>12E</v>
      </c>
      <c r="E18" s="76" t="str">
        <f t="shared" si="0"/>
        <v>EUR6E12E10Y_Quote</v>
      </c>
      <c r="F18" s="76" t="str">
        <f>_xll.qlSimpleQuote(E18,,RateTickValue,Permanent,Trigger,ObjectOverwrite)</f>
        <v>EUR6E12E10Y_Quote#0000</v>
      </c>
      <c r="G18" s="75" t="str">
        <f>_xll.ohRangeRetrieveError(F18)</f>
        <v/>
      </c>
      <c r="H18" s="74"/>
      <c r="N18" s="122">
        <v>10</v>
      </c>
      <c r="O18" s="301" t="s">
        <v>94</v>
      </c>
      <c r="P18" s="300" t="str">
        <v>6E</v>
      </c>
      <c r="Q18" s="300" t="str">
        <v>12E</v>
      </c>
      <c r="R18" s="298" t="str">
        <f t="shared" si="1"/>
        <v>EUR6E12E10Y</v>
      </c>
      <c r="S18" s="263" t="str">
        <v>EUR6E12E10Y=ICAP</v>
      </c>
      <c r="T18" s="379">
        <v>12.1</v>
      </c>
      <c r="U18" s="379">
        <v>0</v>
      </c>
      <c r="V18" s="379">
        <f>_xll.qlMidEquivalent(T18,U18)</f>
        <v>12.1</v>
      </c>
      <c r="W18" s="259" t="b">
        <f t="shared" si="2"/>
        <v>1</v>
      </c>
      <c r="X18" s="383">
        <v>12.1</v>
      </c>
      <c r="Y18" s="253"/>
      <c r="Z18" s="377">
        <v>12.7</v>
      </c>
      <c r="AA18" s="253"/>
      <c r="AB18" s="576">
        <v>12.7</v>
      </c>
      <c r="AC18" s="258" t="e">
        <f>_xll.qlSimpleQuoteSetValue(F18,ROUND(AB18/10000,6),Trigger)</f>
        <v>#N/A</v>
      </c>
      <c r="AD18" s="217"/>
      <c r="AE18" s="17"/>
      <c r="AF18" s="17"/>
      <c r="AG18" s="17"/>
      <c r="AH18" s="17"/>
    </row>
    <row r="19" spans="1:34" x14ac:dyDescent="0.2">
      <c r="A19" s="80"/>
      <c r="B19" s="79" t="s">
        <v>93</v>
      </c>
      <c r="C19" s="78" t="str">
        <f t="shared" si="3"/>
        <v>6E</v>
      </c>
      <c r="D19" s="77" t="str">
        <f t="shared" si="4"/>
        <v>12E</v>
      </c>
      <c r="E19" s="76" t="str">
        <f t="shared" si="0"/>
        <v>EUR6E12E11Y_Quote</v>
      </c>
      <c r="F19" s="76" t="str">
        <f>_xll.qlSimpleQuote(E19,,RateTickValue,Permanent,Trigger,ObjectOverwrite)</f>
        <v>EUR6E12E11Y_Quote#0000</v>
      </c>
      <c r="G19" s="75" t="str">
        <f>_xll.ohRangeRetrieveError(F19)</f>
        <v/>
      </c>
      <c r="H19" s="74"/>
      <c r="N19" s="122">
        <v>11</v>
      </c>
      <c r="O19" s="301" t="s">
        <v>93</v>
      </c>
      <c r="P19" s="300" t="str">
        <v>6E</v>
      </c>
      <c r="Q19" s="300" t="str">
        <v>12E</v>
      </c>
      <c r="R19" s="298" t="str">
        <f t="shared" si="1"/>
        <v>EUR6E12E11Y</v>
      </c>
      <c r="S19" s="263" t="str">
        <v>EUR6E12E11Y=ICAP</v>
      </c>
      <c r="T19" s="379">
        <v>11.7</v>
      </c>
      <c r="U19" s="379">
        <v>0</v>
      </c>
      <c r="V19" s="379">
        <f>_xll.qlMidEquivalent(T19,U19)</f>
        <v>11.7</v>
      </c>
      <c r="W19" s="259" t="b">
        <f t="shared" si="2"/>
        <v>1</v>
      </c>
      <c r="X19" s="383">
        <v>11.7</v>
      </c>
      <c r="Y19" s="253"/>
      <c r="Z19" s="377">
        <v>12.2</v>
      </c>
      <c r="AA19" s="253"/>
      <c r="AB19" s="576">
        <v>12.2</v>
      </c>
      <c r="AC19" s="258" t="e">
        <f>_xll.qlSimpleQuoteSetValue(F19,ROUND(AB19/10000,6),Trigger)</f>
        <v>#N/A</v>
      </c>
      <c r="AD19" s="217"/>
      <c r="AE19" s="17"/>
      <c r="AF19" s="17"/>
      <c r="AG19" s="17"/>
      <c r="AH19" s="17"/>
    </row>
    <row r="20" spans="1:34" x14ac:dyDescent="0.2">
      <c r="A20" s="80"/>
      <c r="B20" s="79" t="s">
        <v>92</v>
      </c>
      <c r="C20" s="78" t="str">
        <f t="shared" si="3"/>
        <v>6E</v>
      </c>
      <c r="D20" s="77" t="str">
        <f t="shared" si="4"/>
        <v>12E</v>
      </c>
      <c r="E20" s="76" t="str">
        <f t="shared" si="0"/>
        <v>EUR6E12E12Y_Quote</v>
      </c>
      <c r="F20" s="76" t="str">
        <f>_xll.qlSimpleQuote(E20,,RateTickValue,Permanent,Trigger,ObjectOverwrite)</f>
        <v>EUR6E12E12Y_Quote#0000</v>
      </c>
      <c r="G20" s="75" t="str">
        <f>_xll.ohRangeRetrieveError(F20)</f>
        <v/>
      </c>
      <c r="H20" s="74"/>
      <c r="N20" s="122">
        <v>12</v>
      </c>
      <c r="O20" s="301" t="s">
        <v>92</v>
      </c>
      <c r="P20" s="300" t="str">
        <v>6E</v>
      </c>
      <c r="Q20" s="300" t="str">
        <v>12E</v>
      </c>
      <c r="R20" s="298" t="str">
        <f t="shared" si="1"/>
        <v>EUR6E12E12Y</v>
      </c>
      <c r="S20" s="263" t="str">
        <v>EUR6E12E12Y=ICAP</v>
      </c>
      <c r="T20" s="379">
        <v>11.3</v>
      </c>
      <c r="U20" s="379">
        <v>0</v>
      </c>
      <c r="V20" s="379">
        <f>_xll.qlMidEquivalent(T20,U20)</f>
        <v>11.3</v>
      </c>
      <c r="W20" s="259" t="b">
        <f t="shared" si="2"/>
        <v>1</v>
      </c>
      <c r="X20" s="383">
        <v>11.3</v>
      </c>
      <c r="Y20" s="253"/>
      <c r="Z20" s="377">
        <v>11.7</v>
      </c>
      <c r="AA20" s="253"/>
      <c r="AB20" s="576">
        <v>11.7</v>
      </c>
      <c r="AC20" s="258" t="e">
        <f>_xll.qlSimpleQuoteSetValue(F20,ROUND(AB20/10000,6),Trigger)</f>
        <v>#N/A</v>
      </c>
      <c r="AD20" s="217"/>
      <c r="AE20" s="17"/>
      <c r="AF20" s="17"/>
      <c r="AG20" s="17"/>
      <c r="AH20" s="17"/>
    </row>
    <row r="21" spans="1:34" x14ac:dyDescent="0.2">
      <c r="A21" s="80"/>
      <c r="B21" s="79" t="s">
        <v>91</v>
      </c>
      <c r="C21" s="78" t="str">
        <f t="shared" si="3"/>
        <v>6E</v>
      </c>
      <c r="D21" s="77" t="str">
        <f t="shared" si="4"/>
        <v>12E</v>
      </c>
      <c r="E21" s="76" t="str">
        <f t="shared" si="0"/>
        <v>EUR6E12E13Y_Quote</v>
      </c>
      <c r="F21" s="76" t="str">
        <f>_xll.qlSimpleQuote(E21,,RateTickValue,Permanent,Trigger,ObjectOverwrite)</f>
        <v>EUR6E12E13Y_Quote#0000</v>
      </c>
      <c r="G21" s="75" t="str">
        <f>_xll.ohRangeRetrieveError(F21)</f>
        <v/>
      </c>
      <c r="H21" s="74"/>
      <c r="N21" s="122">
        <v>13</v>
      </c>
      <c r="O21" s="301" t="s">
        <v>91</v>
      </c>
      <c r="P21" s="300" t="str">
        <v>6E</v>
      </c>
      <c r="Q21" s="300" t="str">
        <v>12E</v>
      </c>
      <c r="R21" s="298" t="str">
        <f t="shared" si="1"/>
        <v>EUR6E12E13Y</v>
      </c>
      <c r="S21" s="263" t="str">
        <v>EUR6E12E13Y=ICAP</v>
      </c>
      <c r="T21" s="379" t="s">
        <v>244</v>
      </c>
      <c r="U21" s="379" t="s">
        <v>244</v>
      </c>
      <c r="V21" s="379" t="e">
        <f>_xll.qlMidEquivalent(T21,U21)</f>
        <v>#NUM!</v>
      </c>
      <c r="W21" s="259" t="b">
        <f t="shared" si="2"/>
        <v>0</v>
      </c>
      <c r="X21" s="383">
        <v>10.934820884371806</v>
      </c>
      <c r="Y21" s="253"/>
      <c r="Z21" s="377">
        <v>11.22</v>
      </c>
      <c r="AA21" s="253"/>
      <c r="AB21" s="576">
        <v>11.22</v>
      </c>
      <c r="AC21" s="258" t="e">
        <f>_xll.qlSimpleQuoteSetValue(F21,ROUND(AB21/10000,6),Trigger)</f>
        <v>#N/A</v>
      </c>
      <c r="AD21" s="217"/>
      <c r="AE21" s="17"/>
      <c r="AF21" s="17"/>
      <c r="AG21" s="17"/>
      <c r="AH21" s="17"/>
    </row>
    <row r="22" spans="1:34" x14ac:dyDescent="0.2">
      <c r="A22" s="80"/>
      <c r="B22" s="79" t="s">
        <v>90</v>
      </c>
      <c r="C22" s="78" t="str">
        <f t="shared" si="3"/>
        <v>6E</v>
      </c>
      <c r="D22" s="77" t="str">
        <f t="shared" si="4"/>
        <v>12E</v>
      </c>
      <c r="E22" s="76" t="str">
        <f t="shared" si="0"/>
        <v>EUR6E12E14Y_Quote</v>
      </c>
      <c r="F22" s="76" t="str">
        <f>_xll.qlSimpleQuote(E22,,RateTickValue,Permanent,Trigger,ObjectOverwrite)</f>
        <v>EUR6E12E14Y_Quote#0000</v>
      </c>
      <c r="G22" s="75" t="str">
        <f>_xll.ohRangeRetrieveError(F22)</f>
        <v/>
      </c>
      <c r="H22" s="74"/>
      <c r="N22" s="122">
        <v>14</v>
      </c>
      <c r="O22" s="301" t="s">
        <v>90</v>
      </c>
      <c r="P22" s="300" t="str">
        <v>6E</v>
      </c>
      <c r="Q22" s="300" t="str">
        <v>12E</v>
      </c>
      <c r="R22" s="298" t="str">
        <f t="shared" si="1"/>
        <v>EUR6E12E14Y</v>
      </c>
      <c r="S22" s="263" t="str">
        <v>EUR6E12E14Y=ICAP</v>
      </c>
      <c r="T22" s="379" t="s">
        <v>244</v>
      </c>
      <c r="U22" s="379" t="s">
        <v>244</v>
      </c>
      <c r="V22" s="379" t="e">
        <f>_xll.qlMidEquivalent(T22,U22)</f>
        <v>#NUM!</v>
      </c>
      <c r="W22" s="259" t="b">
        <f t="shared" si="2"/>
        <v>0</v>
      </c>
      <c r="X22" s="383">
        <v>10.603393916008477</v>
      </c>
      <c r="Y22" s="253"/>
      <c r="Z22" s="377">
        <v>10.79</v>
      </c>
      <c r="AA22" s="253"/>
      <c r="AB22" s="576">
        <v>10.79</v>
      </c>
      <c r="AC22" s="258" t="e">
        <f>_xll.qlSimpleQuoteSetValue(F22,ROUND(AB22/10000,6),Trigger)</f>
        <v>#N/A</v>
      </c>
      <c r="AD22" s="217"/>
      <c r="AE22" s="17"/>
      <c r="AF22" s="17"/>
      <c r="AG22" s="17"/>
      <c r="AH22" s="17"/>
    </row>
    <row r="23" spans="1:34" x14ac:dyDescent="0.2">
      <c r="A23" s="80"/>
      <c r="B23" s="79" t="s">
        <v>89</v>
      </c>
      <c r="C23" s="78" t="str">
        <f t="shared" si="3"/>
        <v>6E</v>
      </c>
      <c r="D23" s="77" t="str">
        <f t="shared" si="4"/>
        <v>12E</v>
      </c>
      <c r="E23" s="76" t="str">
        <f t="shared" si="0"/>
        <v>EUR6E12E15Y_Quote</v>
      </c>
      <c r="F23" s="76" t="str">
        <f>_xll.qlSimpleQuote(E23,,RateTickValue,Permanent,Trigger,ObjectOverwrite)</f>
        <v>EUR6E12E15Y_Quote#0000</v>
      </c>
      <c r="G23" s="75" t="str">
        <f>_xll.ohRangeRetrieveError(F23)</f>
        <v/>
      </c>
      <c r="H23" s="74"/>
      <c r="N23" s="122">
        <v>15</v>
      </c>
      <c r="O23" s="301" t="s">
        <v>89</v>
      </c>
      <c r="P23" s="300" t="str">
        <v>6E</v>
      </c>
      <c r="Q23" s="300" t="str">
        <v>12E</v>
      </c>
      <c r="R23" s="298" t="str">
        <f t="shared" si="1"/>
        <v>EUR6E12E15Y</v>
      </c>
      <c r="S23" s="263" t="str">
        <v>EUR6E12E15Y=ICAP</v>
      </c>
      <c r="T23" s="379">
        <v>10.3</v>
      </c>
      <c r="U23" s="379">
        <v>0</v>
      </c>
      <c r="V23" s="379">
        <f>_xll.qlMidEquivalent(T23,U23)</f>
        <v>10.3</v>
      </c>
      <c r="W23" s="259" t="b">
        <f t="shared" si="2"/>
        <v>1</v>
      </c>
      <c r="X23" s="383">
        <v>10.3</v>
      </c>
      <c r="Y23" s="253"/>
      <c r="Z23" s="377">
        <v>10.4</v>
      </c>
      <c r="AA23" s="253"/>
      <c r="AB23" s="576">
        <v>10.4</v>
      </c>
      <c r="AC23" s="258" t="e">
        <f>_xll.qlSimpleQuoteSetValue(F23,ROUND(AB23/10000,6),Trigger)</f>
        <v>#N/A</v>
      </c>
      <c r="AD23" s="217"/>
      <c r="AE23" s="17"/>
      <c r="AF23" s="17"/>
      <c r="AG23" s="17"/>
      <c r="AH23" s="17"/>
    </row>
    <row r="24" spans="1:34" x14ac:dyDescent="0.2">
      <c r="A24" s="80"/>
      <c r="B24" s="79" t="s">
        <v>88</v>
      </c>
      <c r="C24" s="78" t="str">
        <f t="shared" si="3"/>
        <v>6E</v>
      </c>
      <c r="D24" s="77" t="str">
        <f t="shared" si="4"/>
        <v>12E</v>
      </c>
      <c r="E24" s="76" t="str">
        <f t="shared" si="0"/>
        <v>EUR6E12E16Y_Quote</v>
      </c>
      <c r="F24" s="76" t="str">
        <f>_xll.qlSimpleQuote(E24,,RateTickValue,Permanent,Trigger,ObjectOverwrite)</f>
        <v>EUR6E12E16Y_Quote#0000</v>
      </c>
      <c r="G24" s="75" t="str">
        <f>_xll.ohRangeRetrieveError(F24)</f>
        <v/>
      </c>
      <c r="H24" s="74"/>
      <c r="N24" s="122">
        <v>16</v>
      </c>
      <c r="O24" s="301" t="s">
        <v>88</v>
      </c>
      <c r="P24" s="300" t="str">
        <v>6E</v>
      </c>
      <c r="Q24" s="300" t="str">
        <v>12E</v>
      </c>
      <c r="R24" s="298" t="str">
        <f t="shared" si="1"/>
        <v>EUR6E12E16Y</v>
      </c>
      <c r="S24" s="263" t="str">
        <v>EUR6E12E16Y=ICAP</v>
      </c>
      <c r="T24" s="379" t="s">
        <v>244</v>
      </c>
      <c r="U24" s="379" t="s">
        <v>244</v>
      </c>
      <c r="V24" s="379" t="e">
        <f>_xll.qlMidEquivalent(T24,U24)</f>
        <v>#NUM!</v>
      </c>
      <c r="W24" s="259" t="b">
        <f t="shared" si="2"/>
        <v>0</v>
      </c>
      <c r="X24" s="383">
        <v>10.019693178368922</v>
      </c>
      <c r="Y24" s="253"/>
      <c r="Z24" s="377">
        <v>10.06</v>
      </c>
      <c r="AA24" s="253"/>
      <c r="AB24" s="576">
        <v>10.06</v>
      </c>
      <c r="AC24" s="258" t="e">
        <f>_xll.qlSimpleQuoteSetValue(F24,ROUND(AB24/10000,6),Trigger)</f>
        <v>#N/A</v>
      </c>
      <c r="AD24" s="217"/>
      <c r="AE24" s="17"/>
      <c r="AF24" s="17"/>
      <c r="AG24" s="17"/>
      <c r="AH24" s="17"/>
    </row>
    <row r="25" spans="1:34" x14ac:dyDescent="0.2">
      <c r="A25" s="80"/>
      <c r="B25" s="79" t="s">
        <v>87</v>
      </c>
      <c r="C25" s="78" t="str">
        <f t="shared" si="3"/>
        <v>6E</v>
      </c>
      <c r="D25" s="77" t="str">
        <f t="shared" si="4"/>
        <v>12E</v>
      </c>
      <c r="E25" s="76" t="str">
        <f t="shared" si="0"/>
        <v>EUR6E12E17Y_Quote</v>
      </c>
      <c r="F25" s="76" t="str">
        <f>_xll.qlSimpleQuote(E25,,RateTickValue,Permanent,Trigger,ObjectOverwrite)</f>
        <v>EUR6E12E17Y_Quote#0000</v>
      </c>
      <c r="G25" s="75" t="str">
        <f>_xll.ohRangeRetrieveError(F25)</f>
        <v/>
      </c>
      <c r="H25" s="74"/>
      <c r="N25" s="122">
        <v>17</v>
      </c>
      <c r="O25" s="301" t="s">
        <v>87</v>
      </c>
      <c r="P25" s="300" t="str">
        <v>6E</v>
      </c>
      <c r="Q25" s="300" t="str">
        <v>12E</v>
      </c>
      <c r="R25" s="298" t="str">
        <f t="shared" si="1"/>
        <v>EUR6E12E17Y</v>
      </c>
      <c r="S25" s="263" t="str">
        <v>EUR6E12E17Y=ICAP</v>
      </c>
      <c r="T25" s="379" t="s">
        <v>244</v>
      </c>
      <c r="U25" s="379" t="s">
        <v>244</v>
      </c>
      <c r="V25" s="379" t="e">
        <f>_xll.qlMidEquivalent(T25,U25)</f>
        <v>#NUM!</v>
      </c>
      <c r="W25" s="259" t="b">
        <f t="shared" si="2"/>
        <v>0</v>
      </c>
      <c r="X25" s="383">
        <v>9.7606200408680301</v>
      </c>
      <c r="Y25" s="253"/>
      <c r="Z25" s="377">
        <v>9.77</v>
      </c>
      <c r="AA25" s="253"/>
      <c r="AB25" s="576">
        <v>9.77</v>
      </c>
      <c r="AC25" s="258" t="e">
        <f>_xll.qlSimpleQuoteSetValue(F25,ROUND(AB25/10000,6),Trigger)</f>
        <v>#N/A</v>
      </c>
      <c r="AD25" s="217"/>
      <c r="AE25" s="17"/>
      <c r="AF25" s="17"/>
      <c r="AG25" s="17"/>
      <c r="AH25" s="17"/>
    </row>
    <row r="26" spans="1:34" x14ac:dyDescent="0.2">
      <c r="A26" s="80"/>
      <c r="B26" s="79" t="s">
        <v>86</v>
      </c>
      <c r="C26" s="78" t="str">
        <f t="shared" si="3"/>
        <v>6E</v>
      </c>
      <c r="D26" s="77" t="str">
        <f t="shared" si="4"/>
        <v>12E</v>
      </c>
      <c r="E26" s="76" t="str">
        <f t="shared" si="0"/>
        <v>EUR6E12E18Y_Quote</v>
      </c>
      <c r="F26" s="76" t="str">
        <f>_xll.qlSimpleQuote(E26,,RateTickValue,Permanent,Trigger,ObjectOverwrite)</f>
        <v>EUR6E12E18Y_Quote#0000</v>
      </c>
      <c r="G26" s="75" t="str">
        <f>_xll.ohRangeRetrieveError(F26)</f>
        <v/>
      </c>
      <c r="H26" s="74"/>
      <c r="N26" s="122">
        <v>18</v>
      </c>
      <c r="O26" s="301" t="s">
        <v>86</v>
      </c>
      <c r="P26" s="300" t="str">
        <v>6E</v>
      </c>
      <c r="Q26" s="300" t="str">
        <v>12E</v>
      </c>
      <c r="R26" s="298" t="str">
        <f t="shared" si="1"/>
        <v>EUR6E12E18Y</v>
      </c>
      <c r="S26" s="263" t="str">
        <v>EUR6E12E18Y=ICAP</v>
      </c>
      <c r="T26" s="379" t="s">
        <v>244</v>
      </c>
      <c r="U26" s="379" t="s">
        <v>244</v>
      </c>
      <c r="V26" s="379" t="e">
        <f>_xll.qlMidEquivalent(T26,U26)</f>
        <v>#NUM!</v>
      </c>
      <c r="W26" s="259" t="b">
        <f t="shared" si="2"/>
        <v>0</v>
      </c>
      <c r="X26" s="383">
        <v>9.5217003141826773</v>
      </c>
      <c r="Y26" s="253"/>
      <c r="Z26" s="377">
        <v>9.51</v>
      </c>
      <c r="AA26" s="253"/>
      <c r="AB26" s="576">
        <v>9.51</v>
      </c>
      <c r="AC26" s="258" t="e">
        <f>_xll.qlSimpleQuoteSetValue(F26,ROUND(AB26/10000,6),Trigger)</f>
        <v>#N/A</v>
      </c>
      <c r="AD26" s="217"/>
      <c r="AE26" s="17"/>
      <c r="AF26" s="17"/>
      <c r="AG26" s="17"/>
      <c r="AH26" s="17"/>
    </row>
    <row r="27" spans="1:34" x14ac:dyDescent="0.2">
      <c r="A27" s="80"/>
      <c r="B27" s="79" t="s">
        <v>85</v>
      </c>
      <c r="C27" s="78" t="str">
        <f t="shared" si="3"/>
        <v>6E</v>
      </c>
      <c r="D27" s="77" t="str">
        <f t="shared" si="4"/>
        <v>12E</v>
      </c>
      <c r="E27" s="76" t="str">
        <f t="shared" si="0"/>
        <v>EUR6E12E19Y_Quote</v>
      </c>
      <c r="F27" s="76" t="str">
        <f>_xll.qlSimpleQuote(E27,,RateTickValue,Permanent,Trigger,ObjectOverwrite)</f>
        <v>EUR6E12E19Y_Quote#0000</v>
      </c>
      <c r="G27" s="75" t="str">
        <f>_xll.ohRangeRetrieveError(F27)</f>
        <v/>
      </c>
      <c r="H27" s="74"/>
      <c r="N27" s="122">
        <v>19</v>
      </c>
      <c r="O27" s="301" t="s">
        <v>85</v>
      </c>
      <c r="P27" s="300" t="str">
        <v>6E</v>
      </c>
      <c r="Q27" s="300" t="str">
        <v>12E</v>
      </c>
      <c r="R27" s="298" t="str">
        <f t="shared" si="1"/>
        <v>EUR6E12E19Y</v>
      </c>
      <c r="S27" s="263" t="str">
        <v>EUR6E12E19Y=ICAP</v>
      </c>
      <c r="T27" s="379" t="s">
        <v>244</v>
      </c>
      <c r="U27" s="379" t="s">
        <v>244</v>
      </c>
      <c r="V27" s="379" t="e">
        <f>_xll.qlMidEquivalent(T27,U27)</f>
        <v>#NUM!</v>
      </c>
      <c r="W27" s="259" t="b">
        <f t="shared" si="2"/>
        <v>0</v>
      </c>
      <c r="X27" s="383">
        <v>9.3018537249982174</v>
      </c>
      <c r="Y27" s="253"/>
      <c r="Z27" s="377">
        <v>9.2899999999999991</v>
      </c>
      <c r="AA27" s="253"/>
      <c r="AB27" s="576">
        <v>9.2899999999999991</v>
      </c>
      <c r="AC27" s="258" t="e">
        <f>_xll.qlSimpleQuoteSetValue(F27,ROUND(AB27/10000,6),Trigger)</f>
        <v>#N/A</v>
      </c>
      <c r="AD27" s="217"/>
      <c r="AE27" s="17"/>
      <c r="AF27" s="17"/>
      <c r="AG27" s="17"/>
      <c r="AH27" s="17"/>
    </row>
    <row r="28" spans="1:34" x14ac:dyDescent="0.2">
      <c r="A28" s="80"/>
      <c r="B28" s="79" t="s">
        <v>84</v>
      </c>
      <c r="C28" s="78" t="str">
        <f t="shared" si="3"/>
        <v>6E</v>
      </c>
      <c r="D28" s="77" t="str">
        <f t="shared" si="4"/>
        <v>12E</v>
      </c>
      <c r="E28" s="76" t="str">
        <f t="shared" si="0"/>
        <v>EUR6E12E20Y_Quote</v>
      </c>
      <c r="F28" s="76" t="str">
        <f>_xll.qlSimpleQuote(E28,,RateTickValue,Permanent,Trigger,ObjectOverwrite)</f>
        <v>EUR6E12E20Y_Quote#0000</v>
      </c>
      <c r="G28" s="75" t="str">
        <f>_xll.ohRangeRetrieveError(F28)</f>
        <v/>
      </c>
      <c r="H28" s="74"/>
      <c r="N28" s="122">
        <v>20</v>
      </c>
      <c r="O28" s="301" t="s">
        <v>84</v>
      </c>
      <c r="P28" s="300" t="str">
        <v>6E</v>
      </c>
      <c r="Q28" s="300" t="str">
        <v>12E</v>
      </c>
      <c r="R28" s="298" t="str">
        <f t="shared" si="1"/>
        <v>EUR6E12E20Y</v>
      </c>
      <c r="S28" s="263" t="str">
        <v>EUR6E12E20Y=ICAP</v>
      </c>
      <c r="T28" s="379">
        <v>9.1</v>
      </c>
      <c r="U28" s="379">
        <v>0</v>
      </c>
      <c r="V28" s="379">
        <f>_xll.qlMidEquivalent(T28,U28)</f>
        <v>9.1</v>
      </c>
      <c r="W28" s="259" t="b">
        <f t="shared" si="2"/>
        <v>1</v>
      </c>
      <c r="X28" s="383">
        <v>9.1</v>
      </c>
      <c r="Y28" s="253"/>
      <c r="Z28" s="377">
        <v>9.1</v>
      </c>
      <c r="AA28" s="253"/>
      <c r="AB28" s="576">
        <v>9.1</v>
      </c>
      <c r="AC28" s="258" t="e">
        <f>_xll.qlSimpleQuoteSetValue(F28,ROUND(AB28/10000,6),Trigger)</f>
        <v>#N/A</v>
      </c>
      <c r="AD28" s="217"/>
      <c r="AE28" s="17"/>
      <c r="AF28" s="17"/>
      <c r="AG28" s="17"/>
      <c r="AH28" s="17"/>
    </row>
    <row r="29" spans="1:34" x14ac:dyDescent="0.2">
      <c r="A29" s="80"/>
      <c r="B29" s="79" t="s">
        <v>83</v>
      </c>
      <c r="C29" s="78" t="str">
        <f t="shared" si="3"/>
        <v>6E</v>
      </c>
      <c r="D29" s="77" t="str">
        <f t="shared" si="4"/>
        <v>12E</v>
      </c>
      <c r="E29" s="76" t="str">
        <f t="shared" si="0"/>
        <v>EUR6E12E21Y_Quote</v>
      </c>
      <c r="F29" s="76" t="str">
        <f>_xll.qlSimpleQuote(E29,,RateTickValue,Permanent,Trigger,ObjectOverwrite)</f>
        <v>EUR6E12E21Y_Quote#0000</v>
      </c>
      <c r="G29" s="75" t="str">
        <f>_xll.ohRangeRetrieveError(F29)</f>
        <v/>
      </c>
      <c r="H29" s="74"/>
      <c r="N29" s="122">
        <v>21</v>
      </c>
      <c r="O29" s="301" t="s">
        <v>83</v>
      </c>
      <c r="P29" s="300" t="str">
        <v>6E</v>
      </c>
      <c r="Q29" s="300" t="str">
        <v>12E</v>
      </c>
      <c r="R29" s="298" t="str">
        <f t="shared" si="1"/>
        <v>EUR6E12E21Y</v>
      </c>
      <c r="S29" s="263" t="str">
        <v>EUR6E12E21Y=ICAP</v>
      </c>
      <c r="T29" s="379" t="s">
        <v>244</v>
      </c>
      <c r="U29" s="379" t="s">
        <v>244</v>
      </c>
      <c r="V29" s="379" t="e">
        <f>_xll.qlMidEquivalent(T29,U29)</f>
        <v>#NUM!</v>
      </c>
      <c r="W29" s="259" t="b">
        <f t="shared" si="2"/>
        <v>0</v>
      </c>
      <c r="X29" s="383">
        <v>8.9148763476990585</v>
      </c>
      <c r="Y29" s="253"/>
      <c r="Z29" s="377">
        <v>8.93</v>
      </c>
      <c r="AA29" s="253"/>
      <c r="AB29" s="576">
        <v>8.93</v>
      </c>
      <c r="AC29" s="258" t="e">
        <f>_xll.qlSimpleQuoteSetValue(F29,ROUND(AB29/10000,6),Trigger)</f>
        <v>#N/A</v>
      </c>
      <c r="AD29" s="217"/>
      <c r="AE29" s="17"/>
      <c r="AF29" s="17"/>
      <c r="AG29" s="17"/>
      <c r="AH29" s="17"/>
    </row>
    <row r="30" spans="1:34" x14ac:dyDescent="0.2">
      <c r="A30" s="80"/>
      <c r="B30" s="79" t="s">
        <v>82</v>
      </c>
      <c r="C30" s="78" t="str">
        <f t="shared" si="3"/>
        <v>6E</v>
      </c>
      <c r="D30" s="77" t="str">
        <f t="shared" si="4"/>
        <v>12E</v>
      </c>
      <c r="E30" s="76" t="str">
        <f t="shared" si="0"/>
        <v>EUR6E12E22Y_Quote</v>
      </c>
      <c r="F30" s="76" t="str">
        <f>_xll.qlSimpleQuote(E30,,RateTickValue,Permanent,Trigger,ObjectOverwrite)</f>
        <v>EUR6E12E22Y_Quote#0000</v>
      </c>
      <c r="G30" s="75" t="str">
        <f>_xll.ohRangeRetrieveError(F30)</f>
        <v/>
      </c>
      <c r="H30" s="74"/>
      <c r="N30" s="122">
        <v>22</v>
      </c>
      <c r="O30" s="301" t="s">
        <v>82</v>
      </c>
      <c r="P30" s="300" t="str">
        <v>6E</v>
      </c>
      <c r="Q30" s="300" t="str">
        <v>12E</v>
      </c>
      <c r="R30" s="298" t="str">
        <f t="shared" si="1"/>
        <v>EUR6E12E22Y</v>
      </c>
      <c r="S30" s="263" t="str">
        <v>EUR6E12E22Y=ICAP</v>
      </c>
      <c r="T30" s="379" t="s">
        <v>244</v>
      </c>
      <c r="U30" s="379" t="s">
        <v>244</v>
      </c>
      <c r="V30" s="379" t="e">
        <f>_xll.qlMidEquivalent(T30,U30)</f>
        <v>#NUM!</v>
      </c>
      <c r="W30" s="259" t="b">
        <f t="shared" si="2"/>
        <v>0</v>
      </c>
      <c r="X30" s="383">
        <v>8.7444899039091517</v>
      </c>
      <c r="Y30" s="253"/>
      <c r="Z30" s="377">
        <v>8.7799999999999994</v>
      </c>
      <c r="AA30" s="253"/>
      <c r="AB30" s="576">
        <v>8.7799999999999994</v>
      </c>
      <c r="AC30" s="258" t="e">
        <f>_xll.qlSimpleQuoteSetValue(F30,ROUND(AB30/10000,6),Trigger)</f>
        <v>#N/A</v>
      </c>
      <c r="AD30" s="217"/>
      <c r="AE30" s="17"/>
      <c r="AF30" s="17"/>
      <c r="AG30" s="17"/>
      <c r="AH30" s="17"/>
    </row>
    <row r="31" spans="1:34" x14ac:dyDescent="0.2">
      <c r="A31" s="80"/>
      <c r="B31" s="79" t="s">
        <v>81</v>
      </c>
      <c r="C31" s="78" t="str">
        <f t="shared" si="3"/>
        <v>6E</v>
      </c>
      <c r="D31" s="77" t="str">
        <f t="shared" si="4"/>
        <v>12E</v>
      </c>
      <c r="E31" s="76" t="str">
        <f t="shared" si="0"/>
        <v>EUR6E12E23Y_Quote</v>
      </c>
      <c r="F31" s="76" t="str">
        <f>_xll.qlSimpleQuote(E31,,RateTickValue,Permanent,Trigger,ObjectOverwrite)</f>
        <v>EUR6E12E23Y_Quote#0000</v>
      </c>
      <c r="G31" s="75" t="str">
        <f>_xll.ohRangeRetrieveError(F31)</f>
        <v/>
      </c>
      <c r="H31" s="74"/>
      <c r="N31" s="122">
        <v>23</v>
      </c>
      <c r="O31" s="301" t="s">
        <v>81</v>
      </c>
      <c r="P31" s="300" t="str">
        <v>6E</v>
      </c>
      <c r="Q31" s="300" t="str">
        <v>12E</v>
      </c>
      <c r="R31" s="298" t="str">
        <f t="shared" si="1"/>
        <v>EUR6E12E23Y</v>
      </c>
      <c r="S31" s="263" t="str">
        <v>EUR6E12E23Y=ICAP</v>
      </c>
      <c r="T31" s="379" t="s">
        <v>244</v>
      </c>
      <c r="U31" s="379" t="s">
        <v>244</v>
      </c>
      <c r="V31" s="379" t="e">
        <f>_xll.qlMidEquivalent(T31,U31)</f>
        <v>#NUM!</v>
      </c>
      <c r="W31" s="259" t="b">
        <f t="shared" si="2"/>
        <v>0</v>
      </c>
      <c r="X31" s="383">
        <v>8.5866652862697137</v>
      </c>
      <c r="Y31" s="253"/>
      <c r="Z31" s="377">
        <v>8.64</v>
      </c>
      <c r="AA31" s="253"/>
      <c r="AB31" s="576">
        <v>8.64</v>
      </c>
      <c r="AC31" s="258" t="e">
        <f>_xll.qlSimpleQuoteSetValue(F31,ROUND(AB31/10000,6),Trigger)</f>
        <v>#N/A</v>
      </c>
      <c r="AD31" s="217"/>
      <c r="AE31" s="17"/>
      <c r="AF31" s="17"/>
      <c r="AG31" s="17"/>
      <c r="AH31" s="17"/>
    </row>
    <row r="32" spans="1:34" x14ac:dyDescent="0.2">
      <c r="A32" s="80"/>
      <c r="B32" s="79" t="s">
        <v>80</v>
      </c>
      <c r="C32" s="78" t="str">
        <f t="shared" si="3"/>
        <v>6E</v>
      </c>
      <c r="D32" s="77" t="str">
        <f t="shared" si="4"/>
        <v>12E</v>
      </c>
      <c r="E32" s="76" t="str">
        <f t="shared" si="0"/>
        <v>EUR6E12E24Y_Quote</v>
      </c>
      <c r="F32" s="76" t="str">
        <f>_xll.qlSimpleQuote(E32,,RateTickValue,Permanent,Trigger,ObjectOverwrite)</f>
        <v>EUR6E12E24Y_Quote#0000</v>
      </c>
      <c r="G32" s="75" t="str">
        <f>_xll.ohRangeRetrieveError(F32)</f>
        <v/>
      </c>
      <c r="H32" s="74"/>
      <c r="N32" s="122">
        <v>24</v>
      </c>
      <c r="O32" s="301" t="s">
        <v>80</v>
      </c>
      <c r="P32" s="300" t="str">
        <v>6E</v>
      </c>
      <c r="Q32" s="300" t="str">
        <v>12E</v>
      </c>
      <c r="R32" s="298" t="str">
        <f t="shared" si="1"/>
        <v>EUR6E12E24Y</v>
      </c>
      <c r="S32" s="263" t="str">
        <v>EUR6E12E24Y=ICAP</v>
      </c>
      <c r="T32" s="379" t="s">
        <v>244</v>
      </c>
      <c r="U32" s="379" t="s">
        <v>244</v>
      </c>
      <c r="V32" s="379" t="e">
        <f>_xll.qlMidEquivalent(T32,U32)</f>
        <v>#NUM!</v>
      </c>
      <c r="W32" s="259" t="b">
        <f t="shared" si="2"/>
        <v>0</v>
      </c>
      <c r="X32" s="383">
        <v>8.4392271124201841</v>
      </c>
      <c r="Y32" s="253"/>
      <c r="Z32" s="377">
        <v>8.52</v>
      </c>
      <c r="AA32" s="253"/>
      <c r="AB32" s="576">
        <v>8.52</v>
      </c>
      <c r="AC32" s="258" t="e">
        <f>_xll.qlSimpleQuoteSetValue(F32,ROUND(AB32/10000,6),Trigger)</f>
        <v>#N/A</v>
      </c>
      <c r="AD32" s="217"/>
      <c r="AE32" s="17"/>
      <c r="AF32" s="17"/>
      <c r="AG32" s="17"/>
      <c r="AH32" s="17"/>
    </row>
    <row r="33" spans="1:34" x14ac:dyDescent="0.2">
      <c r="A33" s="80"/>
      <c r="B33" s="79" t="s">
        <v>79</v>
      </c>
      <c r="C33" s="78" t="str">
        <f t="shared" si="3"/>
        <v>6E</v>
      </c>
      <c r="D33" s="77" t="str">
        <f t="shared" si="4"/>
        <v>12E</v>
      </c>
      <c r="E33" s="76" t="str">
        <f t="shared" si="0"/>
        <v>EUR6E12E25Y_Quote</v>
      </c>
      <c r="F33" s="76" t="str">
        <f>_xll.qlSimpleQuote(E33,,RateTickValue,Permanent,Trigger,ObjectOverwrite)</f>
        <v>EUR6E12E25Y_Quote#0000</v>
      </c>
      <c r="G33" s="75" t="str">
        <f>_xll.ohRangeRetrieveError(F33)</f>
        <v/>
      </c>
      <c r="H33" s="74"/>
      <c r="N33" s="122">
        <v>25</v>
      </c>
      <c r="O33" s="301" t="s">
        <v>79</v>
      </c>
      <c r="P33" s="300" t="str">
        <v>6E</v>
      </c>
      <c r="Q33" s="300" t="str">
        <v>12E</v>
      </c>
      <c r="R33" s="298" t="str">
        <f t="shared" si="1"/>
        <v>EUR6E12E25Y</v>
      </c>
      <c r="S33" s="263" t="str">
        <v>EUR6E12E25Y=ICAP</v>
      </c>
      <c r="T33" s="379">
        <v>8.3000000000000007</v>
      </c>
      <c r="U33" s="379">
        <v>0</v>
      </c>
      <c r="V33" s="379">
        <f>_xll.qlMidEquivalent(T33,U33)</f>
        <v>8.3000000000000007</v>
      </c>
      <c r="W33" s="259" t="b">
        <f t="shared" si="2"/>
        <v>1</v>
      </c>
      <c r="X33" s="383">
        <v>8.3000000000000007</v>
      </c>
      <c r="Y33" s="253"/>
      <c r="Z33" s="377">
        <v>8.4</v>
      </c>
      <c r="AA33" s="253"/>
      <c r="AB33" s="576">
        <v>8.4</v>
      </c>
      <c r="AC33" s="258" t="e">
        <f>_xll.qlSimpleQuoteSetValue(F33,ROUND(AB33/10000,6),Trigger)</f>
        <v>#N/A</v>
      </c>
      <c r="AD33" s="217"/>
      <c r="AE33" s="17"/>
      <c r="AF33" s="17"/>
      <c r="AG33" s="17"/>
      <c r="AH33" s="17"/>
    </row>
    <row r="34" spans="1:34" x14ac:dyDescent="0.2">
      <c r="A34" s="80"/>
      <c r="B34" s="79" t="s">
        <v>78</v>
      </c>
      <c r="C34" s="78" t="str">
        <f t="shared" si="3"/>
        <v>6E</v>
      </c>
      <c r="D34" s="77" t="str">
        <f t="shared" si="4"/>
        <v>12E</v>
      </c>
      <c r="E34" s="76" t="str">
        <f t="shared" si="0"/>
        <v>EUR6E12E26Y_Quote</v>
      </c>
      <c r="F34" s="76" t="str">
        <f>_xll.qlSimpleQuote(E34,,RateTickValue,Permanent,Trigger,ObjectOverwrite)</f>
        <v>EUR6E12E26Y_Quote#0000</v>
      </c>
      <c r="G34" s="75" t="str">
        <f>_xll.ohRangeRetrieveError(F34)</f>
        <v/>
      </c>
      <c r="H34" s="74"/>
      <c r="N34" s="122">
        <v>26</v>
      </c>
      <c r="O34" s="301" t="s">
        <v>78</v>
      </c>
      <c r="P34" s="300" t="str">
        <v>6E</v>
      </c>
      <c r="Q34" s="300" t="str">
        <v>12E</v>
      </c>
      <c r="R34" s="298" t="str">
        <f t="shared" si="1"/>
        <v>EUR6E12E26Y</v>
      </c>
      <c r="S34" s="263" t="str">
        <v>EUR6E12E26Y=ICAP</v>
      </c>
      <c r="T34" s="379" t="s">
        <v>244</v>
      </c>
      <c r="U34" s="379" t="s">
        <v>244</v>
      </c>
      <c r="V34" s="379" t="e">
        <f>_xll.qlMidEquivalent(T34,U34)</f>
        <v>#NUM!</v>
      </c>
      <c r="W34" s="259" t="b">
        <f t="shared" si="2"/>
        <v>0</v>
      </c>
      <c r="X34" s="383">
        <v>8.1672014308348437</v>
      </c>
      <c r="Y34" s="253"/>
      <c r="Z34" s="377">
        <v>8.2899999999999991</v>
      </c>
      <c r="AA34" s="253"/>
      <c r="AB34" s="576">
        <v>8.2899999999999991</v>
      </c>
      <c r="AC34" s="258" t="e">
        <f>_xll.qlSimpleQuoteSetValue(F34,ROUND(AB34/10000,6),Trigger)</f>
        <v>#N/A</v>
      </c>
      <c r="AD34" s="217"/>
      <c r="AE34" s="17"/>
      <c r="AF34" s="17"/>
      <c r="AG34" s="17"/>
      <c r="AH34" s="17"/>
    </row>
    <row r="35" spans="1:34" x14ac:dyDescent="0.2">
      <c r="A35" s="80"/>
      <c r="B35" s="79" t="s">
        <v>77</v>
      </c>
      <c r="C35" s="78" t="str">
        <f t="shared" si="3"/>
        <v>6E</v>
      </c>
      <c r="D35" s="77" t="str">
        <f t="shared" si="4"/>
        <v>12E</v>
      </c>
      <c r="E35" s="76" t="str">
        <f t="shared" si="0"/>
        <v>EUR6E12E27Y_Quote</v>
      </c>
      <c r="F35" s="76" t="str">
        <f>_xll.qlSimpleQuote(E35,,RateTickValue,Permanent,Trigger,ObjectOverwrite)</f>
        <v>EUR6E12E27Y_Quote#0000</v>
      </c>
      <c r="G35" s="75" t="str">
        <f>_xll.ohRangeRetrieveError(F35)</f>
        <v/>
      </c>
      <c r="H35" s="74"/>
      <c r="N35" s="122">
        <v>27</v>
      </c>
      <c r="O35" s="301" t="s">
        <v>77</v>
      </c>
      <c r="P35" s="300" t="str">
        <v>6E</v>
      </c>
      <c r="Q35" s="300" t="str">
        <v>12E</v>
      </c>
      <c r="R35" s="298" t="str">
        <f t="shared" si="1"/>
        <v>EUR6E12E27Y</v>
      </c>
      <c r="S35" s="263" t="str">
        <v>EUR6E12E27Y=ICAP</v>
      </c>
      <c r="T35" s="379" t="s">
        <v>244</v>
      </c>
      <c r="U35" s="379" t="s">
        <v>244</v>
      </c>
      <c r="V35" s="379" t="e">
        <f>_xll.qlMidEquivalent(T35,U35)</f>
        <v>#NUM!</v>
      </c>
      <c r="W35" s="259" t="b">
        <f t="shared" si="2"/>
        <v>0</v>
      </c>
      <c r="X35" s="383">
        <v>8.0406203434953678</v>
      </c>
      <c r="Y35" s="253"/>
      <c r="Z35" s="377">
        <v>8.19</v>
      </c>
      <c r="AA35" s="253"/>
      <c r="AB35" s="576">
        <v>8.19</v>
      </c>
      <c r="AC35" s="258" t="e">
        <f>_xll.qlSimpleQuoteSetValue(F35,ROUND(AB35/10000,6),Trigger)</f>
        <v>#N/A</v>
      </c>
      <c r="AD35" s="217"/>
      <c r="AE35" s="17"/>
      <c r="AF35" s="17"/>
      <c r="AG35" s="17"/>
      <c r="AH35" s="17"/>
    </row>
    <row r="36" spans="1:34" x14ac:dyDescent="0.2">
      <c r="A36" s="80"/>
      <c r="B36" s="79" t="s">
        <v>76</v>
      </c>
      <c r="C36" s="78" t="str">
        <f t="shared" si="3"/>
        <v>6E</v>
      </c>
      <c r="D36" s="77" t="str">
        <f t="shared" si="4"/>
        <v>12E</v>
      </c>
      <c r="E36" s="76" t="str">
        <f t="shared" si="0"/>
        <v>EUR6E12E28Y_Quote</v>
      </c>
      <c r="F36" s="76" t="str">
        <f>_xll.qlSimpleQuote(E36,,RateTickValue,Permanent,Trigger,ObjectOverwrite)</f>
        <v>EUR6E12E28Y_Quote#0000</v>
      </c>
      <c r="G36" s="75" t="str">
        <f>_xll.ohRangeRetrieveError(F36)</f>
        <v/>
      </c>
      <c r="H36" s="74"/>
      <c r="N36" s="122">
        <v>28</v>
      </c>
      <c r="O36" s="301" t="s">
        <v>76</v>
      </c>
      <c r="P36" s="300" t="str">
        <v>6E</v>
      </c>
      <c r="Q36" s="300" t="str">
        <v>12E</v>
      </c>
      <c r="R36" s="298" t="str">
        <f t="shared" si="1"/>
        <v>EUR6E12E28Y</v>
      </c>
      <c r="S36" s="263" t="str">
        <v>EUR6E12E28Y=ICAP</v>
      </c>
      <c r="T36" s="379" t="s">
        <v>244</v>
      </c>
      <c r="U36" s="379" t="s">
        <v>244</v>
      </c>
      <c r="V36" s="379" t="e">
        <f>_xll.qlMidEquivalent(T36,U36)</f>
        <v>#NUM!</v>
      </c>
      <c r="W36" s="259" t="b">
        <f t="shared" si="2"/>
        <v>0</v>
      </c>
      <c r="X36" s="383">
        <v>7.9204385407384699</v>
      </c>
      <c r="Y36" s="253"/>
      <c r="Z36" s="377">
        <v>8.09</v>
      </c>
      <c r="AA36" s="253"/>
      <c r="AB36" s="576">
        <v>8.09</v>
      </c>
      <c r="AC36" s="258" t="e">
        <f>_xll.qlSimpleQuoteSetValue(F36,ROUND(AB36/10000,6),Trigger)</f>
        <v>#N/A</v>
      </c>
      <c r="AD36" s="217"/>
      <c r="AE36" s="17"/>
      <c r="AF36" s="17"/>
      <c r="AG36" s="17"/>
      <c r="AH36" s="17"/>
    </row>
    <row r="37" spans="1:34" x14ac:dyDescent="0.2">
      <c r="A37" s="80"/>
      <c r="B37" s="79" t="s">
        <v>75</v>
      </c>
      <c r="C37" s="78" t="str">
        <f t="shared" si="3"/>
        <v>6E</v>
      </c>
      <c r="D37" s="77" t="str">
        <f t="shared" si="4"/>
        <v>12E</v>
      </c>
      <c r="E37" s="76" t="str">
        <f t="shared" si="0"/>
        <v>EUR6E12E29Y_Quote</v>
      </c>
      <c r="F37" s="76" t="str">
        <f>_xll.qlSimpleQuote(E37,,RateTickValue,Permanent,Trigger,ObjectOverwrite)</f>
        <v>EUR6E12E29Y_Quote#0000</v>
      </c>
      <c r="G37" s="75" t="str">
        <f>_xll.ohRangeRetrieveError(F37)</f>
        <v/>
      </c>
      <c r="H37" s="74"/>
      <c r="N37" s="122">
        <v>29</v>
      </c>
      <c r="O37" s="301" t="s">
        <v>75</v>
      </c>
      <c r="P37" s="300" t="str">
        <v>6E</v>
      </c>
      <c r="Q37" s="300" t="str">
        <v>12E</v>
      </c>
      <c r="R37" s="298" t="str">
        <f t="shared" si="1"/>
        <v>EUR6E12E29Y</v>
      </c>
      <c r="S37" s="263" t="str">
        <v>EUR6E12E29Y=ICAP</v>
      </c>
      <c r="T37" s="379" t="s">
        <v>244</v>
      </c>
      <c r="U37" s="379" t="s">
        <v>244</v>
      </c>
      <c r="V37" s="379" t="e">
        <f>_xll.qlMidEquivalent(T37,U37)</f>
        <v>#NUM!</v>
      </c>
      <c r="W37" s="259" t="b">
        <f t="shared" si="2"/>
        <v>0</v>
      </c>
      <c r="X37" s="383">
        <v>7.8068378253210478</v>
      </c>
      <c r="Y37" s="253"/>
      <c r="Z37" s="377">
        <v>7.99</v>
      </c>
      <c r="AA37" s="253"/>
      <c r="AB37" s="576">
        <v>7.99</v>
      </c>
      <c r="AC37" s="258" t="e">
        <f>_xll.qlSimpleQuoteSetValue(F37,ROUND(AB37/10000,6),Trigger)</f>
        <v>#N/A</v>
      </c>
      <c r="AD37" s="217"/>
      <c r="AE37" s="17"/>
      <c r="AF37" s="17"/>
      <c r="AG37" s="17"/>
      <c r="AH37" s="17"/>
    </row>
    <row r="38" spans="1:34" x14ac:dyDescent="0.2">
      <c r="A38" s="80"/>
      <c r="B38" s="79" t="s">
        <v>74</v>
      </c>
      <c r="C38" s="78" t="str">
        <f t="shared" si="3"/>
        <v>6E</v>
      </c>
      <c r="D38" s="77" t="str">
        <f t="shared" si="4"/>
        <v>12E</v>
      </c>
      <c r="E38" s="76" t="str">
        <f t="shared" si="0"/>
        <v>EUR6E12E30Y_Quote</v>
      </c>
      <c r="F38" s="76" t="str">
        <f>_xll.qlSimpleQuote(E38,,RateTickValue,Permanent,Trigger,ObjectOverwrite)</f>
        <v>EUR6E12E30Y_Quote#0000</v>
      </c>
      <c r="G38" s="75" t="str">
        <f>_xll.ohRangeRetrieveError(F38)</f>
        <v/>
      </c>
      <c r="H38" s="74"/>
      <c r="N38" s="122">
        <v>30</v>
      </c>
      <c r="O38" s="301" t="s">
        <v>74</v>
      </c>
      <c r="P38" s="300" t="str">
        <v>6E</v>
      </c>
      <c r="Q38" s="300" t="str">
        <v>12E</v>
      </c>
      <c r="R38" s="298" t="str">
        <f t="shared" si="1"/>
        <v>EUR6E12E30Y</v>
      </c>
      <c r="S38" s="263" t="str">
        <v>EUR6E12E30Y=ICAP</v>
      </c>
      <c r="T38" s="379">
        <v>7.7</v>
      </c>
      <c r="U38" s="379">
        <v>0</v>
      </c>
      <c r="V38" s="379">
        <f>_xll.qlMidEquivalent(T38,U38)</f>
        <v>7.7</v>
      </c>
      <c r="W38" s="259" t="b">
        <f t="shared" si="2"/>
        <v>1</v>
      </c>
      <c r="X38" s="383">
        <v>7.7</v>
      </c>
      <c r="Y38" s="381">
        <f>X28-X38</f>
        <v>1.3999999999999995</v>
      </c>
      <c r="Z38" s="377">
        <v>7.9</v>
      </c>
      <c r="AA38" s="253"/>
      <c r="AB38" s="576">
        <v>7.9</v>
      </c>
      <c r="AC38" s="258" t="e">
        <f>_xll.qlSimpleQuoteSetValue(F38,ROUND(AB38/10000,6),Trigger)</f>
        <v>#N/A</v>
      </c>
      <c r="AD38" s="217"/>
      <c r="AE38" s="17"/>
      <c r="AF38" s="17"/>
      <c r="AG38" s="17"/>
      <c r="AH38" s="17"/>
    </row>
    <row r="39" spans="1:34" x14ac:dyDescent="0.2">
      <c r="A39" s="80"/>
      <c r="B39" s="79" t="s">
        <v>69</v>
      </c>
      <c r="C39" s="78" t="str">
        <f t="shared" si="3"/>
        <v>6E</v>
      </c>
      <c r="D39" s="77" t="str">
        <f t="shared" si="4"/>
        <v>12E</v>
      </c>
      <c r="E39" s="76" t="str">
        <f t="shared" si="0"/>
        <v>EUR6E12E35Y_Quote</v>
      </c>
      <c r="F39" s="76" t="str">
        <f>_xll.qlSimpleQuote(E39,,RateTickValue,Permanent,Trigger,ObjectOverwrite)</f>
        <v>EUR6E12E35Y_Quote#0000</v>
      </c>
      <c r="G39" s="75" t="str">
        <f>_xll.ohRangeRetrieveError(F39)</f>
        <v/>
      </c>
      <c r="H39" s="74"/>
      <c r="N39" s="122">
        <v>35</v>
      </c>
      <c r="O39" s="301" t="s">
        <v>69</v>
      </c>
      <c r="P39" s="300" t="str">
        <v>6E</v>
      </c>
      <c r="Q39" s="300" t="str">
        <v>12E</v>
      </c>
      <c r="R39" s="298" t="str">
        <f t="shared" si="1"/>
        <v>EUR6E12E35Y</v>
      </c>
      <c r="S39" s="263" t="str">
        <v>EUR6E12E35Y=ICAP</v>
      </c>
      <c r="T39" s="379" t="s">
        <v>244</v>
      </c>
      <c r="U39" s="379" t="s">
        <v>244</v>
      </c>
      <c r="V39" s="379" t="e">
        <f>_xll.qlMidEquivalent(T39,U39)</f>
        <v>#NUM!</v>
      </c>
      <c r="W39" s="259" t="b">
        <f t="shared" si="2"/>
        <v>0</v>
      </c>
      <c r="X39" s="382">
        <f>X38</f>
        <v>7.7</v>
      </c>
      <c r="Y39" s="253"/>
      <c r="Z39" s="377">
        <v>7.9</v>
      </c>
      <c r="AA39" s="253"/>
      <c r="AB39" s="576">
        <v>7.9</v>
      </c>
      <c r="AC39" s="258" t="e">
        <f>_xll.qlSimpleQuoteSetValue(F39,ROUND(AB39/10000,6),Trigger)</f>
        <v>#N/A</v>
      </c>
      <c r="AD39" s="217"/>
      <c r="AE39" s="17"/>
      <c r="AF39" s="17"/>
      <c r="AG39" s="17"/>
      <c r="AH39" s="17"/>
    </row>
    <row r="40" spans="1:34" x14ac:dyDescent="0.2">
      <c r="A40" s="80"/>
      <c r="B40" s="79" t="s">
        <v>64</v>
      </c>
      <c r="C40" s="78" t="str">
        <f t="shared" si="3"/>
        <v>6E</v>
      </c>
      <c r="D40" s="77" t="str">
        <f t="shared" si="4"/>
        <v>12E</v>
      </c>
      <c r="E40" s="76" t="str">
        <f t="shared" si="0"/>
        <v>EUR6E12E40Y_Quote</v>
      </c>
      <c r="F40" s="76" t="str">
        <f>_xll.qlSimpleQuote(E40,,RateTickValue,Permanent,Trigger,ObjectOverwrite)</f>
        <v>EUR6E12E40Y_Quote#0000</v>
      </c>
      <c r="G40" s="75" t="str">
        <f>_xll.ohRangeRetrieveError(F40)</f>
        <v/>
      </c>
      <c r="H40" s="74"/>
      <c r="N40" s="122">
        <v>40</v>
      </c>
      <c r="O40" s="301" t="s">
        <v>64</v>
      </c>
      <c r="P40" s="300" t="str">
        <v>6E</v>
      </c>
      <c r="Q40" s="300" t="str">
        <v>12E</v>
      </c>
      <c r="R40" s="298" t="str">
        <f t="shared" si="1"/>
        <v>EUR6E12E40Y</v>
      </c>
      <c r="S40" s="263" t="str">
        <v>EUR6E12E40Y=ICAP</v>
      </c>
      <c r="T40" s="379">
        <v>6.9</v>
      </c>
      <c r="U40" s="379">
        <v>0</v>
      </c>
      <c r="V40" s="379">
        <f>_xll.qlMidEquivalent(T40,U40)</f>
        <v>6.9</v>
      </c>
      <c r="W40" s="259" t="b">
        <f t="shared" si="2"/>
        <v>1</v>
      </c>
      <c r="X40" s="382">
        <f>X39</f>
        <v>7.7</v>
      </c>
      <c r="Y40" s="253"/>
      <c r="Z40" s="377">
        <v>7.9</v>
      </c>
      <c r="AA40" s="253"/>
      <c r="AB40" s="576">
        <v>7.9</v>
      </c>
      <c r="AC40" s="258" t="e">
        <f>_xll.qlSimpleQuoteSetValue(F40,ROUND(AB40/10000,6),Trigger)</f>
        <v>#N/A</v>
      </c>
      <c r="AD40" s="217"/>
      <c r="AE40" s="17"/>
      <c r="AF40" s="17"/>
      <c r="AG40" s="17"/>
      <c r="AH40" s="17"/>
    </row>
    <row r="41" spans="1:34" x14ac:dyDescent="0.2">
      <c r="A41" s="80"/>
      <c r="B41" s="79" t="s">
        <v>54</v>
      </c>
      <c r="C41" s="78" t="str">
        <f t="shared" si="3"/>
        <v>6E</v>
      </c>
      <c r="D41" s="77" t="str">
        <f t="shared" si="4"/>
        <v>12E</v>
      </c>
      <c r="E41" s="76" t="str">
        <f t="shared" si="0"/>
        <v>EUR6E12E50Y_Quote</v>
      </c>
      <c r="F41" s="76" t="str">
        <f>_xll.qlSimpleQuote(E41,,RateTickValue,Permanent,Trigger,ObjectOverwrite)</f>
        <v>EUR6E12E50Y_Quote#0000</v>
      </c>
      <c r="G41" s="75" t="str">
        <f>_xll.ohRangeRetrieveError(F41)</f>
        <v/>
      </c>
      <c r="H41" s="74"/>
      <c r="N41" s="122">
        <v>50</v>
      </c>
      <c r="O41" s="301" t="s">
        <v>54</v>
      </c>
      <c r="P41" s="300" t="str">
        <v>6E</v>
      </c>
      <c r="Q41" s="300" t="str">
        <v>12E</v>
      </c>
      <c r="R41" s="298" t="str">
        <f t="shared" si="1"/>
        <v>EUR6E12E50Y</v>
      </c>
      <c r="S41" s="263" t="str">
        <v>EUR6E12E50Y=ICAP</v>
      </c>
      <c r="T41" s="379">
        <v>6.3</v>
      </c>
      <c r="U41" s="379">
        <v>0</v>
      </c>
      <c r="V41" s="379">
        <f>_xll.qlMidEquivalent(T41,U41)</f>
        <v>6.3</v>
      </c>
      <c r="W41" s="259" t="b">
        <f t="shared" si="2"/>
        <v>1</v>
      </c>
      <c r="X41" s="382">
        <f>X40</f>
        <v>7.7</v>
      </c>
      <c r="Y41" s="253"/>
      <c r="Z41" s="377">
        <v>7.9</v>
      </c>
      <c r="AA41" s="253"/>
      <c r="AB41" s="576">
        <v>7.9</v>
      </c>
      <c r="AC41" s="258" t="e">
        <f>_xll.qlSimpleQuoteSetValue(F41,ROUND(AB41/10000,6),Trigger)</f>
        <v>#N/A</v>
      </c>
      <c r="AD41" s="217"/>
      <c r="AE41" s="17"/>
      <c r="AF41" s="17"/>
      <c r="AG41" s="17"/>
      <c r="AH41" s="17"/>
    </row>
    <row r="42" spans="1:34" x14ac:dyDescent="0.2">
      <c r="A42" s="80"/>
      <c r="B42" s="79" t="s">
        <v>44</v>
      </c>
      <c r="C42" s="78" t="str">
        <f t="shared" si="3"/>
        <v>6E</v>
      </c>
      <c r="D42" s="77" t="str">
        <f t="shared" si="4"/>
        <v>12E</v>
      </c>
      <c r="E42" s="76" t="str">
        <f t="shared" si="0"/>
        <v>EUR6E12E60Y_Quote</v>
      </c>
      <c r="F42" s="76" t="str">
        <f>_xll.qlSimpleQuote(E42,,RateTickValue,Permanent,Trigger,ObjectOverwrite)</f>
        <v>EUR6E12E60Y_Quote#0000</v>
      </c>
      <c r="G42" s="75" t="str">
        <f>_xll.ohRangeRetrieveError(F42)</f>
        <v/>
      </c>
      <c r="H42" s="74"/>
      <c r="N42" s="122">
        <v>60</v>
      </c>
      <c r="O42" s="301" t="s">
        <v>44</v>
      </c>
      <c r="P42" s="300" t="str">
        <v>6E</v>
      </c>
      <c r="Q42" s="300" t="str">
        <v>12E</v>
      </c>
      <c r="R42" s="298" t="str">
        <f t="shared" si="1"/>
        <v>EUR6E12E60Y</v>
      </c>
      <c r="S42" s="263" t="str">
        <v>EUR6E12E60Y=ICAP</v>
      </c>
      <c r="T42" s="379">
        <v>6</v>
      </c>
      <c r="U42" s="379">
        <v>0</v>
      </c>
      <c r="V42" s="379">
        <f>_xll.qlMidEquivalent(T42,U42)</f>
        <v>6</v>
      </c>
      <c r="W42" s="259" t="b">
        <f t="shared" si="2"/>
        <v>1</v>
      </c>
      <c r="X42" s="382">
        <f>X41</f>
        <v>7.7</v>
      </c>
      <c r="Y42" s="253"/>
      <c r="Z42" s="377">
        <v>7.9</v>
      </c>
      <c r="AA42" s="253"/>
      <c r="AB42" s="577">
        <v>7.9</v>
      </c>
      <c r="AC42" s="250" t="e">
        <f>_xll.qlSimpleQuoteSetValue(F42,ROUND(AB42/10000,6),Trigger)</f>
        <v>#N/A</v>
      </c>
      <c r="AD42" s="217"/>
      <c r="AE42" s="17"/>
      <c r="AF42" s="17"/>
      <c r="AG42" s="17"/>
      <c r="AH42" s="17"/>
    </row>
    <row r="43" spans="1:34" ht="13.5" thickBot="1" x14ac:dyDescent="0.25">
      <c r="A43" s="73"/>
      <c r="B43" s="72"/>
      <c r="C43" s="72"/>
      <c r="D43" s="72"/>
      <c r="E43" s="72"/>
      <c r="F43" s="71"/>
      <c r="G43" s="71"/>
      <c r="H43" s="70"/>
      <c r="N43" s="48"/>
      <c r="O43" s="289"/>
      <c r="P43" s="289"/>
      <c r="Q43" s="289"/>
      <c r="R43" s="289"/>
      <c r="S43" s="289"/>
      <c r="T43" s="289"/>
      <c r="U43" s="289"/>
      <c r="V43" s="289"/>
      <c r="W43" s="289"/>
      <c r="X43" s="289"/>
      <c r="Y43" s="47"/>
      <c r="Z43" s="289"/>
      <c r="AA43" s="47"/>
      <c r="AB43" s="289"/>
      <c r="AC43" s="289"/>
      <c r="AD43" s="366"/>
      <c r="AE43" s="17"/>
      <c r="AF43" s="17"/>
      <c r="AG43" s="17"/>
      <c r="AH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9" width="3.85546875" style="68" bestFit="1" customWidth="1"/>
    <col min="10"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88" t="s">
        <v>293</v>
      </c>
      <c r="I1" s="199"/>
      <c r="J1" s="199"/>
      <c r="K1" s="199"/>
      <c r="L1" s="199"/>
      <c r="M1" s="199"/>
      <c r="N1" s="199"/>
      <c r="O1" s="199"/>
      <c r="P1" s="199"/>
      <c r="Q1" s="196"/>
      <c r="R1" s="17"/>
      <c r="S1" s="17"/>
      <c r="T1" s="17"/>
      <c r="U1" s="17"/>
      <c r="V1" s="17"/>
      <c r="W1" s="17"/>
    </row>
    <row r="2" spans="1:23" ht="21" customHeight="1" x14ac:dyDescent="0.2">
      <c r="H2" s="287"/>
      <c r="I2" s="286"/>
      <c r="J2" s="144" t="s">
        <v>224</v>
      </c>
      <c r="K2" s="253"/>
      <c r="L2" s="253"/>
      <c r="M2" s="253"/>
      <c r="N2" s="253"/>
      <c r="O2" s="253"/>
      <c r="P2" s="253"/>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1</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EUROND_Quote#0000</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0.35</v>
      </c>
      <c r="N5" s="253"/>
      <c r="O5" s="331">
        <f t="array" ref="O5:O22">QuoteStatic</f>
        <v>0.35</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EURTND_Quote#0000</v>
      </c>
      <c r="E6" s="105" t="str">
        <f>_xll.ohRangeRetrieveError(D6)</f>
        <v/>
      </c>
      <c r="F6" s="104"/>
      <c r="H6" s="122"/>
      <c r="I6" s="264" t="s">
        <v>229</v>
      </c>
      <c r="J6" s="263" t="e">
        <f t="shared" si="1"/>
        <v>#REF!</v>
      </c>
      <c r="K6" s="262">
        <v>0.1</v>
      </c>
      <c r="L6" s="253"/>
      <c r="M6" s="261">
        <v>0.35</v>
      </c>
      <c r="N6" s="253"/>
      <c r="O6" s="324">
        <v>0.35</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EURSND_Quote#0000</v>
      </c>
      <c r="E7" s="105" t="str">
        <f>_xll.ohRangeRetrieveError(D7)</f>
        <v/>
      </c>
      <c r="F7" s="104"/>
      <c r="H7" s="122"/>
      <c r="I7" s="264" t="s">
        <v>226</v>
      </c>
      <c r="J7" s="263" t="e">
        <f t="shared" si="1"/>
        <v>#REF!</v>
      </c>
      <c r="K7" s="262">
        <v>0.1</v>
      </c>
      <c r="L7" s="253"/>
      <c r="M7" s="261">
        <v>0.25</v>
      </c>
      <c r="N7" s="253"/>
      <c r="O7" s="324">
        <v>0.25</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EURSWD_Quote#0000</v>
      </c>
      <c r="E8" s="105" t="str">
        <f>_xll.ohRangeRetrieveError(D8)</f>
        <v/>
      </c>
      <c r="F8" s="104"/>
      <c r="H8" s="122"/>
      <c r="I8" s="264" t="s">
        <v>35</v>
      </c>
      <c r="J8" s="263" t="e">
        <f t="shared" si="1"/>
        <v>#REF!</v>
      </c>
      <c r="K8" s="262">
        <v>0.11</v>
      </c>
      <c r="L8" s="253"/>
      <c r="M8" s="261">
        <v>0.25</v>
      </c>
      <c r="N8" s="253"/>
      <c r="O8" s="324">
        <v>0.25</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EUR2WD_Quote#0000</v>
      </c>
      <c r="E9" s="105" t="str">
        <f>_xll.ohRangeRetrieveError(D9)</f>
        <v/>
      </c>
      <c r="F9" s="104"/>
      <c r="H9" s="122"/>
      <c r="I9" s="264" t="s">
        <v>34</v>
      </c>
      <c r="J9" s="263" t="e">
        <f t="shared" si="1"/>
        <v>#REF!</v>
      </c>
      <c r="K9" s="262">
        <v>0.12</v>
      </c>
      <c r="L9" s="253"/>
      <c r="M9" s="261">
        <v>0.26</v>
      </c>
      <c r="N9" s="253"/>
      <c r="O9" s="324">
        <v>0.26</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EUR3WD_Quote#0000</v>
      </c>
      <c r="E10" s="105" t="str">
        <f>_xll.ohRangeRetrieveError(D10)</f>
        <v/>
      </c>
      <c r="F10" s="104"/>
      <c r="H10" s="122"/>
      <c r="I10" s="264" t="s">
        <v>33</v>
      </c>
      <c r="J10" s="263" t="e">
        <f t="shared" si="1"/>
        <v>#REF!</v>
      </c>
      <c r="K10" s="262">
        <v>0.13</v>
      </c>
      <c r="L10" s="253"/>
      <c r="M10" s="261">
        <v>0.26</v>
      </c>
      <c r="N10" s="253"/>
      <c r="O10" s="324">
        <v>0.26</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EUR1MD_Quote#0000</v>
      </c>
      <c r="E11" s="105" t="str">
        <f>_xll.ohRangeRetrieveError(D11)</f>
        <v/>
      </c>
      <c r="F11" s="104"/>
      <c r="H11" s="122"/>
      <c r="I11" s="264" t="s">
        <v>32</v>
      </c>
      <c r="J11" s="263" t="e">
        <f t="shared" si="1"/>
        <v>#REF!</v>
      </c>
      <c r="K11" s="262">
        <v>0.14000000000000001</v>
      </c>
      <c r="L11" s="253"/>
      <c r="M11" s="261">
        <v>0.27</v>
      </c>
      <c r="N11" s="253"/>
      <c r="O11" s="324">
        <v>0.27</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EUR2MD_Quote#0000</v>
      </c>
      <c r="E12" s="105" t="str">
        <f>_xll.ohRangeRetrieveError(D12)</f>
        <v/>
      </c>
      <c r="F12" s="104"/>
      <c r="H12" s="122"/>
      <c r="I12" s="264" t="s">
        <v>31</v>
      </c>
      <c r="J12" s="263" t="e">
        <f t="shared" si="1"/>
        <v>#REF!</v>
      </c>
      <c r="K12" s="262">
        <v>0.18</v>
      </c>
      <c r="L12" s="253"/>
      <c r="M12" s="261">
        <v>0.28000000000000003</v>
      </c>
      <c r="N12" s="253"/>
      <c r="O12" s="324">
        <v>0.28000000000000003</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EUR3MD_Quote#0000</v>
      </c>
      <c r="E13" s="105" t="str">
        <f>_xll.ohRangeRetrieveError(D13)</f>
        <v/>
      </c>
      <c r="F13" s="104"/>
      <c r="H13" s="122"/>
      <c r="I13" s="264" t="s">
        <v>30</v>
      </c>
      <c r="J13" s="263" t="e">
        <f t="shared" si="1"/>
        <v>#REF!</v>
      </c>
      <c r="K13" s="262">
        <v>0.22</v>
      </c>
      <c r="L13" s="253"/>
      <c r="M13" s="261">
        <v>0.31</v>
      </c>
      <c r="N13" s="253"/>
      <c r="O13" s="324">
        <v>0.31</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EUR4MD_Quote#0000</v>
      </c>
      <c r="E14" s="105" t="str">
        <f>_xll.ohRangeRetrieveError(D14)</f>
        <v/>
      </c>
      <c r="F14" s="104"/>
      <c r="H14" s="122"/>
      <c r="I14" s="264" t="s">
        <v>29</v>
      </c>
      <c r="J14" s="263" t="e">
        <f t="shared" si="1"/>
        <v>#REF!</v>
      </c>
      <c r="K14" s="262">
        <v>0.26</v>
      </c>
      <c r="L14" s="253"/>
      <c r="M14" s="261">
        <v>0.33</v>
      </c>
      <c r="N14" s="253"/>
      <c r="O14" s="324">
        <v>0.33</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EUR5MD_Quote#0000</v>
      </c>
      <c r="E15" s="105" t="str">
        <f>_xll.ohRangeRetrieveError(D15)</f>
        <v/>
      </c>
      <c r="F15" s="104"/>
      <c r="H15" s="122"/>
      <c r="I15" s="264" t="s">
        <v>28</v>
      </c>
      <c r="J15" s="263" t="e">
        <f t="shared" si="1"/>
        <v>#REF!</v>
      </c>
      <c r="K15" s="262">
        <v>0.3</v>
      </c>
      <c r="L15" s="253"/>
      <c r="M15" s="261">
        <v>0.36</v>
      </c>
      <c r="N15" s="253"/>
      <c r="O15" s="324">
        <v>0.36</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EUR6MD_Quote#0000</v>
      </c>
      <c r="E16" s="105" t="str">
        <f>_xll.ohRangeRetrieveError(D16)</f>
        <v/>
      </c>
      <c r="F16" s="104"/>
      <c r="H16" s="122"/>
      <c r="I16" s="264" t="s">
        <v>27</v>
      </c>
      <c r="J16" s="263" t="e">
        <f t="shared" si="1"/>
        <v>#REF!</v>
      </c>
      <c r="K16" s="262">
        <v>0.34</v>
      </c>
      <c r="L16" s="253"/>
      <c r="M16" s="261">
        <v>0.4</v>
      </c>
      <c r="N16" s="253"/>
      <c r="O16" s="324">
        <v>0.4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EUR7MD_Quote#0000</v>
      </c>
      <c r="E17" s="105" t="str">
        <f>_xll.ohRangeRetrieveError(D17)</f>
        <v/>
      </c>
      <c r="F17" s="104"/>
      <c r="H17" s="122"/>
      <c r="I17" s="264" t="s">
        <v>26</v>
      </c>
      <c r="J17" s="263" t="e">
        <f t="shared" si="1"/>
        <v>#REF!</v>
      </c>
      <c r="K17" s="262">
        <v>0.37</v>
      </c>
      <c r="L17" s="253"/>
      <c r="M17" s="261">
        <v>0.42</v>
      </c>
      <c r="N17" s="253"/>
      <c r="O17" s="324">
        <v>0.42</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EUR8MD_Quote#0000</v>
      </c>
      <c r="E18" s="105" t="str">
        <f>_xll.ohRangeRetrieveError(D18)</f>
        <v/>
      </c>
      <c r="F18" s="104"/>
      <c r="H18" s="122"/>
      <c r="I18" s="264" t="s">
        <v>25</v>
      </c>
      <c r="J18" s="263" t="e">
        <f t="shared" si="1"/>
        <v>#REF!</v>
      </c>
      <c r="K18" s="262">
        <v>0.41</v>
      </c>
      <c r="L18" s="253"/>
      <c r="M18" s="261">
        <v>0.46</v>
      </c>
      <c r="N18" s="253"/>
      <c r="O18" s="324">
        <v>0.46</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EUR9MD_Quote#0000</v>
      </c>
      <c r="E19" s="105" t="str">
        <f>_xll.ohRangeRetrieveError(D19)</f>
        <v/>
      </c>
      <c r="F19" s="104"/>
      <c r="H19" s="122"/>
      <c r="I19" s="264" t="s">
        <v>24</v>
      </c>
      <c r="J19" s="263" t="e">
        <f t="shared" si="1"/>
        <v>#REF!</v>
      </c>
      <c r="K19" s="262">
        <v>0.44</v>
      </c>
      <c r="L19" s="253"/>
      <c r="M19" s="261">
        <v>0.49</v>
      </c>
      <c r="N19" s="253"/>
      <c r="O19" s="324">
        <v>0.49</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EUR10MD_Quote#0000</v>
      </c>
      <c r="E20" s="105" t="str">
        <f>_xll.ohRangeRetrieveError(D20)</f>
        <v/>
      </c>
      <c r="F20" s="104"/>
      <c r="H20" s="122"/>
      <c r="I20" s="264" t="s">
        <v>23</v>
      </c>
      <c r="J20" s="263" t="e">
        <f t="shared" si="1"/>
        <v>#REF!</v>
      </c>
      <c r="K20" s="262">
        <v>0.47</v>
      </c>
      <c r="L20" s="253"/>
      <c r="M20" s="261">
        <v>0.51</v>
      </c>
      <c r="N20" s="253"/>
      <c r="O20" s="324">
        <v>0.51</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EUR11MD_Quote#0000</v>
      </c>
      <c r="E21" s="105" t="str">
        <f>_xll.ohRangeRetrieveError(D21)</f>
        <v/>
      </c>
      <c r="F21" s="104"/>
      <c r="H21" s="122"/>
      <c r="I21" s="264" t="s">
        <v>22</v>
      </c>
      <c r="J21" s="263" t="e">
        <f t="shared" si="1"/>
        <v>#REF!</v>
      </c>
      <c r="K21" s="262">
        <v>0.5</v>
      </c>
      <c r="L21" s="253"/>
      <c r="M21" s="261">
        <v>0.53</v>
      </c>
      <c r="N21" s="253"/>
      <c r="O21" s="324">
        <v>0.53</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EUR1YD_Quote#0000</v>
      </c>
      <c r="E22" s="105" t="str">
        <f>_xll.ohRangeRetrieveError(D22)</f>
        <v/>
      </c>
      <c r="F22" s="104"/>
      <c r="H22" s="122"/>
      <c r="I22" s="257" t="s">
        <v>21</v>
      </c>
      <c r="J22" s="256" t="e">
        <f t="shared" si="1"/>
        <v>#REF!</v>
      </c>
      <c r="K22" s="255">
        <v>0.53</v>
      </c>
      <c r="L22" s="253"/>
      <c r="M22" s="254">
        <v>0.56999999999999995</v>
      </c>
      <c r="N22" s="253"/>
      <c r="O22" s="317">
        <v>0.56999999999999995</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workbookViewId="0"/>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6" width="9.140625" style="16"/>
    <col min="17" max="17" width="10" style="16" customWidth="1"/>
    <col min="18" max="18" width="9.140625" style="16"/>
    <col min="19" max="19" width="2.7109375" style="16" customWidth="1"/>
    <col min="20" max="20" width="9.140625" style="16"/>
    <col min="21" max="21" width="2.7109375" style="16" customWidth="1"/>
    <col min="22" max="22" width="10.5703125" style="16" bestFit="1" customWidth="1"/>
    <col min="23" max="23" width="7.7109375" style="16" bestFit="1" customWidth="1"/>
    <col min="24" max="24" width="2.7109375" style="16" customWidth="1"/>
    <col min="25" max="16384" width="9.140625" style="16"/>
  </cols>
  <sheetData>
    <row r="1" spans="1:26" x14ac:dyDescent="0.2">
      <c r="A1" s="164" t="s">
        <v>177</v>
      </c>
      <c r="B1" s="137"/>
      <c r="C1" s="137"/>
      <c r="D1" s="16"/>
      <c r="E1" s="114"/>
      <c r="F1" s="16"/>
      <c r="G1" s="49"/>
      <c r="I1" s="315" t="s">
        <v>293</v>
      </c>
      <c r="J1" s="199"/>
      <c r="K1" s="199"/>
      <c r="L1" s="199"/>
      <c r="M1" s="199"/>
      <c r="N1" s="199"/>
      <c r="O1" s="199"/>
      <c r="P1" s="199"/>
      <c r="Q1" s="199"/>
      <c r="R1" s="199"/>
      <c r="S1" s="199"/>
      <c r="T1" s="199"/>
      <c r="U1" s="199"/>
      <c r="V1" s="199"/>
      <c r="W1" s="199"/>
      <c r="X1" s="196"/>
      <c r="Y1" s="17"/>
      <c r="Z1" s="17"/>
    </row>
    <row r="2" spans="1:26"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7"/>
      <c r="J2" s="314"/>
      <c r="K2" s="137"/>
      <c r="L2" s="137"/>
      <c r="M2" s="144" t="s">
        <v>222</v>
      </c>
      <c r="N2" s="137"/>
      <c r="O2" s="137"/>
      <c r="P2" s="137"/>
      <c r="Q2" s="137"/>
      <c r="R2" s="253"/>
      <c r="S2" s="253"/>
      <c r="T2" s="253"/>
      <c r="U2" s="253"/>
      <c r="V2" s="253"/>
      <c r="W2" s="253"/>
      <c r="X2" s="49"/>
      <c r="Y2" s="17"/>
      <c r="Z2" s="17"/>
    </row>
    <row r="3" spans="1:26" x14ac:dyDescent="0.2">
      <c r="A3" s="122"/>
      <c r="B3" s="126" t="s">
        <v>171</v>
      </c>
      <c r="C3" s="127" t="s">
        <v>157</v>
      </c>
      <c r="D3" s="126" t="str">
        <f t="shared" ref="D3:D35" si="0">Currency&amp;$B3&amp;$C3&amp;QuoteSuffix</f>
        <v>EURT1F1_Quote</v>
      </c>
      <c r="E3" s="125" t="str">
        <f>_xll.qlSimpleQuote(D3,,RateTickValue,Permanent,Trigger,ObjectOverwrite)</f>
        <v>EURT1F1_Quote#0000</v>
      </c>
      <c r="F3" s="124" t="str">
        <f>_xll.ohRangeRetrieveError(E3)</f>
        <v/>
      </c>
      <c r="G3" s="49"/>
      <c r="I3" s="122"/>
      <c r="J3" s="137"/>
      <c r="K3" s="253"/>
      <c r="L3" s="137"/>
      <c r="M3" s="137"/>
      <c r="N3" s="137"/>
      <c r="O3" s="137"/>
      <c r="P3" s="137"/>
      <c r="Q3" s="137"/>
      <c r="R3" s="137"/>
      <c r="S3" s="253"/>
      <c r="T3" s="253"/>
      <c r="U3" s="253"/>
      <c r="V3" s="137"/>
      <c r="W3" s="284">
        <f>_xll.ohTrigger(W5:W23)</f>
        <v>1</v>
      </c>
      <c r="X3" s="217"/>
      <c r="Y3" s="17"/>
      <c r="Z3" s="17"/>
    </row>
    <row r="4" spans="1:26" ht="22.5" x14ac:dyDescent="0.2">
      <c r="A4" s="122"/>
      <c r="B4" s="119" t="s">
        <v>170</v>
      </c>
      <c r="C4" s="123" t="s">
        <v>157</v>
      </c>
      <c r="D4" s="119" t="str">
        <f t="shared" si="0"/>
        <v>EURTOM1F1_Quote</v>
      </c>
      <c r="E4" s="118" t="str">
        <f>_xll.qlSimpleQuote(D4,,RateTickValue,Permanent,Trigger,ObjectOverwrite)</f>
        <v>EURTOM1F1_Quote#0000</v>
      </c>
      <c r="F4" s="117" t="str">
        <f>_xll.ohRangeRetrieveError(E4)</f>
        <v/>
      </c>
      <c r="G4" s="49"/>
      <c r="I4" s="122"/>
      <c r="J4" s="202"/>
      <c r="K4" s="145"/>
      <c r="L4" s="194"/>
      <c r="M4" s="283" t="e">
        <f ca="1">_xll.RData(M5:M33,N4:Q4,,ReutersRtMode,,N5)</f>
        <v>#NAME?</v>
      </c>
      <c r="N4" s="313" t="s">
        <v>243</v>
      </c>
      <c r="O4" s="313" t="s">
        <v>212</v>
      </c>
      <c r="P4" s="313" t="s">
        <v>227</v>
      </c>
      <c r="Q4" s="313" t="s">
        <v>242</v>
      </c>
      <c r="R4" s="279" t="s">
        <v>241</v>
      </c>
      <c r="S4" s="253"/>
      <c r="T4" s="281" t="s">
        <v>239</v>
      </c>
      <c r="U4" s="253"/>
      <c r="V4" s="534" t="s">
        <v>237</v>
      </c>
      <c r="W4" s="244" t="s">
        <v>236</v>
      </c>
      <c r="X4" s="217"/>
      <c r="Y4" s="17"/>
      <c r="Z4" s="312" t="s">
        <v>240</v>
      </c>
    </row>
    <row r="5" spans="1:26" x14ac:dyDescent="0.2">
      <c r="A5" s="122"/>
      <c r="B5" s="126" t="s">
        <v>169</v>
      </c>
      <c r="C5" s="127" t="s">
        <v>157</v>
      </c>
      <c r="D5" s="126" t="str">
        <f t="shared" si="0"/>
        <v>EURT3F1_Quote</v>
      </c>
      <c r="E5" s="125" t="str">
        <f>_xll.qlSimpleQuote(D5,,RateTickValue,Permanent,Trigger,ObjectOverwrite)</f>
        <v>EURT3F1_Quote#0000</v>
      </c>
      <c r="F5" s="124" t="str">
        <f>_xll.ohRangeRetrieveError(E5)</f>
        <v/>
      </c>
      <c r="G5" s="49"/>
      <c r="I5" s="122"/>
      <c r="J5" s="311" t="s">
        <v>169</v>
      </c>
      <c r="K5" s="310" t="s">
        <v>157</v>
      </c>
      <c r="L5" s="308" t="str">
        <f t="shared" ref="L5:L33" si="1">Currency&amp;$J5&amp;$K5</f>
        <v>EURT3F1</v>
      </c>
      <c r="M5" s="308" t="str">
        <f t="array" ref="M5:M33">UPPER(Instruments)&amp;"="&amp;VLOOKUP(Contributor,ContributorTable,2,FALSE)</f>
        <v>EURT3F1=ICAP</v>
      </c>
      <c r="N5" s="309">
        <v>0.2</v>
      </c>
      <c r="O5" s="309">
        <v>0.25</v>
      </c>
      <c r="P5" s="308">
        <v>0</v>
      </c>
      <c r="Q5" s="308">
        <v>0</v>
      </c>
      <c r="R5" s="274">
        <f>_xll.qlMidSafe($N5,$O5)</f>
        <v>0.22500000000000001</v>
      </c>
      <c r="S5" s="253"/>
      <c r="T5" s="307" t="e">
        <v>#NUM!</v>
      </c>
      <c r="U5" s="253"/>
      <c r="V5" s="331" t="e">
        <f t="array" ref="V5:V33">QuoteStatic</f>
        <v>#NUM!</v>
      </c>
      <c r="W5" s="270" t="e">
        <f>_xll.qlSimpleQuoteSetValue(E5,V5/100,Trigger)</f>
        <v>#NUM!</v>
      </c>
      <c r="X5" s="217"/>
      <c r="Y5" s="17"/>
      <c r="Z5" s="290">
        <f t="shared" ref="Z5:Z33" si="2">(O5-R5)/50</f>
        <v>4.999999999999999E-4</v>
      </c>
    </row>
    <row r="6" spans="1:26" x14ac:dyDescent="0.2">
      <c r="A6" s="122"/>
      <c r="B6" s="119" t="s">
        <v>168</v>
      </c>
      <c r="C6" s="123" t="s">
        <v>157</v>
      </c>
      <c r="D6" s="119" t="str">
        <f t="shared" si="0"/>
        <v>EURTOM3F1_Quote</v>
      </c>
      <c r="E6" s="118" t="str">
        <f>_xll.qlSimpleQuote(D6,,RateTickValue,Permanent,Trigger,ObjectOverwrite)</f>
        <v>EURTOM3F1_Quote#0000</v>
      </c>
      <c r="F6" s="117" t="str">
        <f>_xll.ohRangeRetrieveError(E6)</f>
        <v/>
      </c>
      <c r="G6" s="49"/>
      <c r="I6" s="122"/>
      <c r="J6" s="306" t="s">
        <v>168</v>
      </c>
      <c r="K6" s="305" t="s">
        <v>157</v>
      </c>
      <c r="L6" s="303" t="str">
        <f t="shared" si="1"/>
        <v>EURTOM3F1</v>
      </c>
      <c r="M6" s="303" t="str">
        <v>EURTOM3F1=ICAP</v>
      </c>
      <c r="N6" s="304">
        <v>0.2</v>
      </c>
      <c r="O6" s="304">
        <v>0.25</v>
      </c>
      <c r="P6" s="303">
        <v>0</v>
      </c>
      <c r="Q6" s="303">
        <v>0</v>
      </c>
      <c r="R6" s="255">
        <f>_xll.qlMidSafe($N6,$O6)</f>
        <v>0.22500000000000001</v>
      </c>
      <c r="S6" s="253"/>
      <c r="T6" s="302" t="e">
        <v>#NUM!</v>
      </c>
      <c r="U6" s="253"/>
      <c r="V6" s="317" t="e">
        <v>#NUM!</v>
      </c>
      <c r="W6" s="250" t="e">
        <f>_xll.qlSimpleQuoteSetValue(E6,V6/100,Trigger)</f>
        <v>#NUM!</v>
      </c>
      <c r="X6" s="217"/>
      <c r="Y6" s="17"/>
      <c r="Z6" s="290">
        <f t="shared" si="2"/>
        <v>4.999999999999999E-4</v>
      </c>
    </row>
    <row r="7" spans="1:26" x14ac:dyDescent="0.2">
      <c r="A7" s="122"/>
      <c r="B7" s="126">
        <v>1</v>
      </c>
      <c r="C7" s="127" t="s">
        <v>167</v>
      </c>
      <c r="D7" s="126" t="str">
        <f t="shared" si="0"/>
        <v>EUR1x4F_Quote</v>
      </c>
      <c r="E7" s="125" t="str">
        <f>_xll.qlSimpleQuote(D7,,RateTickValue,Permanent,Trigger,ObjectOverwrite)</f>
        <v>EUR1x4F_Quote#0000</v>
      </c>
      <c r="F7" s="124" t="str">
        <f>_xll.ohRangeRetrieveError(E7)</f>
        <v/>
      </c>
      <c r="G7" s="49"/>
      <c r="I7" s="122"/>
      <c r="J7" s="311">
        <v>1</v>
      </c>
      <c r="K7" s="310" t="s">
        <v>167</v>
      </c>
      <c r="L7" s="308" t="str">
        <f t="shared" si="1"/>
        <v>EUR1x4F</v>
      </c>
      <c r="M7" s="308" t="str">
        <v>EUR1X4F=ICAP</v>
      </c>
      <c r="N7" s="309">
        <v>0.22</v>
      </c>
      <c r="O7" s="309">
        <v>0.27</v>
      </c>
      <c r="P7" s="308">
        <v>0</v>
      </c>
      <c r="Q7" s="308">
        <v>0</v>
      </c>
      <c r="R7" s="274">
        <f>_xll.qlMidSafe($N7,$O7)</f>
        <v>0.245</v>
      </c>
      <c r="S7" s="253"/>
      <c r="T7" s="297">
        <v>0.30599999999999999</v>
      </c>
      <c r="U7" s="253"/>
      <c r="V7" s="324">
        <v>0.30599999999999999</v>
      </c>
      <c r="W7" s="258" t="e">
        <f>_xll.qlSimpleQuoteSetValue(E7,V7/100,Trigger)</f>
        <v>#N/A</v>
      </c>
      <c r="X7" s="217"/>
      <c r="Y7" s="17"/>
      <c r="Z7" s="290">
        <f t="shared" si="2"/>
        <v>5.0000000000000044E-4</v>
      </c>
    </row>
    <row r="8" spans="1:26" x14ac:dyDescent="0.2">
      <c r="A8" s="122"/>
      <c r="B8" s="130">
        <v>2</v>
      </c>
      <c r="C8" s="131" t="s">
        <v>166</v>
      </c>
      <c r="D8" s="130" t="str">
        <f t="shared" si="0"/>
        <v>EUR2x5F_Quote</v>
      </c>
      <c r="E8" s="129" t="str">
        <f>_xll.qlSimpleQuote(D8,,RateTickValue,Permanent,Trigger,ObjectOverwrite)</f>
        <v>EUR2x5F_Quote#0000</v>
      </c>
      <c r="F8" s="128" t="str">
        <f>_xll.ohRangeRetrieveError(E8)</f>
        <v/>
      </c>
      <c r="G8" s="49"/>
      <c r="I8" s="122"/>
      <c r="J8" s="301">
        <v>2</v>
      </c>
      <c r="K8" s="300" t="s">
        <v>166</v>
      </c>
      <c r="L8" s="298" t="str">
        <f t="shared" si="1"/>
        <v>EUR2x5F</v>
      </c>
      <c r="M8" s="298" t="str">
        <v>EUR2X5F=ICAP</v>
      </c>
      <c r="N8" s="299">
        <v>0.24299999999999999</v>
      </c>
      <c r="O8" s="299">
        <v>0.29299999999999998</v>
      </c>
      <c r="P8" s="298">
        <v>0</v>
      </c>
      <c r="Q8" s="298">
        <v>0</v>
      </c>
      <c r="R8" s="262">
        <f>_xll.qlMidSafe($N8,$O8)</f>
        <v>0.26800000000000002</v>
      </c>
      <c r="S8" s="253"/>
      <c r="T8" s="297">
        <v>0.29699999999999999</v>
      </c>
      <c r="U8" s="253"/>
      <c r="V8" s="324">
        <v>0.29699999999999999</v>
      </c>
      <c r="W8" s="258" t="e">
        <f>_xll.qlSimpleQuoteSetValue(E8,V8/100,Trigger)</f>
        <v>#N/A</v>
      </c>
      <c r="X8" s="217"/>
      <c r="Y8" s="17"/>
      <c r="Z8" s="290">
        <f t="shared" si="2"/>
        <v>4.9999999999999936E-4</v>
      </c>
    </row>
    <row r="9" spans="1:26" x14ac:dyDescent="0.2">
      <c r="A9" s="122"/>
      <c r="B9" s="130">
        <v>3</v>
      </c>
      <c r="C9" s="131" t="s">
        <v>165</v>
      </c>
      <c r="D9" s="130" t="str">
        <f t="shared" si="0"/>
        <v>EUR3x6F_Quote</v>
      </c>
      <c r="E9" s="129" t="str">
        <f>_xll.qlSimpleQuote(D9,,RateTickValue,Permanent,Trigger,ObjectOverwrite)</f>
        <v>EUR3x6F_Quote#0000</v>
      </c>
      <c r="F9" s="128" t="str">
        <f>_xll.ohRangeRetrieveError(E9)</f>
        <v/>
      </c>
      <c r="G9" s="49"/>
      <c r="I9" s="122"/>
      <c r="J9" s="301">
        <v>3</v>
      </c>
      <c r="K9" s="300" t="s">
        <v>165</v>
      </c>
      <c r="L9" s="298" t="str">
        <f t="shared" si="1"/>
        <v>EUR3x6F</v>
      </c>
      <c r="M9" s="298" t="str">
        <v>EUR3X6F=ICAP</v>
      </c>
      <c r="N9" s="299">
        <v>0.26900000000000002</v>
      </c>
      <c r="O9" s="299">
        <v>0.31900000000000001</v>
      </c>
      <c r="P9" s="298">
        <v>0</v>
      </c>
      <c r="Q9" s="298">
        <v>0</v>
      </c>
      <c r="R9" s="262">
        <f>_xll.qlMidSafe($N9,$O9)</f>
        <v>0.29400000000000004</v>
      </c>
      <c r="S9" s="253"/>
      <c r="T9" s="297">
        <v>0.29399999999999998</v>
      </c>
      <c r="U9" s="253"/>
      <c r="V9" s="324">
        <v>0.29399999999999998</v>
      </c>
      <c r="W9" s="258" t="e">
        <f>_xll.qlSimpleQuoteSetValue(E9,V9/100,Trigger)</f>
        <v>#N/A</v>
      </c>
      <c r="X9" s="217"/>
      <c r="Y9" s="17"/>
      <c r="Z9" s="290">
        <f t="shared" si="2"/>
        <v>4.9999999999999936E-4</v>
      </c>
    </row>
    <row r="10" spans="1:26" x14ac:dyDescent="0.2">
      <c r="A10" s="122"/>
      <c r="B10" s="130">
        <v>4</v>
      </c>
      <c r="C10" s="131" t="s">
        <v>164</v>
      </c>
      <c r="D10" s="130" t="str">
        <f t="shared" si="0"/>
        <v>EUR4x7F_Quote</v>
      </c>
      <c r="E10" s="129" t="str">
        <f>_xll.qlSimpleQuote(D10,,RateTickValue,Permanent,Trigger,ObjectOverwrite)</f>
        <v>EUR4x7F_Quote#0000</v>
      </c>
      <c r="F10" s="128" t="str">
        <f>_xll.ohRangeRetrieveError(E10)</f>
        <v/>
      </c>
      <c r="G10" s="49"/>
      <c r="I10" s="122"/>
      <c r="J10" s="301">
        <v>4</v>
      </c>
      <c r="K10" s="300" t="s">
        <v>164</v>
      </c>
      <c r="L10" s="298" t="str">
        <f t="shared" si="1"/>
        <v>EUR4x7F</v>
      </c>
      <c r="M10" s="298" t="str">
        <v>EUR4X7F=ICAP</v>
      </c>
      <c r="N10" s="299">
        <v>0.28599999999999998</v>
      </c>
      <c r="O10" s="299">
        <v>0.33600000000000002</v>
      </c>
      <c r="P10" s="298">
        <v>0</v>
      </c>
      <c r="Q10" s="298">
        <v>0</v>
      </c>
      <c r="R10" s="262">
        <f>_xll.qlMidSafe($N10,$O10)</f>
        <v>0.311</v>
      </c>
      <c r="S10" s="253"/>
      <c r="T10" s="297">
        <v>0.29199999999999998</v>
      </c>
      <c r="U10" s="253"/>
      <c r="V10" s="324">
        <v>0.29199999999999998</v>
      </c>
      <c r="W10" s="258" t="e">
        <f>_xll.qlSimpleQuoteSetValue(E10,V10/100,Trigger)</f>
        <v>#N/A</v>
      </c>
      <c r="X10" s="217"/>
      <c r="Y10" s="17"/>
      <c r="Z10" s="290">
        <f t="shared" si="2"/>
        <v>5.0000000000000044E-4</v>
      </c>
    </row>
    <row r="11" spans="1:26" x14ac:dyDescent="0.2">
      <c r="A11" s="122"/>
      <c r="B11" s="130">
        <v>5</v>
      </c>
      <c r="C11" s="131" t="s">
        <v>163</v>
      </c>
      <c r="D11" s="130" t="str">
        <f t="shared" si="0"/>
        <v>EUR5x8F_Quote</v>
      </c>
      <c r="E11" s="129" t="str">
        <f>_xll.qlSimpleQuote(D11,,RateTickValue,Permanent,Trigger,ObjectOverwrite)</f>
        <v>EUR5x8F_Quote#0000</v>
      </c>
      <c r="F11" s="128" t="str">
        <f>_xll.ohRangeRetrieveError(E11)</f>
        <v/>
      </c>
      <c r="G11" s="49"/>
      <c r="I11" s="122"/>
      <c r="J11" s="301">
        <v>5</v>
      </c>
      <c r="K11" s="300" t="s">
        <v>163</v>
      </c>
      <c r="L11" s="298" t="str">
        <f t="shared" si="1"/>
        <v>EUR5x8F</v>
      </c>
      <c r="M11" s="298" t="str">
        <v>EUR5X8F=ICAP</v>
      </c>
      <c r="N11" s="299">
        <v>0.307</v>
      </c>
      <c r="O11" s="299">
        <v>0.35699999999999998</v>
      </c>
      <c r="P11" s="298">
        <v>0</v>
      </c>
      <c r="Q11" s="298">
        <v>0</v>
      </c>
      <c r="R11" s="262">
        <f>_xll.qlMidSafe($N11,$O11)</f>
        <v>0.33199999999999996</v>
      </c>
      <c r="S11" s="253"/>
      <c r="T11" s="297">
        <v>0.28999999999999998</v>
      </c>
      <c r="U11" s="253"/>
      <c r="V11" s="324">
        <v>0.28999999999999998</v>
      </c>
      <c r="W11" s="258" t="e">
        <f>_xll.qlSimpleQuoteSetValue(E11,V11/100,Trigger)</f>
        <v>#N/A</v>
      </c>
      <c r="X11" s="217"/>
      <c r="Y11" s="17"/>
      <c r="Z11" s="290">
        <f t="shared" si="2"/>
        <v>5.0000000000000044E-4</v>
      </c>
    </row>
    <row r="12" spans="1:26" x14ac:dyDescent="0.2">
      <c r="A12" s="122"/>
      <c r="B12" s="119">
        <v>6</v>
      </c>
      <c r="C12" s="123" t="s">
        <v>162</v>
      </c>
      <c r="D12" s="119" t="str">
        <f t="shared" si="0"/>
        <v>EUR6x9F_Quote</v>
      </c>
      <c r="E12" s="118" t="str">
        <f>_xll.qlSimpleQuote(D12,,RateTickValue,Permanent,Trigger,ObjectOverwrite)</f>
        <v>EUR6x9F_Quote#0000</v>
      </c>
      <c r="F12" s="117" t="str">
        <f>_xll.ohRangeRetrieveError(E12)</f>
        <v/>
      </c>
      <c r="G12" s="49"/>
      <c r="I12" s="122"/>
      <c r="J12" s="306">
        <v>6</v>
      </c>
      <c r="K12" s="305" t="s">
        <v>162</v>
      </c>
      <c r="L12" s="303" t="str">
        <f t="shared" si="1"/>
        <v>EUR6x9F</v>
      </c>
      <c r="M12" s="303" t="str">
        <v>EUR6X9F=ICAP</v>
      </c>
      <c r="N12" s="304">
        <v>0.32700000000000001</v>
      </c>
      <c r="O12" s="304">
        <v>0.377</v>
      </c>
      <c r="P12" s="303">
        <v>0</v>
      </c>
      <c r="Q12" s="303">
        <v>0</v>
      </c>
      <c r="R12" s="255">
        <f>_xll.qlMidSafe($N12,$O12)</f>
        <v>0.35199999999999998</v>
      </c>
      <c r="S12" s="253"/>
      <c r="T12" s="302">
        <v>0.29199999999999998</v>
      </c>
      <c r="U12" s="253"/>
      <c r="V12" s="324">
        <v>0.29199999999999998</v>
      </c>
      <c r="W12" s="258" t="e">
        <f>_xll.qlSimpleQuoteSetValue(E12,V12/100,Trigger)</f>
        <v>#N/A</v>
      </c>
      <c r="X12" s="217"/>
      <c r="Y12" s="17"/>
      <c r="Z12" s="290">
        <f t="shared" si="2"/>
        <v>5.0000000000000044E-4</v>
      </c>
    </row>
    <row r="13" spans="1:26" x14ac:dyDescent="0.2">
      <c r="A13" s="122"/>
      <c r="B13" s="126" t="s">
        <v>161</v>
      </c>
      <c r="C13" s="127" t="s">
        <v>157</v>
      </c>
      <c r="D13" s="126" t="str">
        <f t="shared" si="0"/>
        <v>EURT6F1_Quote</v>
      </c>
      <c r="E13" s="125" t="str">
        <f>_xll.qlSimpleQuote(D13,,RateTickValue,Permanent,Trigger,ObjectOverwrite)</f>
        <v>EURT6F1_Quote#0000</v>
      </c>
      <c r="F13" s="124" t="str">
        <f>_xll.ohRangeRetrieveError(E13)</f>
        <v/>
      </c>
      <c r="G13" s="49"/>
      <c r="I13" s="122"/>
      <c r="J13" s="311" t="s">
        <v>161</v>
      </c>
      <c r="K13" s="310" t="s">
        <v>157</v>
      </c>
      <c r="L13" s="308" t="str">
        <f t="shared" si="1"/>
        <v>EURT6F1</v>
      </c>
      <c r="M13" s="308" t="str">
        <v>EURT6F1=ICAP</v>
      </c>
      <c r="N13" s="309">
        <v>0.318</v>
      </c>
      <c r="O13" s="309">
        <v>0.36799999999999999</v>
      </c>
      <c r="P13" s="308">
        <v>0</v>
      </c>
      <c r="Q13" s="308">
        <v>0</v>
      </c>
      <c r="R13" s="274">
        <f>_xll.qlMidSafe($N13,$O13)</f>
        <v>0.34299999999999997</v>
      </c>
      <c r="S13" s="253"/>
      <c r="T13" s="307" t="e">
        <v>#NUM!</v>
      </c>
      <c r="U13" s="253"/>
      <c r="V13" s="331" t="e">
        <v>#NUM!</v>
      </c>
      <c r="W13" s="270" t="e">
        <f>_xll.qlSimpleQuoteSetValue(E13,V13/100,Trigger)</f>
        <v>#NUM!</v>
      </c>
      <c r="X13" s="217"/>
      <c r="Y13" s="17"/>
      <c r="Z13" s="290">
        <f t="shared" si="2"/>
        <v>5.0000000000000044E-4</v>
      </c>
    </row>
    <row r="14" spans="1:26" x14ac:dyDescent="0.2">
      <c r="A14" s="122"/>
      <c r="B14" s="119" t="s">
        <v>160</v>
      </c>
      <c r="C14" s="123" t="s">
        <v>157</v>
      </c>
      <c r="D14" s="119" t="str">
        <f t="shared" si="0"/>
        <v>EURTOM6F1_Quote</v>
      </c>
      <c r="E14" s="118" t="str">
        <f>_xll.qlSimpleQuote(D14,,RateTickValue,Permanent,Trigger,ObjectOverwrite)</f>
        <v>EURTOM6F1_Quote#0000</v>
      </c>
      <c r="F14" s="117" t="str">
        <f>_xll.ohRangeRetrieveError(E14)</f>
        <v/>
      </c>
      <c r="G14" s="49"/>
      <c r="I14" s="122"/>
      <c r="J14" s="306" t="s">
        <v>160</v>
      </c>
      <c r="K14" s="305" t="s">
        <v>157</v>
      </c>
      <c r="L14" s="303" t="str">
        <f t="shared" si="1"/>
        <v>EURTOM6F1</v>
      </c>
      <c r="M14" s="303" t="str">
        <v>EURTOM6F1=ICAP</v>
      </c>
      <c r="N14" s="304">
        <v>0.31900000000000001</v>
      </c>
      <c r="O14" s="304">
        <v>0.36899999999999999</v>
      </c>
      <c r="P14" s="303">
        <v>0</v>
      </c>
      <c r="Q14" s="303">
        <v>0</v>
      </c>
      <c r="R14" s="255">
        <f>_xll.qlMidSafe($N14,$O14)</f>
        <v>0.34399999999999997</v>
      </c>
      <c r="S14" s="253"/>
      <c r="T14" s="302" t="e">
        <v>#NUM!</v>
      </c>
      <c r="U14" s="253"/>
      <c r="V14" s="317" t="e">
        <v>#NUM!</v>
      </c>
      <c r="W14" s="250" t="e">
        <f>_xll.qlSimpleQuoteSetValue(E14,V14/100,Trigger)</f>
        <v>#NUM!</v>
      </c>
      <c r="X14" s="217"/>
      <c r="Y14" s="17"/>
      <c r="Z14" s="290">
        <f t="shared" si="2"/>
        <v>5.0000000000000044E-4</v>
      </c>
    </row>
    <row r="15" spans="1:26" x14ac:dyDescent="0.2">
      <c r="A15" s="122"/>
      <c r="B15" s="130">
        <v>1</v>
      </c>
      <c r="C15" s="131" t="str">
        <f t="shared" ref="C15:C32" si="3">"x"&amp;B15+6&amp;"F"</f>
        <v>x7F</v>
      </c>
      <c r="D15" s="130" t="str">
        <f t="shared" si="0"/>
        <v>EUR1x7F_Quote</v>
      </c>
      <c r="E15" s="129" t="str">
        <f>_xll.qlSimpleQuote(D15,,RateTickValue,Permanent,Trigger,ObjectOverwrite)</f>
        <v>EUR1x7F_Quote#0000</v>
      </c>
      <c r="F15" s="128" t="str">
        <f>_xll.ohRangeRetrieveError(E15)</f>
        <v/>
      </c>
      <c r="G15" s="49"/>
      <c r="I15" s="122"/>
      <c r="J15" s="301">
        <v>1</v>
      </c>
      <c r="K15" s="300" t="str">
        <f t="shared" ref="K15:K32" si="4">"x"&amp;J15+6&amp;"F"</f>
        <v>x7F</v>
      </c>
      <c r="L15" s="298" t="str">
        <f t="shared" si="1"/>
        <v>EUR1x7F</v>
      </c>
      <c r="M15" s="298" t="str">
        <v>EUR1X7F=ICAP</v>
      </c>
      <c r="N15" s="299">
        <v>0.34699999999999998</v>
      </c>
      <c r="O15" s="299">
        <v>0.39700000000000002</v>
      </c>
      <c r="P15" s="298">
        <v>0</v>
      </c>
      <c r="Q15" s="298">
        <v>0</v>
      </c>
      <c r="R15" s="262">
        <f>_xll.qlMidSafe($N15,$O15)</f>
        <v>0.372</v>
      </c>
      <c r="S15" s="253"/>
      <c r="T15" s="297">
        <v>0.40200000000000002</v>
      </c>
      <c r="U15" s="253"/>
      <c r="V15" s="324">
        <v>0.40200000000000002</v>
      </c>
      <c r="W15" s="258" t="e">
        <f>_xll.qlSimpleQuoteSetValue(E15,V15/100,Trigger)</f>
        <v>#N/A</v>
      </c>
      <c r="X15" s="217"/>
      <c r="Y15" s="17"/>
      <c r="Z15" s="290">
        <f t="shared" si="2"/>
        <v>5.0000000000000044E-4</v>
      </c>
    </row>
    <row r="16" spans="1:26" x14ac:dyDescent="0.2">
      <c r="A16" s="122"/>
      <c r="B16" s="130">
        <v>2</v>
      </c>
      <c r="C16" s="131" t="str">
        <f t="shared" si="3"/>
        <v>x8F</v>
      </c>
      <c r="D16" s="130" t="str">
        <f t="shared" si="0"/>
        <v>EUR2x8F_Quote</v>
      </c>
      <c r="E16" s="129" t="str">
        <f>_xll.qlSimpleQuote(D16,,RateTickValue,Permanent,Trigger,ObjectOverwrite)</f>
        <v>EUR2x8F_Quote#0000</v>
      </c>
      <c r="F16" s="128" t="str">
        <f>_xll.ohRangeRetrieveError(E16)</f>
        <v/>
      </c>
      <c r="G16" s="49"/>
      <c r="I16" s="122"/>
      <c r="J16" s="301">
        <v>2</v>
      </c>
      <c r="K16" s="300" t="str">
        <f t="shared" si="4"/>
        <v>x8F</v>
      </c>
      <c r="L16" s="298" t="str">
        <f t="shared" si="1"/>
        <v>EUR2x8F</v>
      </c>
      <c r="M16" s="298" t="str">
        <v>EUR2X8F=ICAP</v>
      </c>
      <c r="N16" s="299">
        <v>0.371</v>
      </c>
      <c r="O16" s="299">
        <v>0.42099999999999999</v>
      </c>
      <c r="P16" s="298">
        <v>0</v>
      </c>
      <c r="Q16" s="298">
        <v>0</v>
      </c>
      <c r="R16" s="262">
        <f>_xll.qlMidSafe($N16,$O16)</f>
        <v>0.39600000000000002</v>
      </c>
      <c r="S16" s="253"/>
      <c r="T16" s="297">
        <v>0.4</v>
      </c>
      <c r="U16" s="253"/>
      <c r="V16" s="324">
        <v>0.4</v>
      </c>
      <c r="W16" s="258" t="e">
        <f>_xll.qlSimpleQuoteSetValue(E16,V16/100,Trigger)</f>
        <v>#N/A</v>
      </c>
      <c r="X16" s="217"/>
      <c r="Y16" s="17"/>
      <c r="Z16" s="290">
        <f t="shared" si="2"/>
        <v>4.9999999999999936E-4</v>
      </c>
    </row>
    <row r="17" spans="1:26" x14ac:dyDescent="0.2">
      <c r="A17" s="122"/>
      <c r="B17" s="130">
        <v>3</v>
      </c>
      <c r="C17" s="131" t="str">
        <f t="shared" si="3"/>
        <v>x9F</v>
      </c>
      <c r="D17" s="130" t="str">
        <f t="shared" si="0"/>
        <v>EUR3x9F_Quote</v>
      </c>
      <c r="E17" s="129" t="str">
        <f>_xll.qlSimpleQuote(D17,,RateTickValue,Permanent,Trigger,ObjectOverwrite)</f>
        <v>EUR3x9F_Quote#0000</v>
      </c>
      <c r="F17" s="128" t="str">
        <f>_xll.ohRangeRetrieveError(E17)</f>
        <v/>
      </c>
      <c r="G17" s="49"/>
      <c r="I17" s="122"/>
      <c r="J17" s="301">
        <v>3</v>
      </c>
      <c r="K17" s="300" t="str">
        <f t="shared" si="4"/>
        <v>x9F</v>
      </c>
      <c r="L17" s="298" t="str">
        <f t="shared" si="1"/>
        <v>EUR3x9F</v>
      </c>
      <c r="M17" s="298" t="str">
        <v>EUR3X9F=ICAP</v>
      </c>
      <c r="N17" s="299">
        <v>0.40300000000000002</v>
      </c>
      <c r="O17" s="299">
        <v>0.45300000000000001</v>
      </c>
      <c r="P17" s="298">
        <v>0</v>
      </c>
      <c r="Q17" s="298">
        <v>0</v>
      </c>
      <c r="R17" s="262">
        <f>_xll.qlMidSafe($N17,$O17)</f>
        <v>0.42800000000000005</v>
      </c>
      <c r="S17" s="253"/>
      <c r="T17" s="297">
        <v>0.40100000000000002</v>
      </c>
      <c r="U17" s="253"/>
      <c r="V17" s="324">
        <v>0.40100000000000002</v>
      </c>
      <c r="W17" s="258" t="e">
        <f>_xll.qlSimpleQuoteSetValue(E17,V17/100,Trigger)</f>
        <v>#N/A</v>
      </c>
      <c r="X17" s="217"/>
      <c r="Y17" s="17"/>
      <c r="Z17" s="290">
        <f t="shared" si="2"/>
        <v>4.9999999999999936E-4</v>
      </c>
    </row>
    <row r="18" spans="1:26" x14ac:dyDescent="0.2">
      <c r="A18" s="122"/>
      <c r="B18" s="130">
        <v>4</v>
      </c>
      <c r="C18" s="131" t="str">
        <f t="shared" si="3"/>
        <v>x10F</v>
      </c>
      <c r="D18" s="130" t="str">
        <f t="shared" si="0"/>
        <v>EUR4x10F_Quote</v>
      </c>
      <c r="E18" s="129" t="str">
        <f>_xll.qlSimpleQuote(D18,,RateTickValue,Permanent,Trigger,ObjectOverwrite)</f>
        <v>EUR4x10F_Quote#0000</v>
      </c>
      <c r="F18" s="128" t="str">
        <f>_xll.ohRangeRetrieveError(E18)</f>
        <v/>
      </c>
      <c r="G18" s="49"/>
      <c r="I18" s="122"/>
      <c r="J18" s="301">
        <v>4</v>
      </c>
      <c r="K18" s="300" t="str">
        <f t="shared" si="4"/>
        <v>x10F</v>
      </c>
      <c r="L18" s="298" t="str">
        <f t="shared" si="1"/>
        <v>EUR4x10F</v>
      </c>
      <c r="M18" s="298" t="str">
        <v>EUR4X10F=ICAP</v>
      </c>
      <c r="N18" s="299">
        <v>0.42599999999999999</v>
      </c>
      <c r="O18" s="299">
        <v>0.47599999999999998</v>
      </c>
      <c r="P18" s="298">
        <v>0</v>
      </c>
      <c r="Q18" s="298">
        <v>0</v>
      </c>
      <c r="R18" s="262">
        <f>_xll.qlMidSafe($N18,$O18)</f>
        <v>0.45099999999999996</v>
      </c>
      <c r="S18" s="253"/>
      <c r="T18" s="297">
        <v>0.40300000000000002</v>
      </c>
      <c r="U18" s="253"/>
      <c r="V18" s="324">
        <v>0.40300000000000002</v>
      </c>
      <c r="W18" s="258" t="e">
        <f>_xll.qlSimpleQuoteSetValue(E18,V18/100,Trigger)</f>
        <v>#N/A</v>
      </c>
      <c r="X18" s="217"/>
      <c r="Y18" s="17"/>
      <c r="Z18" s="290">
        <f t="shared" si="2"/>
        <v>5.0000000000000044E-4</v>
      </c>
    </row>
    <row r="19" spans="1:26" x14ac:dyDescent="0.2">
      <c r="A19" s="122"/>
      <c r="B19" s="130">
        <v>5</v>
      </c>
      <c r="C19" s="131" t="str">
        <f t="shared" si="3"/>
        <v>x11F</v>
      </c>
      <c r="D19" s="130" t="str">
        <f t="shared" si="0"/>
        <v>EUR5x11F_Quote</v>
      </c>
      <c r="E19" s="129" t="str">
        <f>_xll.qlSimpleQuote(D19,,RateTickValue,Permanent,Trigger,ObjectOverwrite)</f>
        <v>EUR5x11F_Quote#0000</v>
      </c>
      <c r="F19" s="128" t="str">
        <f>_xll.ohRangeRetrieveError(E19)</f>
        <v/>
      </c>
      <c r="G19" s="49"/>
      <c r="I19" s="122"/>
      <c r="J19" s="301">
        <v>5</v>
      </c>
      <c r="K19" s="300" t="str">
        <f t="shared" si="4"/>
        <v>x11F</v>
      </c>
      <c r="L19" s="298" t="str">
        <f t="shared" si="1"/>
        <v>EUR5x11F</v>
      </c>
      <c r="M19" s="298" t="str">
        <v>EUR5X11F=ICAP</v>
      </c>
      <c r="N19" s="299">
        <v>0.45200000000000001</v>
      </c>
      <c r="O19" s="299">
        <v>0.502</v>
      </c>
      <c r="P19" s="298">
        <v>0</v>
      </c>
      <c r="Q19" s="298">
        <v>0</v>
      </c>
      <c r="R19" s="262">
        <f>_xll.qlMidSafe($N19,$O19)</f>
        <v>0.47699999999999998</v>
      </c>
      <c r="S19" s="253"/>
      <c r="T19" s="297">
        <v>0.40500000000000003</v>
      </c>
      <c r="U19" s="253"/>
      <c r="V19" s="324">
        <v>0.40500000000000003</v>
      </c>
      <c r="W19" s="258" t="e">
        <f>_xll.qlSimpleQuoteSetValue(E19,V19/100,Trigger)</f>
        <v>#N/A</v>
      </c>
      <c r="X19" s="217"/>
      <c r="Y19" s="17"/>
      <c r="Z19" s="290">
        <f t="shared" si="2"/>
        <v>5.0000000000000044E-4</v>
      </c>
    </row>
    <row r="20" spans="1:26" x14ac:dyDescent="0.2">
      <c r="A20" s="122"/>
      <c r="B20" s="130">
        <v>6</v>
      </c>
      <c r="C20" s="131" t="str">
        <f t="shared" si="3"/>
        <v>x12F</v>
      </c>
      <c r="D20" s="130" t="str">
        <f t="shared" si="0"/>
        <v>EUR6x12F_Quote</v>
      </c>
      <c r="E20" s="129" t="str">
        <f>_xll.qlSimpleQuote(D20,,RateTickValue,Permanent,Trigger,ObjectOverwrite)</f>
        <v>EUR6x12F_Quote#0000</v>
      </c>
      <c r="F20" s="128" t="str">
        <f>_xll.ohRangeRetrieveError(E20)</f>
        <v/>
      </c>
      <c r="G20" s="49"/>
      <c r="I20" s="122"/>
      <c r="J20" s="301">
        <v>6</v>
      </c>
      <c r="K20" s="300" t="str">
        <f t="shared" si="4"/>
        <v>x12F</v>
      </c>
      <c r="L20" s="298" t="str">
        <f t="shared" si="1"/>
        <v>EUR6x12F</v>
      </c>
      <c r="M20" s="298" t="str">
        <v>EUR6X12F=ICAP</v>
      </c>
      <c r="N20" s="299">
        <v>0.47499999999999998</v>
      </c>
      <c r="O20" s="299">
        <v>0.52500000000000002</v>
      </c>
      <c r="P20" s="298">
        <v>0</v>
      </c>
      <c r="Q20" s="298">
        <v>0</v>
      </c>
      <c r="R20" s="262">
        <f>_xll.qlMidSafe($N20,$O20)</f>
        <v>0.5</v>
      </c>
      <c r="S20" s="253"/>
      <c r="T20" s="297">
        <v>0.41399999999999998</v>
      </c>
      <c r="U20" s="253"/>
      <c r="V20" s="324">
        <v>0.41399999999999998</v>
      </c>
      <c r="W20" s="258" t="e">
        <f>_xll.qlSimpleQuoteSetValue(E20,V20/100,Trigger)</f>
        <v>#N/A</v>
      </c>
      <c r="X20" s="217"/>
      <c r="Y20" s="17"/>
      <c r="Z20" s="290">
        <f t="shared" si="2"/>
        <v>5.0000000000000044E-4</v>
      </c>
    </row>
    <row r="21" spans="1:26" x14ac:dyDescent="0.2">
      <c r="A21" s="122"/>
      <c r="B21" s="130">
        <v>7</v>
      </c>
      <c r="C21" s="131" t="str">
        <f t="shared" si="3"/>
        <v>x13F</v>
      </c>
      <c r="D21" s="130" t="str">
        <f t="shared" si="0"/>
        <v>EUR7x13F_Quote</v>
      </c>
      <c r="E21" s="129" t="str">
        <f>_xll.qlSimpleQuote(D21,,RateTickValue,Permanent,Trigger,ObjectOverwrite)</f>
        <v>EUR7x13F_Quote#0000</v>
      </c>
      <c r="F21" s="128" t="str">
        <f>_xll.ohRangeRetrieveError(E21)</f>
        <v/>
      </c>
      <c r="G21" s="49"/>
      <c r="I21" s="122"/>
      <c r="J21" s="301">
        <v>7</v>
      </c>
      <c r="K21" s="300" t="str">
        <f t="shared" si="4"/>
        <v>x13F</v>
      </c>
      <c r="L21" s="298" t="str">
        <f t="shared" si="1"/>
        <v>EUR7x13F</v>
      </c>
      <c r="M21" s="298" t="str">
        <v>EUR7X13F=ICAP</v>
      </c>
      <c r="N21" s="299">
        <v>0.501</v>
      </c>
      <c r="O21" s="299">
        <v>0.55100000000000005</v>
      </c>
      <c r="P21" s="298">
        <v>0</v>
      </c>
      <c r="Q21" s="298">
        <v>0</v>
      </c>
      <c r="R21" s="262">
        <f>_xll.qlMidSafe($N21,$O21)</f>
        <v>0.52600000000000002</v>
      </c>
      <c r="S21" s="253"/>
      <c r="T21" s="297">
        <v>0.42099999999999999</v>
      </c>
      <c r="U21" s="253"/>
      <c r="V21" s="324">
        <v>0.42099999999999999</v>
      </c>
      <c r="W21" s="258" t="e">
        <f>_xll.qlSimpleQuoteSetValue(E21,V21/100,Trigger)</f>
        <v>#N/A</v>
      </c>
      <c r="X21" s="217"/>
      <c r="Y21" s="17"/>
      <c r="Z21" s="290">
        <f t="shared" si="2"/>
        <v>5.0000000000000044E-4</v>
      </c>
    </row>
    <row r="22" spans="1:26" x14ac:dyDescent="0.2">
      <c r="A22" s="122"/>
      <c r="B22" s="130">
        <v>8</v>
      </c>
      <c r="C22" s="131" t="str">
        <f t="shared" si="3"/>
        <v>x14F</v>
      </c>
      <c r="D22" s="130" t="str">
        <f t="shared" si="0"/>
        <v>EUR8x14F_Quote</v>
      </c>
      <c r="E22" s="129" t="str">
        <f>_xll.qlSimpleQuote(D22,,RateTickValue,Permanent,Trigger,ObjectOverwrite)</f>
        <v>EUR8x14F_Quote#0000</v>
      </c>
      <c r="F22" s="128" t="str">
        <f>_xll.ohRangeRetrieveError(E22)</f>
        <v/>
      </c>
      <c r="G22" s="49"/>
      <c r="I22" s="122"/>
      <c r="J22" s="301">
        <v>8</v>
      </c>
      <c r="K22" s="300" t="str">
        <f t="shared" si="4"/>
        <v>x14F</v>
      </c>
      <c r="L22" s="298" t="str">
        <f t="shared" si="1"/>
        <v>EUR8x14F</v>
      </c>
      <c r="M22" s="298" t="str">
        <v>EUR8X14F=ICAP</v>
      </c>
      <c r="N22" s="299">
        <v>0.52500000000000002</v>
      </c>
      <c r="O22" s="299">
        <v>0.57499999999999996</v>
      </c>
      <c r="P22" s="298">
        <v>0</v>
      </c>
      <c r="Q22" s="298">
        <v>0</v>
      </c>
      <c r="R22" s="262">
        <f>_xll.qlMidSafe($N22,$O22)</f>
        <v>0.55000000000000004</v>
      </c>
      <c r="S22" s="253"/>
      <c r="T22" s="297">
        <v>0.43</v>
      </c>
      <c r="U22" s="253"/>
      <c r="V22" s="324">
        <v>0.43</v>
      </c>
      <c r="W22" s="258" t="e">
        <f>_xll.qlSimpleQuoteSetValue(E22,V22/100,Trigger)</f>
        <v>#N/A</v>
      </c>
      <c r="X22" s="217"/>
      <c r="Y22" s="17"/>
      <c r="Z22" s="290">
        <f t="shared" si="2"/>
        <v>4.9999999999999828E-4</v>
      </c>
    </row>
    <row r="23" spans="1:26" x14ac:dyDescent="0.2">
      <c r="A23" s="122"/>
      <c r="B23" s="130">
        <v>9</v>
      </c>
      <c r="C23" s="131" t="str">
        <f t="shared" si="3"/>
        <v>x15F</v>
      </c>
      <c r="D23" s="130" t="str">
        <f t="shared" si="0"/>
        <v>EUR9x15F_Quote</v>
      </c>
      <c r="E23" s="129" t="str">
        <f>_xll.qlSimpleQuote(D23,,RateTickValue,Permanent,Trigger,ObjectOverwrite)</f>
        <v>EUR9x15F_Quote#0000</v>
      </c>
      <c r="F23" s="128" t="str">
        <f>_xll.ohRangeRetrieveError(E23)</f>
        <v/>
      </c>
      <c r="G23" s="49"/>
      <c r="I23" s="122"/>
      <c r="J23" s="301">
        <v>9</v>
      </c>
      <c r="K23" s="300" t="str">
        <f t="shared" si="4"/>
        <v>x15F</v>
      </c>
      <c r="L23" s="298" t="str">
        <f t="shared" si="1"/>
        <v>EUR9x15F</v>
      </c>
      <c r="M23" s="298" t="str">
        <v>EUR9X15F=ICAP</v>
      </c>
      <c r="N23" s="299">
        <v>0.55000000000000004</v>
      </c>
      <c r="O23" s="299">
        <v>0.6</v>
      </c>
      <c r="P23" s="298">
        <v>0</v>
      </c>
      <c r="Q23" s="298">
        <v>0</v>
      </c>
      <c r="R23" s="262">
        <f>_xll.qlMidSafe($N23,$O23)</f>
        <v>0.57499999999999996</v>
      </c>
      <c r="S23" s="253"/>
      <c r="T23" s="297">
        <v>0.443</v>
      </c>
      <c r="U23" s="253"/>
      <c r="V23" s="324">
        <v>0.443</v>
      </c>
      <c r="W23" s="258" t="e">
        <f>_xll.qlSimpleQuoteSetValue(E23,V23/100,Trigger)</f>
        <v>#N/A</v>
      </c>
      <c r="X23" s="217"/>
      <c r="Y23" s="17"/>
      <c r="Z23" s="290">
        <f t="shared" si="2"/>
        <v>5.0000000000000044E-4</v>
      </c>
    </row>
    <row r="24" spans="1:26" x14ac:dyDescent="0.2">
      <c r="A24" s="122"/>
      <c r="B24" s="130">
        <v>10</v>
      </c>
      <c r="C24" s="131" t="str">
        <f t="shared" si="3"/>
        <v>x16F</v>
      </c>
      <c r="D24" s="130" t="str">
        <f t="shared" si="0"/>
        <v>EUR10x16F_Quote</v>
      </c>
      <c r="E24" s="129" t="str">
        <f>_xll.qlSimpleQuote(D24,,RateTickValue,Permanent,Trigger,ObjectOverwrite)</f>
        <v>EUR10x16F_Quote#0000</v>
      </c>
      <c r="F24" s="128" t="str">
        <f>_xll.ohRangeRetrieveError(E24)</f>
        <v/>
      </c>
      <c r="G24" s="49"/>
      <c r="I24" s="122"/>
      <c r="J24" s="301">
        <v>10</v>
      </c>
      <c r="K24" s="300" t="str">
        <f t="shared" si="4"/>
        <v>x16F</v>
      </c>
      <c r="L24" s="298" t="str">
        <f t="shared" si="1"/>
        <v>EUR10x16F</v>
      </c>
      <c r="M24" s="298" t="str">
        <v>EUR10X16F=ICAP</v>
      </c>
      <c r="N24" s="299">
        <v>0.57199999999999995</v>
      </c>
      <c r="O24" s="299">
        <v>0.622</v>
      </c>
      <c r="P24" s="298">
        <v>0</v>
      </c>
      <c r="Q24" s="298">
        <v>0</v>
      </c>
      <c r="R24" s="262">
        <f>_xll.qlMidSafe($N24,$O24)</f>
        <v>0.59699999999999998</v>
      </c>
      <c r="S24" s="253"/>
      <c r="T24" s="297">
        <v>0.45700000000000002</v>
      </c>
      <c r="U24" s="253"/>
      <c r="V24" s="324">
        <v>0.45700000000000002</v>
      </c>
      <c r="W24" s="258" t="e">
        <f>_xll.qlSimpleQuoteSetValue(E24,V24/100,Trigger)</f>
        <v>#N/A</v>
      </c>
      <c r="X24" s="217"/>
      <c r="Y24" s="17"/>
      <c r="Z24" s="290">
        <f t="shared" si="2"/>
        <v>5.0000000000000044E-4</v>
      </c>
    </row>
    <row r="25" spans="1:26" x14ac:dyDescent="0.2">
      <c r="A25" s="122"/>
      <c r="B25" s="130">
        <v>11</v>
      </c>
      <c r="C25" s="131" t="str">
        <f t="shared" si="3"/>
        <v>x17F</v>
      </c>
      <c r="D25" s="130" t="str">
        <f t="shared" si="0"/>
        <v>EUR11x17F_Quote</v>
      </c>
      <c r="E25" s="129" t="str">
        <f>_xll.qlSimpleQuote(D25,,RateTickValue,Permanent,Trigger,ObjectOverwrite)</f>
        <v>EUR11x17F_Quote#0000</v>
      </c>
      <c r="F25" s="128" t="str">
        <f>_xll.ohRangeRetrieveError(E25)</f>
        <v/>
      </c>
      <c r="G25" s="49"/>
      <c r="I25" s="122"/>
      <c r="J25" s="301">
        <v>11</v>
      </c>
      <c r="K25" s="300" t="str">
        <f t="shared" si="4"/>
        <v>x17F</v>
      </c>
      <c r="L25" s="298" t="str">
        <f t="shared" si="1"/>
        <v>EUR11x17F</v>
      </c>
      <c r="M25" s="298" t="str">
        <v>EUR11X17F=ICAP</v>
      </c>
      <c r="N25" s="299">
        <v>0.59799999999999998</v>
      </c>
      <c r="O25" s="299">
        <v>0.64800000000000002</v>
      </c>
      <c r="P25" s="298">
        <v>0</v>
      </c>
      <c r="Q25" s="298">
        <v>0</v>
      </c>
      <c r="R25" s="262">
        <f>_xll.qlMidSafe($N25,$O25)</f>
        <v>0.623</v>
      </c>
      <c r="S25" s="253"/>
      <c r="T25" s="297">
        <v>0.47</v>
      </c>
      <c r="U25" s="253"/>
      <c r="V25" s="324">
        <v>0.47</v>
      </c>
      <c r="W25" s="258" t="e">
        <f>_xll.qlSimpleQuoteSetValue(E25,V25/100,Trigger)</f>
        <v>#N/A</v>
      </c>
      <c r="X25" s="217"/>
      <c r="Y25" s="17"/>
      <c r="Z25" s="290">
        <f t="shared" si="2"/>
        <v>5.0000000000000044E-4</v>
      </c>
    </row>
    <row r="26" spans="1:26" x14ac:dyDescent="0.2">
      <c r="A26" s="122"/>
      <c r="B26" s="130">
        <v>12</v>
      </c>
      <c r="C26" s="131" t="str">
        <f t="shared" si="3"/>
        <v>x18F</v>
      </c>
      <c r="D26" s="130" t="str">
        <f t="shared" si="0"/>
        <v>EUR12x18F_Quote</v>
      </c>
      <c r="E26" s="129" t="str">
        <f>_xll.qlSimpleQuote(D26,,RateTickValue,Permanent,Trigger,ObjectOverwrite)</f>
        <v>EUR12x18F_Quote#0000</v>
      </c>
      <c r="F26" s="128" t="str">
        <f>_xll.ohRangeRetrieveError(E26)</f>
        <v/>
      </c>
      <c r="G26" s="49"/>
      <c r="I26" s="122"/>
      <c r="J26" s="301">
        <v>12</v>
      </c>
      <c r="K26" s="300" t="str">
        <f t="shared" si="4"/>
        <v>x18F</v>
      </c>
      <c r="L26" s="298" t="str">
        <f t="shared" si="1"/>
        <v>EUR12x18F</v>
      </c>
      <c r="M26" s="298" t="str">
        <v>EUR12X18F=ICAP</v>
      </c>
      <c r="N26" s="299">
        <v>0.622</v>
      </c>
      <c r="O26" s="299">
        <v>0.67200000000000004</v>
      </c>
      <c r="P26" s="298">
        <v>0</v>
      </c>
      <c r="Q26" s="298">
        <v>0</v>
      </c>
      <c r="R26" s="262">
        <f>_xll.qlMidSafe($N26,$O26)</f>
        <v>0.64700000000000002</v>
      </c>
      <c r="S26" s="253"/>
      <c r="T26" s="297">
        <v>0.48799999999999999</v>
      </c>
      <c r="U26" s="253"/>
      <c r="V26" s="324">
        <v>0.48799999999999999</v>
      </c>
      <c r="W26" s="258" t="e">
        <f>_xll.qlSimpleQuoteSetValue(E26,V26/100,Trigger)</f>
        <v>#N/A</v>
      </c>
      <c r="X26" s="217"/>
      <c r="Y26" s="17"/>
      <c r="Z26" s="290">
        <f t="shared" si="2"/>
        <v>5.0000000000000044E-4</v>
      </c>
    </row>
    <row r="27" spans="1:26" x14ac:dyDescent="0.2">
      <c r="A27" s="122"/>
      <c r="B27" s="130">
        <v>13</v>
      </c>
      <c r="C27" s="131" t="str">
        <f t="shared" si="3"/>
        <v>x19F</v>
      </c>
      <c r="D27" s="130" t="str">
        <f t="shared" si="0"/>
        <v>EUR13x19F_Quote</v>
      </c>
      <c r="E27" s="129" t="str">
        <f>_xll.qlSimpleQuote(D27,,RateTickValue,Permanent,Trigger,ObjectOverwrite)</f>
        <v>EUR13x19F_Quote#0000</v>
      </c>
      <c r="F27" s="128" t="str">
        <f>_xll.ohRangeRetrieveError(E27)</f>
        <v/>
      </c>
      <c r="G27" s="49"/>
      <c r="I27" s="122"/>
      <c r="J27" s="301">
        <v>13</v>
      </c>
      <c r="K27" s="300" t="str">
        <f t="shared" si="4"/>
        <v>x19F</v>
      </c>
      <c r="L27" s="298" t="str">
        <f t="shared" si="1"/>
        <v>EUR13x19F</v>
      </c>
      <c r="M27" s="298" t="str">
        <v>EUR13X19F=ICAP</v>
      </c>
      <c r="N27" s="299">
        <v>0.64200000000000002</v>
      </c>
      <c r="O27" s="299">
        <v>0.69199999999999995</v>
      </c>
      <c r="P27" s="298">
        <v>0</v>
      </c>
      <c r="Q27" s="298">
        <v>0</v>
      </c>
      <c r="R27" s="262">
        <f>_xll.qlMidSafe($N27,$O27)</f>
        <v>0.66700000000000004</v>
      </c>
      <c r="S27" s="253"/>
      <c r="T27" s="297">
        <v>0.50800000000000001</v>
      </c>
      <c r="U27" s="253"/>
      <c r="V27" s="324">
        <v>0.50800000000000001</v>
      </c>
      <c r="W27" s="258" t="e">
        <f>_xll.qlSimpleQuoteSetValue(E27,V27/100,Trigger)</f>
        <v>#N/A</v>
      </c>
      <c r="X27" s="217"/>
      <c r="Y27" s="17"/>
      <c r="Z27" s="290">
        <f t="shared" si="2"/>
        <v>4.9999999999999828E-4</v>
      </c>
    </row>
    <row r="28" spans="1:26" x14ac:dyDescent="0.2">
      <c r="A28" s="122"/>
      <c r="B28" s="130">
        <v>14</v>
      </c>
      <c r="C28" s="131" t="str">
        <f t="shared" si="3"/>
        <v>x20F</v>
      </c>
      <c r="D28" s="130" t="str">
        <f t="shared" si="0"/>
        <v>EUR14x20F_Quote</v>
      </c>
      <c r="E28" s="129" t="str">
        <f>_xll.qlSimpleQuote(D28,,RateTickValue,Permanent,Trigger,ObjectOverwrite)</f>
        <v>EUR14x20F_Quote#0000</v>
      </c>
      <c r="F28" s="128" t="str">
        <f>_xll.ohRangeRetrieveError(E28)</f>
        <v/>
      </c>
      <c r="G28" s="49"/>
      <c r="I28" s="122"/>
      <c r="J28" s="301">
        <v>14</v>
      </c>
      <c r="K28" s="300" t="str">
        <f t="shared" si="4"/>
        <v>x20F</v>
      </c>
      <c r="L28" s="298" t="str">
        <f t="shared" si="1"/>
        <v>EUR14x20F</v>
      </c>
      <c r="M28" s="298" t="str">
        <v>EUR14X20F=ICAP</v>
      </c>
      <c r="N28" s="299">
        <v>0.66500000000000004</v>
      </c>
      <c r="O28" s="299">
        <v>0.71499999999999997</v>
      </c>
      <c r="P28" s="298">
        <v>0</v>
      </c>
      <c r="Q28" s="298">
        <v>0</v>
      </c>
      <c r="R28" s="262">
        <f>_xll.qlMidSafe($N28,$O28)</f>
        <v>0.69</v>
      </c>
      <c r="S28" s="253"/>
      <c r="T28" s="297">
        <v>0.52500000000000002</v>
      </c>
      <c r="U28" s="253"/>
      <c r="V28" s="324">
        <v>0.52500000000000002</v>
      </c>
      <c r="W28" s="258" t="e">
        <f>_xll.qlSimpleQuoteSetValue(E28,V28/100,Trigger)</f>
        <v>#N/A</v>
      </c>
      <c r="X28" s="217"/>
      <c r="Y28" s="17"/>
      <c r="Z28" s="290">
        <f t="shared" si="2"/>
        <v>5.0000000000000044E-4</v>
      </c>
    </row>
    <row r="29" spans="1:26" x14ac:dyDescent="0.2">
      <c r="A29" s="122"/>
      <c r="B29" s="130">
        <v>15</v>
      </c>
      <c r="C29" s="131" t="str">
        <f t="shared" si="3"/>
        <v>x21F</v>
      </c>
      <c r="D29" s="130" t="str">
        <f t="shared" si="0"/>
        <v>EUR15x21F_Quote</v>
      </c>
      <c r="E29" s="129" t="str">
        <f>_xll.qlSimpleQuote(D29,,RateTickValue,Permanent,Trigger,ObjectOverwrite)</f>
        <v>EUR15x21F_Quote#0000</v>
      </c>
      <c r="F29" s="128" t="str">
        <f>_xll.ohRangeRetrieveError(E29)</f>
        <v/>
      </c>
      <c r="G29" s="49"/>
      <c r="I29" s="122"/>
      <c r="J29" s="301">
        <v>15</v>
      </c>
      <c r="K29" s="300" t="str">
        <f t="shared" si="4"/>
        <v>x21F</v>
      </c>
      <c r="L29" s="298" t="str">
        <f t="shared" si="1"/>
        <v>EUR15x21F</v>
      </c>
      <c r="M29" s="298" t="str">
        <v>EUR15X21F=ICAP</v>
      </c>
      <c r="N29" s="299">
        <v>0.68799999999999994</v>
      </c>
      <c r="O29" s="299">
        <v>0.73799999999999999</v>
      </c>
      <c r="P29" s="298">
        <v>0</v>
      </c>
      <c r="Q29" s="298">
        <v>0</v>
      </c>
      <c r="R29" s="262">
        <f>_xll.qlMidSafe($N29,$O29)</f>
        <v>0.71299999999999997</v>
      </c>
      <c r="S29" s="253"/>
      <c r="T29" s="297">
        <v>0.54900000000000004</v>
      </c>
      <c r="U29" s="253"/>
      <c r="V29" s="324">
        <v>0.54900000000000004</v>
      </c>
      <c r="W29" s="258" t="e">
        <f>_xll.qlSimpleQuoteSetValue(E29,V29/100,Trigger)</f>
        <v>#N/A</v>
      </c>
      <c r="X29" s="217"/>
      <c r="Y29" s="17"/>
      <c r="Z29" s="290">
        <f t="shared" si="2"/>
        <v>5.0000000000000044E-4</v>
      </c>
    </row>
    <row r="30" spans="1:26" x14ac:dyDescent="0.2">
      <c r="A30" s="122"/>
      <c r="B30" s="130">
        <v>16</v>
      </c>
      <c r="C30" s="131" t="str">
        <f t="shared" si="3"/>
        <v>x22F</v>
      </c>
      <c r="D30" s="130" t="str">
        <f t="shared" si="0"/>
        <v>EUR16x22F_Quote</v>
      </c>
      <c r="E30" s="129" t="str">
        <f>_xll.qlSimpleQuote(D30,,RateTickValue,Permanent,Trigger,ObjectOverwrite)</f>
        <v>EUR16x22F_Quote#0000</v>
      </c>
      <c r="F30" s="128" t="str">
        <f>_xll.ohRangeRetrieveError(E30)</f>
        <v/>
      </c>
      <c r="G30" s="49"/>
      <c r="I30" s="122"/>
      <c r="J30" s="301">
        <v>16</v>
      </c>
      <c r="K30" s="300" t="str">
        <f t="shared" si="4"/>
        <v>x22F</v>
      </c>
      <c r="L30" s="298" t="str">
        <f t="shared" si="1"/>
        <v>EUR16x22F</v>
      </c>
      <c r="M30" s="298" t="str">
        <v>EUR16X22F=ICAP</v>
      </c>
      <c r="N30" s="299">
        <v>0.71</v>
      </c>
      <c r="O30" s="299">
        <v>0.76</v>
      </c>
      <c r="P30" s="298">
        <v>0</v>
      </c>
      <c r="Q30" s="298">
        <v>0</v>
      </c>
      <c r="R30" s="262">
        <f>_xll.qlMidSafe($N30,$O30)</f>
        <v>0.73499999999999999</v>
      </c>
      <c r="S30" s="253"/>
      <c r="T30" s="297">
        <v>0.57299999999999995</v>
      </c>
      <c r="U30" s="253"/>
      <c r="V30" s="324">
        <v>0.57299999999999995</v>
      </c>
      <c r="W30" s="258" t="e">
        <f>_xll.qlSimpleQuoteSetValue(E30,V30/100,Trigger)</f>
        <v>#N/A</v>
      </c>
      <c r="X30" s="217"/>
      <c r="Y30" s="17"/>
      <c r="Z30" s="290">
        <f t="shared" si="2"/>
        <v>5.0000000000000044E-4</v>
      </c>
    </row>
    <row r="31" spans="1:26" x14ac:dyDescent="0.2">
      <c r="A31" s="122"/>
      <c r="B31" s="130">
        <v>17</v>
      </c>
      <c r="C31" s="131" t="str">
        <f t="shared" si="3"/>
        <v>x23F</v>
      </c>
      <c r="D31" s="130" t="str">
        <f t="shared" si="0"/>
        <v>EUR17x23F_Quote</v>
      </c>
      <c r="E31" s="129" t="str">
        <f>_xll.qlSimpleQuote(D31,,RateTickValue,Permanent,Trigger,ObjectOverwrite)</f>
        <v>EUR17x23F_Quote#0000</v>
      </c>
      <c r="F31" s="128" t="str">
        <f>_xll.ohRangeRetrieveError(E31)</f>
        <v/>
      </c>
      <c r="G31" s="49"/>
      <c r="I31" s="122"/>
      <c r="J31" s="301">
        <v>17</v>
      </c>
      <c r="K31" s="300" t="str">
        <f t="shared" si="4"/>
        <v>x23F</v>
      </c>
      <c r="L31" s="298" t="str">
        <f t="shared" si="1"/>
        <v>EUR17x23F</v>
      </c>
      <c r="M31" s="298" t="str">
        <v>EUR17X23F=ICAP</v>
      </c>
      <c r="N31" s="299">
        <v>0.73599999999999999</v>
      </c>
      <c r="O31" s="299">
        <v>0.78600000000000003</v>
      </c>
      <c r="P31" s="298">
        <v>0</v>
      </c>
      <c r="Q31" s="298">
        <v>0</v>
      </c>
      <c r="R31" s="262">
        <f>_xll.qlMidSafe($N31,$O31)</f>
        <v>0.76100000000000001</v>
      </c>
      <c r="S31" s="253"/>
      <c r="T31" s="297">
        <v>0.59799999999999998</v>
      </c>
      <c r="U31" s="253"/>
      <c r="V31" s="324">
        <v>0.59799999999999998</v>
      </c>
      <c r="W31" s="258" t="e">
        <f>_xll.qlSimpleQuoteSetValue(E31,V31/100,Trigger)</f>
        <v>#N/A</v>
      </c>
      <c r="X31" s="217"/>
      <c r="Y31" s="17"/>
      <c r="Z31" s="290">
        <f t="shared" si="2"/>
        <v>5.0000000000000044E-4</v>
      </c>
    </row>
    <row r="32" spans="1:26" x14ac:dyDescent="0.2">
      <c r="A32" s="122"/>
      <c r="B32" s="130">
        <v>18</v>
      </c>
      <c r="C32" s="131" t="str">
        <f t="shared" si="3"/>
        <v>x24F</v>
      </c>
      <c r="D32" s="130" t="str">
        <f t="shared" si="0"/>
        <v>EUR18x24F_Quote</v>
      </c>
      <c r="E32" s="129" t="str">
        <f>_xll.qlSimpleQuote(D32,,RateTickValue,Permanent,Trigger,ObjectOverwrite)</f>
        <v>EUR18x24F_Quote#0000</v>
      </c>
      <c r="F32" s="128" t="str">
        <f>_xll.ohRangeRetrieveError(E32)</f>
        <v/>
      </c>
      <c r="G32" s="49"/>
      <c r="I32" s="122"/>
      <c r="J32" s="301">
        <v>18</v>
      </c>
      <c r="K32" s="300" t="str">
        <f t="shared" si="4"/>
        <v>x24F</v>
      </c>
      <c r="L32" s="298" t="str">
        <f t="shared" si="1"/>
        <v>EUR18x24F</v>
      </c>
      <c r="M32" s="298" t="str">
        <v>EUR18X24F=ICAP</v>
      </c>
      <c r="N32" s="299">
        <v>0.75900000000000001</v>
      </c>
      <c r="O32" s="299">
        <v>0.80900000000000005</v>
      </c>
      <c r="P32" s="298">
        <v>0</v>
      </c>
      <c r="Q32" s="298">
        <v>0</v>
      </c>
      <c r="R32" s="262">
        <f>_xll.qlMidSafe($N32,$O32)</f>
        <v>0.78400000000000003</v>
      </c>
      <c r="S32" s="253"/>
      <c r="T32" s="297">
        <v>0.629</v>
      </c>
      <c r="U32" s="253"/>
      <c r="V32" s="324">
        <v>0.629</v>
      </c>
      <c r="W32" s="258" t="e">
        <f>_xll.qlSimpleQuoteSetValue(E32,V32/100,Trigger)</f>
        <v>#N/A</v>
      </c>
      <c r="X32" s="217"/>
      <c r="Y32" s="17"/>
      <c r="Z32" s="290">
        <f t="shared" si="2"/>
        <v>5.0000000000000044E-4</v>
      </c>
    </row>
    <row r="33" spans="1:26" x14ac:dyDescent="0.2">
      <c r="A33" s="122"/>
      <c r="B33" s="126" t="s">
        <v>159</v>
      </c>
      <c r="C33" s="127" t="s">
        <v>157</v>
      </c>
      <c r="D33" s="126" t="str">
        <f t="shared" si="0"/>
        <v>EURT12F1_Quote</v>
      </c>
      <c r="E33" s="125" t="str">
        <f>_xll.qlSimpleQuote(D33,,RateTickValue,Permanent,Trigger,ObjectOverwrite)</f>
        <v>EURT12F1_Quote#0000</v>
      </c>
      <c r="F33" s="124" t="str">
        <f>_xll.ohRangeRetrieveError(E33)</f>
        <v/>
      </c>
      <c r="G33" s="49"/>
      <c r="I33" s="122"/>
      <c r="J33" s="296">
        <v>12</v>
      </c>
      <c r="K33" s="295" t="str">
        <f>"x"&amp;J33+12&amp;"F"</f>
        <v>x24F</v>
      </c>
      <c r="L33" s="293" t="str">
        <f t="shared" si="1"/>
        <v>EUR12x24F</v>
      </c>
      <c r="M33" s="293" t="str">
        <v>EUR12X24F=ICAP</v>
      </c>
      <c r="N33" s="294">
        <v>0.83899999999999997</v>
      </c>
      <c r="O33" s="294">
        <v>0.88900000000000001</v>
      </c>
      <c r="P33" s="293">
        <v>0</v>
      </c>
      <c r="Q33" s="293">
        <v>0</v>
      </c>
      <c r="R33" s="292">
        <f>_xll.qlMidSafe($N33,$O33)</f>
        <v>0.86399999999999999</v>
      </c>
      <c r="S33" s="253"/>
      <c r="T33" s="291">
        <v>0.67400000000000004</v>
      </c>
      <c r="U33" s="253"/>
      <c r="V33" s="535">
        <v>0.67400000000000004</v>
      </c>
      <c r="W33" s="533" t="e">
        <f>_xll.qlSimpleQuoteSetValue(E35,V33/100,Trigger)</f>
        <v>#N/A</v>
      </c>
      <c r="X33" s="217"/>
      <c r="Y33" s="17"/>
      <c r="Z33" s="290">
        <f t="shared" si="2"/>
        <v>5.0000000000000044E-4</v>
      </c>
    </row>
    <row r="34" spans="1:26" ht="13.5" thickBot="1" x14ac:dyDescent="0.25">
      <c r="A34" s="122"/>
      <c r="B34" s="119" t="s">
        <v>158</v>
      </c>
      <c r="C34" s="123" t="s">
        <v>157</v>
      </c>
      <c r="D34" s="119" t="str">
        <f t="shared" si="0"/>
        <v>EURTOM12F1_Quote</v>
      </c>
      <c r="E34" s="118" t="str">
        <f>_xll.qlSimpleQuote(D34,,RateTickValue,Permanent,Trigger,ObjectOverwrite)</f>
        <v>EURTOM12F1_Quote#0000</v>
      </c>
      <c r="F34" s="117" t="str">
        <f>_xll.ohRangeRetrieveError(E34)</f>
        <v/>
      </c>
      <c r="G34" s="49"/>
      <c r="I34" s="48"/>
      <c r="J34" s="289"/>
      <c r="K34" s="289"/>
      <c r="L34" s="289"/>
      <c r="M34" s="289"/>
      <c r="N34" s="289"/>
      <c r="O34" s="289"/>
      <c r="P34" s="289"/>
      <c r="Q34" s="289"/>
      <c r="R34" s="289"/>
      <c r="S34" s="47"/>
      <c r="T34" s="289"/>
      <c r="U34" s="47"/>
      <c r="V34" s="289"/>
      <c r="W34" s="289"/>
      <c r="X34" s="46"/>
      <c r="Y34" s="17"/>
      <c r="Z34" s="17"/>
    </row>
    <row r="35" spans="1:26" x14ac:dyDescent="0.2">
      <c r="A35" s="122"/>
      <c r="B35" s="121">
        <v>12</v>
      </c>
      <c r="C35" s="120" t="s">
        <v>156</v>
      </c>
      <c r="D35" s="119" t="str">
        <f t="shared" si="0"/>
        <v>EUR12x24F_Quote</v>
      </c>
      <c r="E35" s="118" t="str">
        <f>_xll.qlSimpleQuote(D35,,RateTickValue,Permanent,Trigger,ObjectOverwrite)</f>
        <v>EUR12x24F_Quote#0000</v>
      </c>
      <c r="F35" s="117" t="str">
        <f>_xll.ohRangeRetrieveError(E35)</f>
        <v/>
      </c>
      <c r="G35" s="49"/>
    </row>
    <row r="36" spans="1:26"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F126"/>
  <sheetViews>
    <sheetView topLeftCell="F1" workbookViewId="0">
      <selection activeCell="R2" sqref="R2"/>
    </sheetView>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10.42578125" style="68" customWidth="1"/>
    <col min="21" max="21" width="9.140625" style="68"/>
    <col min="22" max="22" width="2.7109375" style="68" customWidth="1"/>
    <col min="23" max="23" width="9.140625" style="68"/>
    <col min="24" max="24" width="2.7109375" style="68" customWidth="1"/>
    <col min="25" max="26" width="9.140625" style="68"/>
    <col min="27" max="28" width="2.7109375" style="68" customWidth="1"/>
    <col min="29" max="30" width="9.140625" style="68"/>
    <col min="31" max="31" width="2.7109375" style="68" customWidth="1"/>
    <col min="32" max="16384" width="9.140625" style="68"/>
  </cols>
  <sheetData>
    <row r="1" spans="1:32" x14ac:dyDescent="0.2">
      <c r="J1" s="288" t="s">
        <v>293</v>
      </c>
      <c r="K1" s="199"/>
      <c r="L1" s="199"/>
      <c r="M1" s="199"/>
      <c r="N1" s="199"/>
      <c r="O1" s="199"/>
      <c r="P1" s="199"/>
      <c r="Q1" s="199"/>
      <c r="R1" s="199"/>
      <c r="S1" s="199"/>
      <c r="T1" s="199"/>
      <c r="U1" s="199"/>
      <c r="V1" s="340"/>
      <c r="W1" s="340"/>
      <c r="X1" s="199"/>
      <c r="Y1" s="199"/>
      <c r="Z1" s="199"/>
      <c r="AA1" s="339"/>
      <c r="AB1" s="17"/>
      <c r="AC1" s="17"/>
      <c r="AD1" s="17"/>
      <c r="AE1" s="17"/>
      <c r="AF1" s="17"/>
    </row>
    <row r="2" spans="1:32" x14ac:dyDescent="0.2">
      <c r="J2" s="287"/>
      <c r="K2" s="137"/>
      <c r="L2" s="286"/>
      <c r="M2" s="286"/>
      <c r="N2" s="137"/>
      <c r="O2" s="137"/>
      <c r="P2" s="137"/>
      <c r="Q2" s="137"/>
      <c r="R2" s="137"/>
      <c r="S2" s="137"/>
      <c r="T2" s="137"/>
      <c r="U2" s="137"/>
      <c r="V2" s="253"/>
      <c r="W2" s="253"/>
      <c r="X2" s="137"/>
      <c r="Y2" s="253"/>
      <c r="Z2" s="137"/>
      <c r="AA2" s="338"/>
      <c r="AB2" s="17"/>
      <c r="AC2" s="17"/>
      <c r="AD2" s="17"/>
      <c r="AE2" s="17"/>
      <c r="AF2" s="17"/>
    </row>
    <row r="3" spans="1:32" ht="12" thickBot="1" x14ac:dyDescent="0.25">
      <c r="J3" s="287"/>
      <c r="K3" s="137"/>
      <c r="L3" s="137"/>
      <c r="M3" s="137"/>
      <c r="N3" s="137"/>
      <c r="O3" s="137"/>
      <c r="P3" s="137"/>
      <c r="Q3" s="137"/>
      <c r="R3" s="137"/>
      <c r="S3" s="137"/>
      <c r="T3" s="137"/>
      <c r="U3" s="137"/>
      <c r="V3" s="253"/>
      <c r="W3" s="253"/>
      <c r="X3" s="137"/>
      <c r="Y3" s="137"/>
      <c r="Z3" s="137"/>
      <c r="AA3" s="338"/>
      <c r="AB3" s="17"/>
      <c r="AC3" s="17"/>
      <c r="AD3" s="17"/>
      <c r="AE3" s="17"/>
      <c r="AF3" s="17"/>
    </row>
    <row r="4" spans="1:32" ht="12" thickBot="1" x14ac:dyDescent="0.25">
      <c r="A4" s="157" t="s">
        <v>177</v>
      </c>
      <c r="B4" s="156"/>
      <c r="C4" s="156"/>
      <c r="D4" s="155" t="s">
        <v>175</v>
      </c>
      <c r="E4" s="155" t="s">
        <v>32</v>
      </c>
      <c r="F4" s="154"/>
      <c r="G4" s="154"/>
      <c r="H4" s="153"/>
      <c r="J4" s="287"/>
      <c r="K4" s="137"/>
      <c r="L4" s="137"/>
      <c r="M4" s="137"/>
      <c r="N4" s="137"/>
      <c r="O4" s="137"/>
      <c r="P4" s="137"/>
      <c r="Q4" s="137"/>
      <c r="R4" s="137"/>
      <c r="S4" s="137"/>
      <c r="T4" s="137"/>
      <c r="U4" s="137"/>
      <c r="V4" s="253"/>
      <c r="W4" s="253"/>
      <c r="X4" s="137"/>
      <c r="Y4" s="137"/>
      <c r="Z4" s="284">
        <f>_xll.ohTrigger(Z6:Z17)</f>
        <v>1</v>
      </c>
      <c r="AA4" s="338"/>
      <c r="AB4" s="17"/>
      <c r="AC4" s="17"/>
      <c r="AD4" s="17"/>
      <c r="AE4" s="17"/>
      <c r="AF4" s="17"/>
    </row>
    <row r="5" spans="1:32"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7"/>
      <c r="K5" s="337" t="s">
        <v>174</v>
      </c>
      <c r="L5" s="313" t="s">
        <v>173</v>
      </c>
      <c r="M5" s="313" t="s">
        <v>172</v>
      </c>
      <c r="N5" s="313" t="s">
        <v>249</v>
      </c>
      <c r="O5" s="283" t="e">
        <f ca="1">_xll.RData(O6:O17,P5:T5,,ReutersRtMode,,P6)</f>
        <v>#NAME?</v>
      </c>
      <c r="P5" s="313" t="s">
        <v>248</v>
      </c>
      <c r="Q5" s="313" t="s">
        <v>243</v>
      </c>
      <c r="R5" s="313" t="s">
        <v>212</v>
      </c>
      <c r="S5" s="313" t="s">
        <v>227</v>
      </c>
      <c r="T5" s="313" t="s">
        <v>242</v>
      </c>
      <c r="U5" s="279" t="s">
        <v>241</v>
      </c>
      <c r="V5" s="253"/>
      <c r="W5" s="281" t="s">
        <v>239</v>
      </c>
      <c r="X5" s="253"/>
      <c r="Y5" s="578" t="s">
        <v>237</v>
      </c>
      <c r="Z5" s="282" t="s">
        <v>236</v>
      </c>
      <c r="AA5" s="49"/>
      <c r="AB5" s="17"/>
      <c r="AC5" s="208" t="s">
        <v>247</v>
      </c>
      <c r="AD5" s="206" t="s">
        <v>246</v>
      </c>
      <c r="AE5" s="17"/>
      <c r="AF5" s="312" t="s">
        <v>240</v>
      </c>
    </row>
    <row r="6" spans="1:32" x14ac:dyDescent="0.2">
      <c r="A6" s="146"/>
      <c r="B6" s="151">
        <v>1</v>
      </c>
      <c r="C6" s="150" t="b">
        <v>0</v>
      </c>
      <c r="D6" s="149" t="str">
        <f t="array" ref="D6:D125">_xll.qlIMMNextCodes(_xll.qlSettingsEvaluationDate(Trigger)-1,$C6:$C125)</f>
        <v>H4</v>
      </c>
      <c r="E6" s="143" t="str">
        <f t="shared" ref="E6:E37" si="0">Currency&amp;$D$4&amp;$E$4&amp;$D6&amp;QuoteSuffix</f>
        <v>EURFUT1MH4_Quote</v>
      </c>
      <c r="F6" s="148" t="str">
        <f>_xll.qlSimpleQuote(E6,,PriceTickValue,Permanent,Trigger,ObjectOverwrite)</f>
        <v>EURFUT1MH4_Quote#0000</v>
      </c>
      <c r="G6" s="147" t="str">
        <f>_xll.ohRangeRetrieveError(F6)</f>
        <v/>
      </c>
      <c r="H6" s="141"/>
      <c r="J6" s="323"/>
      <c r="K6" s="336">
        <v>1</v>
      </c>
      <c r="L6" s="335" t="b">
        <v>0</v>
      </c>
      <c r="M6" s="271" t="str">
        <f t="array" ref="M6:M17">_xll.qlIMMcode(FuturesDates)</f>
        <v>H4</v>
      </c>
      <c r="N6" s="334">
        <f t="array" ref="N6:N17">_xll.qlIMMNextDates(_xll.qlSettingsEvaluationDate(Trigger)-1,$L6:$L17)</f>
        <v>41717</v>
      </c>
      <c r="O6" s="271" t="str">
        <f t="array" ref="O6:O17">VLOOKUP(Currency,LiffeCodes,2)&amp;FuturesCodes</f>
        <v>H4</v>
      </c>
      <c r="P6" s="333" t="s">
        <v>244</v>
      </c>
      <c r="Q6" s="271" t="s">
        <v>244</v>
      </c>
      <c r="R6" s="271" t="s">
        <v>244</v>
      </c>
      <c r="S6" s="271" t="s">
        <v>244</v>
      </c>
      <c r="T6" s="271" t="s">
        <v>244</v>
      </c>
      <c r="U6" s="274" t="e">
        <f>_xll.qlMidSafe($Q6,$R6)</f>
        <v>#NUM!</v>
      </c>
      <c r="V6" s="253"/>
      <c r="W6" s="332" t="e">
        <v>#NUM!</v>
      </c>
      <c r="X6" s="253"/>
      <c r="Y6" s="331" t="e">
        <f t="array" ref="Y6:Y17">QuoteStatic</f>
        <v>#NUM!</v>
      </c>
      <c r="Z6" s="274" t="e">
        <f>_xll.qlSimpleQuoteSetValue(F6,Y6,Trigger)</f>
        <v>#NUM!</v>
      </c>
      <c r="AA6" s="49"/>
      <c r="AB6" s="17"/>
      <c r="AC6" s="86" t="s">
        <v>124</v>
      </c>
      <c r="AD6" s="84"/>
      <c r="AE6" s="17"/>
      <c r="AF6" s="290" t="e">
        <f t="shared" ref="AF6:AF17" si="1">(R6-U6)/50</f>
        <v>#VALUE!</v>
      </c>
    </row>
    <row r="7" spans="1:32" x14ac:dyDescent="0.2">
      <c r="A7" s="146"/>
      <c r="B7" s="107">
        <v>2</v>
      </c>
      <c r="C7" s="145" t="b">
        <v>0</v>
      </c>
      <c r="D7" s="144" t="str">
        <v>J4</v>
      </c>
      <c r="E7" s="143" t="str">
        <f t="shared" si="0"/>
        <v>EURFUT1MJ4_Quote</v>
      </c>
      <c r="F7" s="142" t="str">
        <f>_xll.qlSimpleQuote(E7,,PriceTickValue,Permanent,Trigger,ObjectOverwrite)</f>
        <v>EURFUT1MJ4_Quote#0000</v>
      </c>
      <c r="G7" s="105" t="str">
        <f>_xll.ohRangeRetrieveError(F7)</f>
        <v/>
      </c>
      <c r="H7" s="141"/>
      <c r="J7" s="323"/>
      <c r="K7" s="329">
        <v>2</v>
      </c>
      <c r="L7" s="328" t="b">
        <v>0</v>
      </c>
      <c r="M7" s="259" t="str">
        <v>J4</v>
      </c>
      <c r="N7" s="327">
        <v>41745</v>
      </c>
      <c r="O7" s="259" t="str">
        <v>J4</v>
      </c>
      <c r="P7" s="326" t="s">
        <v>244</v>
      </c>
      <c r="Q7" s="259" t="s">
        <v>244</v>
      </c>
      <c r="R7" s="259" t="s">
        <v>244</v>
      </c>
      <c r="S7" s="259" t="s">
        <v>244</v>
      </c>
      <c r="T7" s="259" t="s">
        <v>244</v>
      </c>
      <c r="U7" s="262" t="e">
        <f>_xll.qlMidSafe($Q7,$R7)</f>
        <v>#NUM!</v>
      </c>
      <c r="V7" s="253"/>
      <c r="W7" s="330" t="e">
        <v>#NUM!</v>
      </c>
      <c r="X7" s="253"/>
      <c r="Y7" s="324" t="e">
        <v>#NUM!</v>
      </c>
      <c r="Z7" s="262" t="e">
        <f>_xll.qlSimpleQuoteSetValue(F7,Y7,Trigger)</f>
        <v>#NUM!</v>
      </c>
      <c r="AA7" s="49"/>
      <c r="AB7" s="17"/>
      <c r="AC7" s="86" t="s">
        <v>110</v>
      </c>
      <c r="AD7" s="84"/>
      <c r="AE7" s="17"/>
      <c r="AF7" s="290" t="e">
        <f t="shared" si="1"/>
        <v>#VALUE!</v>
      </c>
    </row>
    <row r="8" spans="1:32" x14ac:dyDescent="0.2">
      <c r="A8" s="146"/>
      <c r="B8" s="107">
        <v>3</v>
      </c>
      <c r="C8" s="145" t="b">
        <v>0</v>
      </c>
      <c r="D8" s="144" t="str">
        <v>K4</v>
      </c>
      <c r="E8" s="143" t="str">
        <f t="shared" si="0"/>
        <v>EURFUT1MK4_Quote</v>
      </c>
      <c r="F8" s="142" t="str">
        <f>_xll.qlSimpleQuote(E8,,PriceTickValue,Permanent,Trigger,ObjectOverwrite)</f>
        <v>EURFUT1MK4_Quote#0000</v>
      </c>
      <c r="G8" s="105" t="str">
        <f>_xll.ohRangeRetrieveError(F8)</f>
        <v/>
      </c>
      <c r="H8" s="141"/>
      <c r="J8" s="323"/>
      <c r="K8" s="329">
        <v>3</v>
      </c>
      <c r="L8" s="328" t="b">
        <v>0</v>
      </c>
      <c r="M8" s="259" t="str">
        <v>K4</v>
      </c>
      <c r="N8" s="327">
        <v>41780</v>
      </c>
      <c r="O8" s="259" t="str">
        <v>K4</v>
      </c>
      <c r="P8" s="326" t="s">
        <v>244</v>
      </c>
      <c r="Q8" s="259" t="s">
        <v>244</v>
      </c>
      <c r="R8" s="259" t="s">
        <v>244</v>
      </c>
      <c r="S8" s="259" t="s">
        <v>244</v>
      </c>
      <c r="T8" s="259" t="s">
        <v>244</v>
      </c>
      <c r="U8" s="262" t="e">
        <f>_xll.qlMidSafe($Q8,$R8)</f>
        <v>#NUM!</v>
      </c>
      <c r="V8" s="253"/>
      <c r="W8" s="330" t="e">
        <v>#NUM!</v>
      </c>
      <c r="X8" s="253"/>
      <c r="Y8" s="324" t="e">
        <v>#NUM!</v>
      </c>
      <c r="Z8" s="262" t="e">
        <f>_xll.qlSimpleQuoteSetValue(F8,Y8,Trigger)</f>
        <v>#NUM!</v>
      </c>
      <c r="AA8" s="49"/>
      <c r="AB8" s="17"/>
      <c r="AC8" s="86" t="s">
        <v>121</v>
      </c>
      <c r="AD8" s="84"/>
      <c r="AE8" s="17"/>
      <c r="AF8" s="290" t="e">
        <f t="shared" si="1"/>
        <v>#VALUE!</v>
      </c>
    </row>
    <row r="9" spans="1:32" x14ac:dyDescent="0.2">
      <c r="A9" s="146"/>
      <c r="B9" s="107">
        <v>4</v>
      </c>
      <c r="C9" s="145" t="b">
        <v>0</v>
      </c>
      <c r="D9" s="144" t="str">
        <v>M4</v>
      </c>
      <c r="E9" s="143" t="str">
        <f t="shared" si="0"/>
        <v>EURFUT1MM4_Quote</v>
      </c>
      <c r="F9" s="142" t="str">
        <f>_xll.qlSimpleQuote(E9,,PriceTickValue,Permanent,Trigger,ObjectOverwrite)</f>
        <v>EURFUT1MM4_Quote#0000</v>
      </c>
      <c r="G9" s="105" t="str">
        <f>_xll.ohRangeRetrieveError(F9)</f>
        <v/>
      </c>
      <c r="H9" s="141"/>
      <c r="J9" s="323"/>
      <c r="K9" s="329">
        <v>4</v>
      </c>
      <c r="L9" s="328" t="b">
        <v>0</v>
      </c>
      <c r="M9" s="259" t="str">
        <v>M4</v>
      </c>
      <c r="N9" s="327">
        <v>41808</v>
      </c>
      <c r="O9" s="259" t="str">
        <v>M4</v>
      </c>
      <c r="P9" s="326" t="s">
        <v>244</v>
      </c>
      <c r="Q9" s="259" t="s">
        <v>244</v>
      </c>
      <c r="R9" s="259" t="s">
        <v>244</v>
      </c>
      <c r="S9" s="259" t="s">
        <v>244</v>
      </c>
      <c r="T9" s="259" t="s">
        <v>244</v>
      </c>
      <c r="U9" s="262" t="e">
        <f>_xll.qlMidSafe($Q9,$R9)</f>
        <v>#NUM!</v>
      </c>
      <c r="V9" s="253"/>
      <c r="W9" s="330" t="e">
        <v>#NUM!</v>
      </c>
      <c r="X9" s="253"/>
      <c r="Y9" s="324" t="e">
        <v>#NUM!</v>
      </c>
      <c r="Z9" s="262" t="e">
        <f>_xll.qlSimpleQuoteSetValue(F9,Y9,Trigger)</f>
        <v>#NUM!</v>
      </c>
      <c r="AA9" s="49"/>
      <c r="AB9" s="17"/>
      <c r="AC9" s="86" t="s">
        <v>120</v>
      </c>
      <c r="AD9" s="84"/>
      <c r="AE9" s="17"/>
      <c r="AF9" s="290" t="e">
        <f t="shared" si="1"/>
        <v>#VALUE!</v>
      </c>
    </row>
    <row r="10" spans="1:32" ht="12" thickBot="1" x14ac:dyDescent="0.25">
      <c r="A10" s="146"/>
      <c r="B10" s="107">
        <v>5</v>
      </c>
      <c r="C10" s="145" t="b">
        <v>0</v>
      </c>
      <c r="D10" s="144" t="str">
        <v>N4</v>
      </c>
      <c r="E10" s="143" t="str">
        <f t="shared" si="0"/>
        <v>EURFUT1MN4_Quote</v>
      </c>
      <c r="F10" s="142" t="str">
        <f>_xll.qlSimpleQuote(E10,,PriceTickValue,Permanent,Trigger,ObjectOverwrite)</f>
        <v>EURFUT1MN4_Quote#0000</v>
      </c>
      <c r="G10" s="105" t="str">
        <f>_xll.ohRangeRetrieveError(F10)</f>
        <v/>
      </c>
      <c r="H10" s="141"/>
      <c r="J10" s="323"/>
      <c r="K10" s="329">
        <v>5</v>
      </c>
      <c r="L10" s="328" t="b">
        <v>0</v>
      </c>
      <c r="M10" s="259" t="str">
        <v>N4</v>
      </c>
      <c r="N10" s="327">
        <v>41836</v>
      </c>
      <c r="O10" s="259" t="str">
        <v>N4</v>
      </c>
      <c r="P10" s="326" t="s">
        <v>244</v>
      </c>
      <c r="Q10" s="259" t="s">
        <v>244</v>
      </c>
      <c r="R10" s="259" t="s">
        <v>244</v>
      </c>
      <c r="S10" s="259" t="s">
        <v>244</v>
      </c>
      <c r="T10" s="259" t="s">
        <v>244</v>
      </c>
      <c r="U10" s="262" t="e">
        <f>_xll.qlMidSafe($Q10,$R10)</f>
        <v>#NUM!</v>
      </c>
      <c r="V10" s="253"/>
      <c r="W10" s="325" t="e">
        <v>#NUM!</v>
      </c>
      <c r="X10" s="253"/>
      <c r="Y10" s="324" t="e">
        <v>#NUM!</v>
      </c>
      <c r="Z10" s="262" t="e">
        <f>_xll.qlSimpleQuoteSetValue(F10,Y10,Trigger)</f>
        <v>#NUM!</v>
      </c>
      <c r="AA10" s="49"/>
      <c r="AB10" s="17"/>
      <c r="AC10" s="83" t="s">
        <v>118</v>
      </c>
      <c r="AD10" s="81" t="s">
        <v>245</v>
      </c>
      <c r="AE10" s="17"/>
      <c r="AF10" s="290" t="e">
        <f t="shared" si="1"/>
        <v>#VALUE!</v>
      </c>
    </row>
    <row r="11" spans="1:32" x14ac:dyDescent="0.2">
      <c r="A11" s="146"/>
      <c r="B11" s="107">
        <v>6</v>
      </c>
      <c r="C11" s="145" t="b">
        <v>0</v>
      </c>
      <c r="D11" s="144" t="str">
        <v>Q4</v>
      </c>
      <c r="E11" s="143" t="str">
        <f t="shared" si="0"/>
        <v>EURFUT1MQ4_Quote</v>
      </c>
      <c r="F11" s="142" t="str">
        <f>_xll.qlSimpleQuote(E11,,PriceTickValue,Permanent,Trigger,ObjectOverwrite)</f>
        <v>EURFUT1MQ4_Quote#0000</v>
      </c>
      <c r="G11" s="105" t="str">
        <f>_xll.ohRangeRetrieveError(F11)</f>
        <v/>
      </c>
      <c r="H11" s="141"/>
      <c r="J11" s="323"/>
      <c r="K11" s="329">
        <v>6</v>
      </c>
      <c r="L11" s="328" t="b">
        <v>0</v>
      </c>
      <c r="M11" s="259" t="str">
        <v>Q4</v>
      </c>
      <c r="N11" s="327">
        <v>41871</v>
      </c>
      <c r="O11" s="259" t="str">
        <v>Q4</v>
      </c>
      <c r="P11" s="326" t="s">
        <v>244</v>
      </c>
      <c r="Q11" s="259" t="s">
        <v>244</v>
      </c>
      <c r="R11" s="259" t="s">
        <v>244</v>
      </c>
      <c r="S11" s="259" t="s">
        <v>244</v>
      </c>
      <c r="T11" s="259" t="s">
        <v>244</v>
      </c>
      <c r="U11" s="262" t="e">
        <f>_xll.qlMidSafe($Q11,$R11)</f>
        <v>#NUM!</v>
      </c>
      <c r="V11" s="253"/>
      <c r="W11" s="325" t="e">
        <v>#NUM!</v>
      </c>
      <c r="X11" s="253"/>
      <c r="Y11" s="324" t="e">
        <v>#NUM!</v>
      </c>
      <c r="Z11" s="262" t="e">
        <f>_xll.qlSimpleQuoteSetValue(F11,Y11,Trigger)</f>
        <v>#NUM!</v>
      </c>
      <c r="AA11" s="49"/>
      <c r="AB11" s="17"/>
      <c r="AC11" s="17"/>
      <c r="AD11" s="17"/>
      <c r="AE11" s="17"/>
      <c r="AF11" s="290" t="e">
        <f t="shared" si="1"/>
        <v>#VALUE!</v>
      </c>
    </row>
    <row r="12" spans="1:32" x14ac:dyDescent="0.2">
      <c r="A12" s="146"/>
      <c r="B12" s="107">
        <v>7</v>
      </c>
      <c r="C12" s="145" t="b">
        <v>0</v>
      </c>
      <c r="D12" s="144" t="str">
        <v>U4</v>
      </c>
      <c r="E12" s="143" t="str">
        <f t="shared" si="0"/>
        <v>EURFUT1MU4_Quote</v>
      </c>
      <c r="F12" s="142" t="str">
        <f>_xll.qlSimpleQuote(E12,,PriceTickValue,Permanent,Trigger,ObjectOverwrite)</f>
        <v>EURFUT1MU4_Quote#0000</v>
      </c>
      <c r="G12" s="105" t="str">
        <f>_xll.ohRangeRetrieveError(F12)</f>
        <v/>
      </c>
      <c r="H12" s="141"/>
      <c r="J12" s="323"/>
      <c r="K12" s="329">
        <v>7</v>
      </c>
      <c r="L12" s="328" t="b">
        <v>0</v>
      </c>
      <c r="M12" s="259" t="str">
        <v>U4</v>
      </c>
      <c r="N12" s="327">
        <v>41899</v>
      </c>
      <c r="O12" s="259" t="str">
        <v>U4</v>
      </c>
      <c r="P12" s="326" t="s">
        <v>244</v>
      </c>
      <c r="Q12" s="259" t="s">
        <v>244</v>
      </c>
      <c r="R12" s="259" t="s">
        <v>244</v>
      </c>
      <c r="S12" s="259" t="s">
        <v>244</v>
      </c>
      <c r="T12" s="259" t="s">
        <v>244</v>
      </c>
      <c r="U12" s="262" t="e">
        <f>_xll.qlMidSafe($Q12,$R12)</f>
        <v>#NUM!</v>
      </c>
      <c r="V12" s="253"/>
      <c r="W12" s="325" t="e">
        <v>#NUM!</v>
      </c>
      <c r="X12" s="253"/>
      <c r="Y12" s="324" t="e">
        <v>#NUM!</v>
      </c>
      <c r="Z12" s="262" t="e">
        <f>_xll.qlSimpleQuoteSetValue(F12,Y12,Trigger)</f>
        <v>#NUM!</v>
      </c>
      <c r="AA12" s="49"/>
      <c r="AB12" s="17"/>
      <c r="AC12" s="17"/>
      <c r="AD12" s="17"/>
      <c r="AE12" s="17"/>
      <c r="AF12" s="290" t="e">
        <f t="shared" si="1"/>
        <v>#VALUE!</v>
      </c>
    </row>
    <row r="13" spans="1:32" x14ac:dyDescent="0.2">
      <c r="A13" s="146"/>
      <c r="B13" s="107">
        <v>8</v>
      </c>
      <c r="C13" s="145" t="b">
        <v>0</v>
      </c>
      <c r="D13" s="144" t="str">
        <v>V4</v>
      </c>
      <c r="E13" s="143" t="str">
        <f t="shared" si="0"/>
        <v>EURFUT1MV4_Quote</v>
      </c>
      <c r="F13" s="142" t="str">
        <f>_xll.qlSimpleQuote(E13,,PriceTickValue,Permanent,Trigger,ObjectOverwrite)</f>
        <v>EURFUT1MV4_Quote#0000</v>
      </c>
      <c r="G13" s="105" t="str">
        <f>_xll.ohRangeRetrieveError(F13)</f>
        <v/>
      </c>
      <c r="H13" s="141"/>
      <c r="J13" s="323"/>
      <c r="K13" s="329">
        <v>8</v>
      </c>
      <c r="L13" s="328" t="b">
        <v>0</v>
      </c>
      <c r="M13" s="259" t="str">
        <v>V4</v>
      </c>
      <c r="N13" s="327">
        <v>41927</v>
      </c>
      <c r="O13" s="259" t="str">
        <v>V4</v>
      </c>
      <c r="P13" s="326" t="s">
        <v>244</v>
      </c>
      <c r="Q13" s="259" t="s">
        <v>244</v>
      </c>
      <c r="R13" s="259" t="s">
        <v>244</v>
      </c>
      <c r="S13" s="259" t="s">
        <v>244</v>
      </c>
      <c r="T13" s="259" t="s">
        <v>244</v>
      </c>
      <c r="U13" s="262" t="e">
        <f>_xll.qlMidSafe($Q13,$R13)</f>
        <v>#NUM!</v>
      </c>
      <c r="V13" s="253"/>
      <c r="W13" s="325" t="e">
        <v>#NUM!</v>
      </c>
      <c r="X13" s="253"/>
      <c r="Y13" s="324" t="e">
        <v>#NUM!</v>
      </c>
      <c r="Z13" s="262" t="e">
        <f>_xll.qlSimpleQuoteSetValue(F13,Y13,Trigger)</f>
        <v>#NUM!</v>
      </c>
      <c r="AA13" s="49"/>
      <c r="AB13" s="17"/>
      <c r="AC13" s="17"/>
      <c r="AD13" s="17"/>
      <c r="AE13" s="17"/>
      <c r="AF13" s="290" t="e">
        <f t="shared" si="1"/>
        <v>#VALUE!</v>
      </c>
    </row>
    <row r="14" spans="1:32" x14ac:dyDescent="0.2">
      <c r="A14" s="146"/>
      <c r="B14" s="107">
        <v>9</v>
      </c>
      <c r="C14" s="145" t="b">
        <v>0</v>
      </c>
      <c r="D14" s="144" t="str">
        <v>X4</v>
      </c>
      <c r="E14" s="143" t="str">
        <f t="shared" si="0"/>
        <v>EURFUT1MX4_Quote</v>
      </c>
      <c r="F14" s="142" t="str">
        <f>_xll.qlSimpleQuote(E14,,PriceTickValue,Permanent,Trigger,ObjectOverwrite)</f>
        <v>EURFUT1MX4_Quote#0000</v>
      </c>
      <c r="G14" s="105" t="str">
        <f>_xll.ohRangeRetrieveError(F14)</f>
        <v/>
      </c>
      <c r="H14" s="141"/>
      <c r="J14" s="323"/>
      <c r="K14" s="329">
        <v>9</v>
      </c>
      <c r="L14" s="328" t="b">
        <v>0</v>
      </c>
      <c r="M14" s="259" t="str">
        <v>X4</v>
      </c>
      <c r="N14" s="327">
        <v>41962</v>
      </c>
      <c r="O14" s="259" t="str">
        <v>X4</v>
      </c>
      <c r="P14" s="326" t="s">
        <v>244</v>
      </c>
      <c r="Q14" s="259" t="s">
        <v>244</v>
      </c>
      <c r="R14" s="259" t="s">
        <v>244</v>
      </c>
      <c r="S14" s="259" t="s">
        <v>244</v>
      </c>
      <c r="T14" s="259" t="s">
        <v>244</v>
      </c>
      <c r="U14" s="262" t="e">
        <f>_xll.qlMidSafe($Q14,$R14)</f>
        <v>#NUM!</v>
      </c>
      <c r="V14" s="253"/>
      <c r="W14" s="325" t="e">
        <v>#NUM!</v>
      </c>
      <c r="X14" s="253"/>
      <c r="Y14" s="324" t="e">
        <v>#NUM!</v>
      </c>
      <c r="Z14" s="262" t="e">
        <f>_xll.qlSimpleQuoteSetValue(F14,Y14,Trigger)</f>
        <v>#NUM!</v>
      </c>
      <c r="AA14" s="49"/>
      <c r="AB14" s="17"/>
      <c r="AC14" s="17"/>
      <c r="AD14" s="17"/>
      <c r="AE14" s="17"/>
      <c r="AF14" s="290" t="e">
        <f t="shared" si="1"/>
        <v>#VALUE!</v>
      </c>
    </row>
    <row r="15" spans="1:32" x14ac:dyDescent="0.2">
      <c r="A15" s="146"/>
      <c r="B15" s="107">
        <v>10</v>
      </c>
      <c r="C15" s="145" t="b">
        <v>0</v>
      </c>
      <c r="D15" s="144" t="str">
        <v>Z4</v>
      </c>
      <c r="E15" s="143" t="str">
        <f t="shared" si="0"/>
        <v>EURFUT1MZ4_Quote</v>
      </c>
      <c r="F15" s="142" t="str">
        <f>_xll.qlSimpleQuote(E15,,PriceTickValue,Permanent,Trigger,ObjectOverwrite)</f>
        <v>EURFUT1MZ4_Quote#0000</v>
      </c>
      <c r="G15" s="105" t="str">
        <f>_xll.ohRangeRetrieveError(F15)</f>
        <v/>
      </c>
      <c r="H15" s="141"/>
      <c r="J15" s="323"/>
      <c r="K15" s="329">
        <v>10</v>
      </c>
      <c r="L15" s="328" t="b">
        <v>0</v>
      </c>
      <c r="M15" s="259" t="str">
        <v>Z4</v>
      </c>
      <c r="N15" s="327">
        <v>41990</v>
      </c>
      <c r="O15" s="259" t="str">
        <v>Z4</v>
      </c>
      <c r="P15" s="326" t="s">
        <v>244</v>
      </c>
      <c r="Q15" s="259" t="s">
        <v>244</v>
      </c>
      <c r="R15" s="259" t="s">
        <v>244</v>
      </c>
      <c r="S15" s="259" t="s">
        <v>244</v>
      </c>
      <c r="T15" s="259" t="s">
        <v>244</v>
      </c>
      <c r="U15" s="262" t="e">
        <f>_xll.qlMidSafe($Q15,$R15)</f>
        <v>#NUM!</v>
      </c>
      <c r="V15" s="253"/>
      <c r="W15" s="325" t="e">
        <v>#NUM!</v>
      </c>
      <c r="X15" s="253"/>
      <c r="Y15" s="324" t="e">
        <v>#NUM!</v>
      </c>
      <c r="Z15" s="262" t="e">
        <f>_xll.qlSimpleQuoteSetValue(F15,Y15,Trigger)</f>
        <v>#NUM!</v>
      </c>
      <c r="AA15" s="49"/>
      <c r="AB15" s="17"/>
      <c r="AC15" s="17"/>
      <c r="AD15" s="17"/>
      <c r="AE15" s="17"/>
      <c r="AF15" s="290" t="e">
        <f t="shared" si="1"/>
        <v>#VALUE!</v>
      </c>
    </row>
    <row r="16" spans="1:32" x14ac:dyDescent="0.2">
      <c r="A16" s="146"/>
      <c r="B16" s="107">
        <v>11</v>
      </c>
      <c r="C16" s="145" t="b">
        <v>0</v>
      </c>
      <c r="D16" s="144" t="str">
        <v>F5</v>
      </c>
      <c r="E16" s="143" t="str">
        <f t="shared" si="0"/>
        <v>EURFUT1MF5_Quote</v>
      </c>
      <c r="F16" s="142" t="str">
        <f>_xll.qlSimpleQuote(E16,,PriceTickValue,Permanent,Trigger,ObjectOverwrite)</f>
        <v>EURFUT1MF5_Quote#0000</v>
      </c>
      <c r="G16" s="105" t="str">
        <f>_xll.ohRangeRetrieveError(F16)</f>
        <v/>
      </c>
      <c r="H16" s="141"/>
      <c r="J16" s="323"/>
      <c r="K16" s="329">
        <v>11</v>
      </c>
      <c r="L16" s="328" t="b">
        <v>0</v>
      </c>
      <c r="M16" s="259" t="str">
        <v>F5</v>
      </c>
      <c r="N16" s="327">
        <v>42025</v>
      </c>
      <c r="O16" s="259" t="str">
        <v>F5</v>
      </c>
      <c r="P16" s="326" t="s">
        <v>244</v>
      </c>
      <c r="Q16" s="259" t="s">
        <v>244</v>
      </c>
      <c r="R16" s="259" t="s">
        <v>244</v>
      </c>
      <c r="S16" s="259" t="s">
        <v>244</v>
      </c>
      <c r="T16" s="259" t="s">
        <v>244</v>
      </c>
      <c r="U16" s="262" t="e">
        <f>_xll.qlMidSafe($Q16,$R16)</f>
        <v>#NUM!</v>
      </c>
      <c r="V16" s="253"/>
      <c r="W16" s="325" t="e">
        <v>#NUM!</v>
      </c>
      <c r="X16" s="253"/>
      <c r="Y16" s="324" t="e">
        <v>#NUM!</v>
      </c>
      <c r="Z16" s="262" t="e">
        <f>_xll.qlSimpleQuoteSetValue(F16,Y16,Trigger)</f>
        <v>#NUM!</v>
      </c>
      <c r="AA16" s="49"/>
      <c r="AB16" s="17"/>
      <c r="AC16" s="17"/>
      <c r="AD16" s="17"/>
      <c r="AE16" s="17"/>
      <c r="AF16" s="290" t="e">
        <f t="shared" si="1"/>
        <v>#VALUE!</v>
      </c>
    </row>
    <row r="17" spans="1:32" x14ac:dyDescent="0.2">
      <c r="A17" s="146"/>
      <c r="B17" s="107">
        <v>12</v>
      </c>
      <c r="C17" s="145" t="b">
        <v>0</v>
      </c>
      <c r="D17" s="144" t="str">
        <v>G5</v>
      </c>
      <c r="E17" s="143" t="str">
        <f t="shared" si="0"/>
        <v>EURFUT1MG5_Quote</v>
      </c>
      <c r="F17" s="142" t="str">
        <f>_xll.qlSimpleQuote(E17,,PriceTickValue,Permanent,Trigger,ObjectOverwrite)</f>
        <v>EURFUT1MG5_Quote#0000</v>
      </c>
      <c r="G17" s="105" t="str">
        <f>_xll.ohRangeRetrieveError(F17)</f>
        <v/>
      </c>
      <c r="H17" s="141"/>
      <c r="J17" s="323"/>
      <c r="K17" s="322">
        <v>12</v>
      </c>
      <c r="L17" s="321" t="b">
        <v>0</v>
      </c>
      <c r="M17" s="251" t="str">
        <v>G5</v>
      </c>
      <c r="N17" s="320">
        <v>42053</v>
      </c>
      <c r="O17" s="251" t="str">
        <v>G5</v>
      </c>
      <c r="P17" s="319" t="s">
        <v>244</v>
      </c>
      <c r="Q17" s="251" t="s">
        <v>244</v>
      </c>
      <c r="R17" s="251" t="s">
        <v>244</v>
      </c>
      <c r="S17" s="251" t="s">
        <v>244</v>
      </c>
      <c r="T17" s="251" t="s">
        <v>244</v>
      </c>
      <c r="U17" s="255" t="e">
        <f>_xll.qlMidSafe($Q17,$R17)</f>
        <v>#NUM!</v>
      </c>
      <c r="V17" s="253"/>
      <c r="W17" s="318" t="e">
        <v>#NUM!</v>
      </c>
      <c r="X17" s="253"/>
      <c r="Y17" s="317" t="e">
        <v>#NUM!</v>
      </c>
      <c r="Z17" s="255" t="e">
        <f>_xll.qlSimpleQuoteSetValue(F17,Y17,Trigger)</f>
        <v>#NUM!</v>
      </c>
      <c r="AA17" s="49"/>
      <c r="AB17" s="17"/>
      <c r="AC17" s="17"/>
      <c r="AD17" s="17"/>
      <c r="AE17" s="17"/>
      <c r="AF17" s="290" t="e">
        <f t="shared" si="1"/>
        <v>#VALUE!</v>
      </c>
    </row>
    <row r="18" spans="1:32" ht="12" thickBot="1" x14ac:dyDescent="0.25">
      <c r="A18" s="146"/>
      <c r="B18" s="107">
        <v>13</v>
      </c>
      <c r="C18" s="145" t="b">
        <v>0</v>
      </c>
      <c r="D18" s="144" t="str">
        <v>H5</v>
      </c>
      <c r="E18" s="143" t="str">
        <f t="shared" si="0"/>
        <v>EURFUT1MH5_Quote</v>
      </c>
      <c r="F18" s="142" t="str">
        <f>_xll.qlSimpleQuote(E18,,PriceTickValue,Permanent,Trigger,ObjectOverwrite)</f>
        <v>EURFUT1MH5_Quote#0000</v>
      </c>
      <c r="G18" s="105" t="str">
        <f>_xll.ohRangeRetrieveError(F18)</f>
        <v/>
      </c>
      <c r="H18" s="141"/>
      <c r="J18" s="316"/>
      <c r="K18" s="47"/>
      <c r="L18" s="47"/>
      <c r="M18" s="47"/>
      <c r="N18" s="47"/>
      <c r="O18" s="47"/>
      <c r="P18" s="47"/>
      <c r="Q18" s="47"/>
      <c r="R18" s="47"/>
      <c r="S18" s="47"/>
      <c r="T18" s="47"/>
      <c r="U18" s="47"/>
      <c r="V18" s="47"/>
      <c r="W18" s="47"/>
      <c r="X18" s="47"/>
      <c r="Y18" s="47"/>
      <c r="Z18" s="47"/>
      <c r="AA18" s="46"/>
      <c r="AB18" s="17"/>
      <c r="AC18" s="17"/>
      <c r="AD18" s="17"/>
      <c r="AE18" s="17"/>
      <c r="AF18" s="17"/>
    </row>
    <row r="19" spans="1:32" x14ac:dyDescent="0.2">
      <c r="A19" s="146"/>
      <c r="B19" s="107">
        <v>14</v>
      </c>
      <c r="C19" s="145" t="b">
        <v>0</v>
      </c>
      <c r="D19" s="144" t="str">
        <v>J5</v>
      </c>
      <c r="E19" s="143" t="str">
        <f t="shared" si="0"/>
        <v>EURFUT1MJ5_Quote</v>
      </c>
      <c r="F19" s="142" t="str">
        <f>_xll.qlSimpleQuote(E19,,PriceTickValue,Permanent,Trigger,ObjectOverwrite)</f>
        <v>EURFUT1MJ5_Quote#0000</v>
      </c>
      <c r="G19" s="105" t="str">
        <f>_xll.ohRangeRetrieveError(F19)</f>
        <v/>
      </c>
      <c r="H19" s="141"/>
    </row>
    <row r="20" spans="1:32" x14ac:dyDescent="0.2">
      <c r="A20" s="146"/>
      <c r="B20" s="107">
        <v>15</v>
      </c>
      <c r="C20" s="145" t="b">
        <v>0</v>
      </c>
      <c r="D20" s="144" t="str">
        <v>K5</v>
      </c>
      <c r="E20" s="143" t="str">
        <f t="shared" si="0"/>
        <v>EURFUT1MK5_Quote</v>
      </c>
      <c r="F20" s="142" t="str">
        <f>_xll.qlSimpleQuote(E20,,PriceTickValue,Permanent,Trigger,ObjectOverwrite)</f>
        <v>EURFUT1MK5_Quote#0000</v>
      </c>
      <c r="G20" s="105" t="str">
        <f>_xll.ohRangeRetrieveError(F20)</f>
        <v/>
      </c>
      <c r="H20" s="141"/>
    </row>
    <row r="21" spans="1:32" x14ac:dyDescent="0.2">
      <c r="A21" s="146"/>
      <c r="B21" s="107">
        <v>16</v>
      </c>
      <c r="C21" s="145" t="b">
        <v>0</v>
      </c>
      <c r="D21" s="144" t="str">
        <v>M5</v>
      </c>
      <c r="E21" s="143" t="str">
        <f t="shared" si="0"/>
        <v>EURFUT1MM5_Quote</v>
      </c>
      <c r="F21" s="142" t="str">
        <f>_xll.qlSimpleQuote(E21,,PriceTickValue,Permanent,Trigger,ObjectOverwrite)</f>
        <v>EURFUT1MM5_Quote#0000</v>
      </c>
      <c r="G21" s="105" t="str">
        <f>_xll.ohRangeRetrieveError(F21)</f>
        <v/>
      </c>
      <c r="H21" s="141"/>
    </row>
    <row r="22" spans="1:32" x14ac:dyDescent="0.2">
      <c r="A22" s="146"/>
      <c r="B22" s="107">
        <v>17</v>
      </c>
      <c r="C22" s="145" t="b">
        <v>0</v>
      </c>
      <c r="D22" s="144" t="str">
        <v>N5</v>
      </c>
      <c r="E22" s="143" t="str">
        <f t="shared" si="0"/>
        <v>EURFUT1MN5_Quote</v>
      </c>
      <c r="F22" s="142" t="str">
        <f>_xll.qlSimpleQuote(E22,,PriceTickValue,Permanent,Trigger,ObjectOverwrite)</f>
        <v>EURFUT1MN5_Quote#0000</v>
      </c>
      <c r="G22" s="105" t="str">
        <f>_xll.ohRangeRetrieveError(F22)</f>
        <v/>
      </c>
      <c r="H22" s="141"/>
    </row>
    <row r="23" spans="1:32" x14ac:dyDescent="0.2">
      <c r="A23" s="146"/>
      <c r="B23" s="107">
        <v>18</v>
      </c>
      <c r="C23" s="145" t="b">
        <v>0</v>
      </c>
      <c r="D23" s="144" t="str">
        <v>Q5</v>
      </c>
      <c r="E23" s="143" t="str">
        <f t="shared" si="0"/>
        <v>EURFUT1MQ5_Quote</v>
      </c>
      <c r="F23" s="142" t="str">
        <f>_xll.qlSimpleQuote(E23,,PriceTickValue,Permanent,Trigger,ObjectOverwrite)</f>
        <v>EURFUT1MQ5_Quote#0000</v>
      </c>
      <c r="G23" s="105" t="str">
        <f>_xll.ohRangeRetrieveError(F23)</f>
        <v/>
      </c>
      <c r="H23" s="141"/>
    </row>
    <row r="24" spans="1:32" x14ac:dyDescent="0.2">
      <c r="A24" s="146"/>
      <c r="B24" s="107">
        <v>19</v>
      </c>
      <c r="C24" s="145" t="b">
        <v>0</v>
      </c>
      <c r="D24" s="144" t="str">
        <v>U5</v>
      </c>
      <c r="E24" s="143" t="str">
        <f t="shared" si="0"/>
        <v>EURFUT1MU5_Quote</v>
      </c>
      <c r="F24" s="142" t="str">
        <f>_xll.qlSimpleQuote(E24,,PriceTickValue,Permanent,Trigger,ObjectOverwrite)</f>
        <v>EURFUT1MU5_Quote#0000</v>
      </c>
      <c r="G24" s="105" t="str">
        <f>_xll.ohRangeRetrieveError(F24)</f>
        <v/>
      </c>
      <c r="H24" s="141"/>
    </row>
    <row r="25" spans="1:32" x14ac:dyDescent="0.2">
      <c r="A25" s="146"/>
      <c r="B25" s="107">
        <v>20</v>
      </c>
      <c r="C25" s="145" t="b">
        <v>0</v>
      </c>
      <c r="D25" s="144" t="str">
        <v>V5</v>
      </c>
      <c r="E25" s="143" t="str">
        <f t="shared" si="0"/>
        <v>EURFUT1MV5_Quote</v>
      </c>
      <c r="F25" s="142" t="str">
        <f>_xll.qlSimpleQuote(E25,,PriceTickValue,Permanent,Trigger,ObjectOverwrite)</f>
        <v>EURFUT1MV5_Quote#0000</v>
      </c>
      <c r="G25" s="105" t="str">
        <f>_xll.ohRangeRetrieveError(F25)</f>
        <v/>
      </c>
      <c r="H25" s="141"/>
    </row>
    <row r="26" spans="1:32" x14ac:dyDescent="0.2">
      <c r="A26" s="146"/>
      <c r="B26" s="107">
        <v>21</v>
      </c>
      <c r="C26" s="145" t="b">
        <v>0</v>
      </c>
      <c r="D26" s="144" t="str">
        <v>X5</v>
      </c>
      <c r="E26" s="143" t="str">
        <f t="shared" si="0"/>
        <v>EURFUT1MX5_Quote</v>
      </c>
      <c r="F26" s="142" t="str">
        <f>_xll.qlSimpleQuote(E26,,PriceTickValue,Permanent,Trigger,ObjectOverwrite)</f>
        <v>EURFUT1MX5_Quote#0000</v>
      </c>
      <c r="G26" s="105" t="str">
        <f>_xll.ohRangeRetrieveError(F26)</f>
        <v/>
      </c>
      <c r="H26" s="141"/>
    </row>
    <row r="27" spans="1:32" x14ac:dyDescent="0.2">
      <c r="A27" s="146"/>
      <c r="B27" s="107">
        <v>22</v>
      </c>
      <c r="C27" s="145" t="b">
        <v>0</v>
      </c>
      <c r="D27" s="144" t="str">
        <v>Z5</v>
      </c>
      <c r="E27" s="143" t="str">
        <f t="shared" si="0"/>
        <v>EURFUT1MZ5_Quote</v>
      </c>
      <c r="F27" s="142" t="str">
        <f>_xll.qlSimpleQuote(E27,,PriceTickValue,Permanent,Trigger,ObjectOverwrite)</f>
        <v>EURFUT1MZ5_Quote#0000</v>
      </c>
      <c r="G27" s="105" t="str">
        <f>_xll.ohRangeRetrieveError(F27)</f>
        <v/>
      </c>
      <c r="H27" s="141"/>
    </row>
    <row r="28" spans="1:32" x14ac:dyDescent="0.2">
      <c r="A28" s="146"/>
      <c r="B28" s="107">
        <v>23</v>
      </c>
      <c r="C28" s="145" t="b">
        <v>0</v>
      </c>
      <c r="D28" s="144" t="str">
        <v>F6</v>
      </c>
      <c r="E28" s="143" t="str">
        <f t="shared" si="0"/>
        <v>EURFUT1MF6_Quote</v>
      </c>
      <c r="F28" s="142" t="str">
        <f>_xll.qlSimpleQuote(E28,,PriceTickValue,Permanent,Trigger,ObjectOverwrite)</f>
        <v>EURFUT1MF6_Quote#0000</v>
      </c>
      <c r="G28" s="105" t="str">
        <f>_xll.ohRangeRetrieveError(F28)</f>
        <v/>
      </c>
      <c r="H28" s="141"/>
    </row>
    <row r="29" spans="1:32" x14ac:dyDescent="0.2">
      <c r="A29" s="146"/>
      <c r="B29" s="107">
        <v>24</v>
      </c>
      <c r="C29" s="145" t="b">
        <v>0</v>
      </c>
      <c r="D29" s="144" t="str">
        <v>G6</v>
      </c>
      <c r="E29" s="143" t="str">
        <f t="shared" si="0"/>
        <v>EURFUT1MG6_Quote</v>
      </c>
      <c r="F29" s="142" t="str">
        <f>_xll.qlSimpleQuote(E29,,PriceTickValue,Permanent,Trigger,ObjectOverwrite)</f>
        <v>EURFUT1MG6_Quote#0000</v>
      </c>
      <c r="G29" s="105" t="str">
        <f>_xll.ohRangeRetrieveError(F29)</f>
        <v/>
      </c>
      <c r="H29" s="141"/>
    </row>
    <row r="30" spans="1:32" x14ac:dyDescent="0.2">
      <c r="A30" s="146"/>
      <c r="B30" s="107">
        <v>25</v>
      </c>
      <c r="C30" s="145" t="b">
        <v>0</v>
      </c>
      <c r="D30" s="144" t="str">
        <v>H6</v>
      </c>
      <c r="E30" s="143" t="str">
        <f t="shared" si="0"/>
        <v>EURFUT1MH6_Quote</v>
      </c>
      <c r="F30" s="142" t="str">
        <f>_xll.qlSimpleQuote(E30,,PriceTickValue,Permanent,Trigger,ObjectOverwrite)</f>
        <v>EURFUT1MH6_Quote#0000</v>
      </c>
      <c r="G30" s="105" t="str">
        <f>_xll.ohRangeRetrieveError(F30)</f>
        <v/>
      </c>
      <c r="H30" s="141"/>
    </row>
    <row r="31" spans="1:32" x14ac:dyDescent="0.2">
      <c r="A31" s="146"/>
      <c r="B31" s="107">
        <v>26</v>
      </c>
      <c r="C31" s="145" t="b">
        <v>0</v>
      </c>
      <c r="D31" s="144" t="str">
        <v>J6</v>
      </c>
      <c r="E31" s="143" t="str">
        <f t="shared" si="0"/>
        <v>EURFUT1MJ6_Quote</v>
      </c>
      <c r="F31" s="142" t="str">
        <f>_xll.qlSimpleQuote(E31,,PriceTickValue,Permanent,Trigger,ObjectOverwrite)</f>
        <v>EURFUT1MJ6_Quote#0000</v>
      </c>
      <c r="G31" s="105" t="str">
        <f>_xll.ohRangeRetrieveError(F31)</f>
        <v/>
      </c>
      <c r="H31" s="141"/>
    </row>
    <row r="32" spans="1:32" x14ac:dyDescent="0.2">
      <c r="A32" s="146"/>
      <c r="B32" s="107">
        <v>27</v>
      </c>
      <c r="C32" s="145" t="b">
        <v>0</v>
      </c>
      <c r="D32" s="144" t="str">
        <v>K6</v>
      </c>
      <c r="E32" s="143" t="str">
        <f t="shared" si="0"/>
        <v>EURFUT1MK6_Quote</v>
      </c>
      <c r="F32" s="142" t="str">
        <f>_xll.qlSimpleQuote(E32,,PriceTickValue,Permanent,Trigger,ObjectOverwrite)</f>
        <v>EURFUT1MK6_Quote#0000</v>
      </c>
      <c r="G32" s="105" t="str">
        <f>_xll.ohRangeRetrieveError(F32)</f>
        <v/>
      </c>
      <c r="H32" s="141"/>
    </row>
    <row r="33" spans="1:8" x14ac:dyDescent="0.2">
      <c r="A33" s="146"/>
      <c r="B33" s="107">
        <v>28</v>
      </c>
      <c r="C33" s="145" t="b">
        <v>0</v>
      </c>
      <c r="D33" s="144" t="str">
        <v>M6</v>
      </c>
      <c r="E33" s="143" t="str">
        <f t="shared" si="0"/>
        <v>EURFUT1MM6_Quote</v>
      </c>
      <c r="F33" s="142" t="str">
        <f>_xll.qlSimpleQuote(E33,,PriceTickValue,Permanent,Trigger,ObjectOverwrite)</f>
        <v>EURFUT1MM6_Quote#0000</v>
      </c>
      <c r="G33" s="105" t="str">
        <f>_xll.ohRangeRetrieveError(F33)</f>
        <v/>
      </c>
      <c r="H33" s="141"/>
    </row>
    <row r="34" spans="1:8" x14ac:dyDescent="0.2">
      <c r="A34" s="146"/>
      <c r="B34" s="107">
        <v>29</v>
      </c>
      <c r="C34" s="145" t="b">
        <v>0</v>
      </c>
      <c r="D34" s="144" t="str">
        <v>N6</v>
      </c>
      <c r="E34" s="143" t="str">
        <f t="shared" si="0"/>
        <v>EURFUT1MN6_Quote</v>
      </c>
      <c r="F34" s="142" t="str">
        <f>_xll.qlSimpleQuote(E34,,PriceTickValue,Permanent,Trigger,ObjectOverwrite)</f>
        <v>EURFUT1MN6_Quote#0000</v>
      </c>
      <c r="G34" s="105" t="str">
        <f>_xll.ohRangeRetrieveError(F34)</f>
        <v/>
      </c>
      <c r="H34" s="141"/>
    </row>
    <row r="35" spans="1:8" x14ac:dyDescent="0.2">
      <c r="A35" s="146"/>
      <c r="B35" s="107">
        <v>30</v>
      </c>
      <c r="C35" s="145" t="b">
        <v>0</v>
      </c>
      <c r="D35" s="144" t="str">
        <v>Q6</v>
      </c>
      <c r="E35" s="143" t="str">
        <f t="shared" si="0"/>
        <v>EURFUT1MQ6_Quote</v>
      </c>
      <c r="F35" s="142" t="str">
        <f>_xll.qlSimpleQuote(E35,,PriceTickValue,Permanent,Trigger,ObjectOverwrite)</f>
        <v>EURFUT1MQ6_Quote#0000</v>
      </c>
      <c r="G35" s="105" t="str">
        <f>_xll.ohRangeRetrieveError(F35)</f>
        <v/>
      </c>
      <c r="H35" s="141"/>
    </row>
    <row r="36" spans="1:8" x14ac:dyDescent="0.2">
      <c r="A36" s="146"/>
      <c r="B36" s="107">
        <v>31</v>
      </c>
      <c r="C36" s="145" t="b">
        <v>0</v>
      </c>
      <c r="D36" s="144" t="str">
        <v>U6</v>
      </c>
      <c r="E36" s="143" t="str">
        <f t="shared" si="0"/>
        <v>EURFUT1MU6_Quote</v>
      </c>
      <c r="F36" s="142" t="str">
        <f>_xll.qlSimpleQuote(E36,,PriceTickValue,Permanent,Trigger,ObjectOverwrite)</f>
        <v>EURFUT1MU6_Quote#0000</v>
      </c>
      <c r="G36" s="105" t="str">
        <f>_xll.ohRangeRetrieveError(F36)</f>
        <v/>
      </c>
      <c r="H36" s="141"/>
    </row>
    <row r="37" spans="1:8" x14ac:dyDescent="0.2">
      <c r="A37" s="146"/>
      <c r="B37" s="107">
        <v>32</v>
      </c>
      <c r="C37" s="145" t="b">
        <v>0</v>
      </c>
      <c r="D37" s="144" t="str">
        <v>V6</v>
      </c>
      <c r="E37" s="143" t="str">
        <f t="shared" si="0"/>
        <v>EURFUT1MV6_Quote</v>
      </c>
      <c r="F37" s="142" t="str">
        <f>_xll.qlSimpleQuote(E37,,PriceTickValue,Permanent,Trigger,ObjectOverwrite)</f>
        <v>EURFUT1MV6_Quote#0000</v>
      </c>
      <c r="G37" s="105" t="str">
        <f>_xll.ohRangeRetrieveError(F37)</f>
        <v/>
      </c>
      <c r="H37" s="141"/>
    </row>
    <row r="38" spans="1:8" x14ac:dyDescent="0.2">
      <c r="A38" s="146"/>
      <c r="B38" s="107">
        <v>33</v>
      </c>
      <c r="C38" s="145" t="b">
        <v>0</v>
      </c>
      <c r="D38" s="144" t="str">
        <v>X6</v>
      </c>
      <c r="E38" s="143" t="str">
        <f t="shared" ref="E38:E69" si="2">Currency&amp;$D$4&amp;$E$4&amp;$D38&amp;QuoteSuffix</f>
        <v>EURFUT1MX6_Quote</v>
      </c>
      <c r="F38" s="142" t="str">
        <f>_xll.qlSimpleQuote(E38,,PriceTickValue,Permanent,Trigger,ObjectOverwrite)</f>
        <v>EURFUT1MX6_Quote#0000</v>
      </c>
      <c r="G38" s="105" t="str">
        <f>_xll.ohRangeRetrieveError(F38)</f>
        <v/>
      </c>
      <c r="H38" s="141"/>
    </row>
    <row r="39" spans="1:8" x14ac:dyDescent="0.2">
      <c r="A39" s="146"/>
      <c r="B39" s="107">
        <v>34</v>
      </c>
      <c r="C39" s="145" t="b">
        <v>0</v>
      </c>
      <c r="D39" s="144" t="str">
        <v>Z6</v>
      </c>
      <c r="E39" s="143" t="str">
        <f t="shared" si="2"/>
        <v>EURFUT1MZ6_Quote</v>
      </c>
      <c r="F39" s="142" t="str">
        <f>_xll.qlSimpleQuote(E39,,PriceTickValue,Permanent,Trigger,ObjectOverwrite)</f>
        <v>EURFUT1MZ6_Quote#0000</v>
      </c>
      <c r="G39" s="105" t="str">
        <f>_xll.ohRangeRetrieveError(F39)</f>
        <v/>
      </c>
      <c r="H39" s="141"/>
    </row>
    <row r="40" spans="1:8" x14ac:dyDescent="0.2">
      <c r="A40" s="146"/>
      <c r="B40" s="107">
        <v>35</v>
      </c>
      <c r="C40" s="145" t="b">
        <v>0</v>
      </c>
      <c r="D40" s="144" t="str">
        <v>F7</v>
      </c>
      <c r="E40" s="143" t="str">
        <f t="shared" si="2"/>
        <v>EURFUT1MF7_Quote</v>
      </c>
      <c r="F40" s="142" t="str">
        <f>_xll.qlSimpleQuote(E40,,PriceTickValue,Permanent,Trigger,ObjectOverwrite)</f>
        <v>EURFUT1MF7_Quote#0000</v>
      </c>
      <c r="G40" s="105" t="str">
        <f>_xll.ohRangeRetrieveError(F40)</f>
        <v/>
      </c>
      <c r="H40" s="141"/>
    </row>
    <row r="41" spans="1:8" x14ac:dyDescent="0.2">
      <c r="A41" s="146"/>
      <c r="B41" s="107">
        <v>36</v>
      </c>
      <c r="C41" s="145" t="b">
        <v>0</v>
      </c>
      <c r="D41" s="144" t="str">
        <v>G7</v>
      </c>
      <c r="E41" s="143" t="str">
        <f t="shared" si="2"/>
        <v>EURFUT1MG7_Quote</v>
      </c>
      <c r="F41" s="142" t="str">
        <f>_xll.qlSimpleQuote(E41,,PriceTickValue,Permanent,Trigger,ObjectOverwrite)</f>
        <v>EURFUT1MG7_Quote#0000</v>
      </c>
      <c r="G41" s="105" t="str">
        <f>_xll.ohRangeRetrieveError(F41)</f>
        <v/>
      </c>
      <c r="H41" s="141"/>
    </row>
    <row r="42" spans="1:8" x14ac:dyDescent="0.2">
      <c r="A42" s="146"/>
      <c r="B42" s="107">
        <v>37</v>
      </c>
      <c r="C42" s="145" t="b">
        <v>0</v>
      </c>
      <c r="D42" s="144" t="str">
        <v>H7</v>
      </c>
      <c r="E42" s="143" t="str">
        <f t="shared" si="2"/>
        <v>EURFUT1MH7_Quote</v>
      </c>
      <c r="F42" s="142" t="str">
        <f>_xll.qlSimpleQuote(E42,,PriceTickValue,Permanent,Trigger,ObjectOverwrite)</f>
        <v>EURFUT1MH7_Quote#0000</v>
      </c>
      <c r="G42" s="105" t="str">
        <f>_xll.ohRangeRetrieveError(F42)</f>
        <v/>
      </c>
      <c r="H42" s="141"/>
    </row>
    <row r="43" spans="1:8" x14ac:dyDescent="0.2">
      <c r="A43" s="146"/>
      <c r="B43" s="107">
        <v>38</v>
      </c>
      <c r="C43" s="145" t="b">
        <v>0</v>
      </c>
      <c r="D43" s="144" t="str">
        <v>J7</v>
      </c>
      <c r="E43" s="143" t="str">
        <f t="shared" si="2"/>
        <v>EURFUT1MJ7_Quote</v>
      </c>
      <c r="F43" s="142" t="str">
        <f>_xll.qlSimpleQuote(E43,,PriceTickValue,Permanent,Trigger,ObjectOverwrite)</f>
        <v>EURFUT1MJ7_Quote#0000</v>
      </c>
      <c r="G43" s="105" t="str">
        <f>_xll.ohRangeRetrieveError(F43)</f>
        <v/>
      </c>
      <c r="H43" s="141"/>
    </row>
    <row r="44" spans="1:8" x14ac:dyDescent="0.2">
      <c r="A44" s="146"/>
      <c r="B44" s="107">
        <v>39</v>
      </c>
      <c r="C44" s="145" t="b">
        <v>0</v>
      </c>
      <c r="D44" s="144" t="str">
        <v>K7</v>
      </c>
      <c r="E44" s="143" t="str">
        <f t="shared" si="2"/>
        <v>EURFUT1MK7_Quote</v>
      </c>
      <c r="F44" s="142" t="str">
        <f>_xll.qlSimpleQuote(E44,,PriceTickValue,Permanent,Trigger,ObjectOverwrite)</f>
        <v>EURFUT1MK7_Quote#0000</v>
      </c>
      <c r="G44" s="105" t="str">
        <f>_xll.ohRangeRetrieveError(F44)</f>
        <v/>
      </c>
      <c r="H44" s="141"/>
    </row>
    <row r="45" spans="1:8" x14ac:dyDescent="0.2">
      <c r="A45" s="146"/>
      <c r="B45" s="107">
        <v>40</v>
      </c>
      <c r="C45" s="145" t="b">
        <v>0</v>
      </c>
      <c r="D45" s="144" t="str">
        <v>M7</v>
      </c>
      <c r="E45" s="143" t="str">
        <f t="shared" si="2"/>
        <v>EURFUT1MM7_Quote</v>
      </c>
      <c r="F45" s="142" t="str">
        <f>_xll.qlSimpleQuote(E45,,PriceTickValue,Permanent,Trigger,ObjectOverwrite)</f>
        <v>EURFUT1MM7_Quote#0000</v>
      </c>
      <c r="G45" s="105" t="str">
        <f>_xll.ohRangeRetrieveError(F45)</f>
        <v/>
      </c>
      <c r="H45" s="141"/>
    </row>
    <row r="46" spans="1:8" x14ac:dyDescent="0.2">
      <c r="A46" s="146"/>
      <c r="B46" s="107">
        <v>41</v>
      </c>
      <c r="C46" s="145" t="b">
        <v>0</v>
      </c>
      <c r="D46" s="144" t="str">
        <v>N7</v>
      </c>
      <c r="E46" s="143" t="str">
        <f t="shared" si="2"/>
        <v>EURFUT1MN7_Quote</v>
      </c>
      <c r="F46" s="142" t="str">
        <f>_xll.qlSimpleQuote(E46,,PriceTickValue,Permanent,Trigger,ObjectOverwrite)</f>
        <v>EURFUT1MN7_Quote#0000</v>
      </c>
      <c r="G46" s="105" t="str">
        <f>_xll.ohRangeRetrieveError(F46)</f>
        <v/>
      </c>
      <c r="H46" s="141"/>
    </row>
    <row r="47" spans="1:8" x14ac:dyDescent="0.2">
      <c r="A47" s="146"/>
      <c r="B47" s="107">
        <v>42</v>
      </c>
      <c r="C47" s="145" t="b">
        <v>0</v>
      </c>
      <c r="D47" s="144" t="str">
        <v>Q7</v>
      </c>
      <c r="E47" s="143" t="str">
        <f t="shared" si="2"/>
        <v>EURFUT1MQ7_Quote</v>
      </c>
      <c r="F47" s="142" t="str">
        <f>_xll.qlSimpleQuote(E47,,PriceTickValue,Permanent,Trigger,ObjectOverwrite)</f>
        <v>EURFUT1MQ7_Quote#0000</v>
      </c>
      <c r="G47" s="105" t="str">
        <f>_xll.ohRangeRetrieveError(F47)</f>
        <v/>
      </c>
      <c r="H47" s="141"/>
    </row>
    <row r="48" spans="1:8" x14ac:dyDescent="0.2">
      <c r="A48" s="146"/>
      <c r="B48" s="107">
        <v>43</v>
      </c>
      <c r="C48" s="145" t="b">
        <v>0</v>
      </c>
      <c r="D48" s="144" t="str">
        <v>U7</v>
      </c>
      <c r="E48" s="143" t="str">
        <f t="shared" si="2"/>
        <v>EURFUT1MU7_Quote</v>
      </c>
      <c r="F48" s="142" t="str">
        <f>_xll.qlSimpleQuote(E48,,PriceTickValue,Permanent,Trigger,ObjectOverwrite)</f>
        <v>EURFUT1MU7_Quote#0000</v>
      </c>
      <c r="G48" s="105" t="str">
        <f>_xll.ohRangeRetrieveError(F48)</f>
        <v/>
      </c>
      <c r="H48" s="141"/>
    </row>
    <row r="49" spans="1:8" x14ac:dyDescent="0.2">
      <c r="A49" s="146"/>
      <c r="B49" s="107">
        <v>44</v>
      </c>
      <c r="C49" s="145" t="b">
        <v>0</v>
      </c>
      <c r="D49" s="144" t="str">
        <v>V7</v>
      </c>
      <c r="E49" s="143" t="str">
        <f t="shared" si="2"/>
        <v>EURFUT1MV7_Quote</v>
      </c>
      <c r="F49" s="142" t="str">
        <f>_xll.qlSimpleQuote(E49,,PriceTickValue,Permanent,Trigger,ObjectOverwrite)</f>
        <v>EURFUT1MV7_Quote#0000</v>
      </c>
      <c r="G49" s="105" t="str">
        <f>_xll.ohRangeRetrieveError(F49)</f>
        <v/>
      </c>
      <c r="H49" s="141"/>
    </row>
    <row r="50" spans="1:8" x14ac:dyDescent="0.2">
      <c r="A50" s="146"/>
      <c r="B50" s="107">
        <v>45</v>
      </c>
      <c r="C50" s="145" t="b">
        <v>0</v>
      </c>
      <c r="D50" s="144" t="str">
        <v>X7</v>
      </c>
      <c r="E50" s="143" t="str">
        <f t="shared" si="2"/>
        <v>EURFUT1MX7_Quote</v>
      </c>
      <c r="F50" s="142" t="str">
        <f>_xll.qlSimpleQuote(E50,,PriceTickValue,Permanent,Trigger,ObjectOverwrite)</f>
        <v>EURFUT1MX7_Quote#0000</v>
      </c>
      <c r="G50" s="105" t="str">
        <f>_xll.ohRangeRetrieveError(F50)</f>
        <v/>
      </c>
      <c r="H50" s="141"/>
    </row>
    <row r="51" spans="1:8" x14ac:dyDescent="0.2">
      <c r="A51" s="146"/>
      <c r="B51" s="107">
        <v>46</v>
      </c>
      <c r="C51" s="145" t="b">
        <v>0</v>
      </c>
      <c r="D51" s="144" t="str">
        <v>Z7</v>
      </c>
      <c r="E51" s="143" t="str">
        <f t="shared" si="2"/>
        <v>EURFUT1MZ7_Quote</v>
      </c>
      <c r="F51" s="142" t="str">
        <f>_xll.qlSimpleQuote(E51,,PriceTickValue,Permanent,Trigger,ObjectOverwrite)</f>
        <v>EURFUT1MZ7_Quote#0000</v>
      </c>
      <c r="G51" s="105" t="str">
        <f>_xll.ohRangeRetrieveError(F51)</f>
        <v/>
      </c>
      <c r="H51" s="141"/>
    </row>
    <row r="52" spans="1:8" x14ac:dyDescent="0.2">
      <c r="A52" s="146"/>
      <c r="B52" s="107">
        <v>47</v>
      </c>
      <c r="C52" s="145" t="b">
        <v>0</v>
      </c>
      <c r="D52" s="144" t="str">
        <v>F8</v>
      </c>
      <c r="E52" s="143" t="str">
        <f t="shared" si="2"/>
        <v>EURFUT1MF8_Quote</v>
      </c>
      <c r="F52" s="142" t="str">
        <f>_xll.qlSimpleQuote(E52,,PriceTickValue,Permanent,Trigger,ObjectOverwrite)</f>
        <v>EURFUT1MF8_Quote#0000</v>
      </c>
      <c r="G52" s="105" t="str">
        <f>_xll.ohRangeRetrieveError(F52)</f>
        <v/>
      </c>
      <c r="H52" s="141"/>
    </row>
    <row r="53" spans="1:8" x14ac:dyDescent="0.2">
      <c r="A53" s="146"/>
      <c r="B53" s="107">
        <v>48</v>
      </c>
      <c r="C53" s="145" t="b">
        <v>0</v>
      </c>
      <c r="D53" s="144" t="str">
        <v>G8</v>
      </c>
      <c r="E53" s="143" t="str">
        <f t="shared" si="2"/>
        <v>EURFUT1MG8_Quote</v>
      </c>
      <c r="F53" s="142" t="str">
        <f>_xll.qlSimpleQuote(E53,,PriceTickValue,Permanent,Trigger,ObjectOverwrite)</f>
        <v>EURFUT1MG8_Quote#0000</v>
      </c>
      <c r="G53" s="105" t="str">
        <f>_xll.ohRangeRetrieveError(F53)</f>
        <v/>
      </c>
      <c r="H53" s="141"/>
    </row>
    <row r="54" spans="1:8" x14ac:dyDescent="0.2">
      <c r="A54" s="146"/>
      <c r="B54" s="107">
        <v>49</v>
      </c>
      <c r="C54" s="145" t="b">
        <v>0</v>
      </c>
      <c r="D54" s="144" t="str">
        <v>H8</v>
      </c>
      <c r="E54" s="143" t="str">
        <f t="shared" si="2"/>
        <v>EURFUT1MH8_Quote</v>
      </c>
      <c r="F54" s="142" t="str">
        <f>_xll.qlSimpleQuote(E54,,PriceTickValue,Permanent,Trigger,ObjectOverwrite)</f>
        <v>EURFUT1MH8_Quote#0000</v>
      </c>
      <c r="G54" s="105" t="str">
        <f>_xll.ohRangeRetrieveError(F54)</f>
        <v/>
      </c>
      <c r="H54" s="141"/>
    </row>
    <row r="55" spans="1:8" x14ac:dyDescent="0.2">
      <c r="A55" s="146"/>
      <c r="B55" s="107">
        <v>50</v>
      </c>
      <c r="C55" s="145" t="b">
        <v>0</v>
      </c>
      <c r="D55" s="144" t="str">
        <v>J8</v>
      </c>
      <c r="E55" s="143" t="str">
        <f t="shared" si="2"/>
        <v>EURFUT1MJ8_Quote</v>
      </c>
      <c r="F55" s="142" t="str">
        <f>_xll.qlSimpleQuote(E55,,PriceTickValue,Permanent,Trigger,ObjectOverwrite)</f>
        <v>EURFUT1MJ8_Quote#0000</v>
      </c>
      <c r="G55" s="105" t="str">
        <f>_xll.ohRangeRetrieveError(F55)</f>
        <v/>
      </c>
      <c r="H55" s="141"/>
    </row>
    <row r="56" spans="1:8" x14ac:dyDescent="0.2">
      <c r="A56" s="146"/>
      <c r="B56" s="107">
        <v>51</v>
      </c>
      <c r="C56" s="145" t="b">
        <v>0</v>
      </c>
      <c r="D56" s="144" t="str">
        <v>K8</v>
      </c>
      <c r="E56" s="143" t="str">
        <f t="shared" si="2"/>
        <v>EURFUT1MK8_Quote</v>
      </c>
      <c r="F56" s="142" t="str">
        <f>_xll.qlSimpleQuote(E56,,PriceTickValue,Permanent,Trigger,ObjectOverwrite)</f>
        <v>EURFUT1MK8_Quote#0000</v>
      </c>
      <c r="G56" s="105" t="str">
        <f>_xll.ohRangeRetrieveError(F56)</f>
        <v/>
      </c>
      <c r="H56" s="141"/>
    </row>
    <row r="57" spans="1:8" x14ac:dyDescent="0.2">
      <c r="A57" s="146"/>
      <c r="B57" s="107">
        <v>52</v>
      </c>
      <c r="C57" s="145" t="b">
        <v>0</v>
      </c>
      <c r="D57" s="144" t="str">
        <v>M8</v>
      </c>
      <c r="E57" s="143" t="str">
        <f t="shared" si="2"/>
        <v>EURFUT1MM8_Quote</v>
      </c>
      <c r="F57" s="142" t="str">
        <f>_xll.qlSimpleQuote(E57,,PriceTickValue,Permanent,Trigger,ObjectOverwrite)</f>
        <v>EURFUT1MM8_Quote#0000</v>
      </c>
      <c r="G57" s="105" t="str">
        <f>_xll.ohRangeRetrieveError(F57)</f>
        <v/>
      </c>
      <c r="H57" s="141"/>
    </row>
    <row r="58" spans="1:8" x14ac:dyDescent="0.2">
      <c r="A58" s="146"/>
      <c r="B58" s="107">
        <v>53</v>
      </c>
      <c r="C58" s="145" t="b">
        <v>0</v>
      </c>
      <c r="D58" s="144" t="str">
        <v>N8</v>
      </c>
      <c r="E58" s="143" t="str">
        <f t="shared" si="2"/>
        <v>EURFUT1MN8_Quote</v>
      </c>
      <c r="F58" s="142" t="str">
        <f>_xll.qlSimpleQuote(E58,,PriceTickValue,Permanent,Trigger,ObjectOverwrite)</f>
        <v>EURFUT1MN8_Quote#0000</v>
      </c>
      <c r="G58" s="105" t="str">
        <f>_xll.ohRangeRetrieveError(F58)</f>
        <v/>
      </c>
      <c r="H58" s="141"/>
    </row>
    <row r="59" spans="1:8" x14ac:dyDescent="0.2">
      <c r="A59" s="146"/>
      <c r="B59" s="107">
        <v>54</v>
      </c>
      <c r="C59" s="145" t="b">
        <v>0</v>
      </c>
      <c r="D59" s="144" t="str">
        <v>Q8</v>
      </c>
      <c r="E59" s="143" t="str">
        <f t="shared" si="2"/>
        <v>EURFUT1MQ8_Quote</v>
      </c>
      <c r="F59" s="142" t="str">
        <f>_xll.qlSimpleQuote(E59,,PriceTickValue,Permanent,Trigger,ObjectOverwrite)</f>
        <v>EURFUT1MQ8_Quote#0000</v>
      </c>
      <c r="G59" s="105" t="str">
        <f>_xll.ohRangeRetrieveError(F59)</f>
        <v/>
      </c>
      <c r="H59" s="141"/>
    </row>
    <row r="60" spans="1:8" x14ac:dyDescent="0.2">
      <c r="A60" s="146"/>
      <c r="B60" s="107">
        <v>55</v>
      </c>
      <c r="C60" s="145" t="b">
        <v>0</v>
      </c>
      <c r="D60" s="144" t="str">
        <v>U8</v>
      </c>
      <c r="E60" s="143" t="str">
        <f t="shared" si="2"/>
        <v>EURFUT1MU8_Quote</v>
      </c>
      <c r="F60" s="142" t="str">
        <f>_xll.qlSimpleQuote(E60,,PriceTickValue,Permanent,Trigger,ObjectOverwrite)</f>
        <v>EURFUT1MU8_Quote#0000</v>
      </c>
      <c r="G60" s="105" t="str">
        <f>_xll.ohRangeRetrieveError(F60)</f>
        <v/>
      </c>
      <c r="H60" s="141"/>
    </row>
    <row r="61" spans="1:8" x14ac:dyDescent="0.2">
      <c r="A61" s="146"/>
      <c r="B61" s="107">
        <v>56</v>
      </c>
      <c r="C61" s="145" t="b">
        <v>0</v>
      </c>
      <c r="D61" s="144" t="str">
        <v>V8</v>
      </c>
      <c r="E61" s="143" t="str">
        <f t="shared" si="2"/>
        <v>EURFUT1MV8_Quote</v>
      </c>
      <c r="F61" s="142" t="str">
        <f>_xll.qlSimpleQuote(E61,,PriceTickValue,Permanent,Trigger,ObjectOverwrite)</f>
        <v>EURFUT1MV8_Quote#0000</v>
      </c>
      <c r="G61" s="105" t="str">
        <f>_xll.ohRangeRetrieveError(F61)</f>
        <v/>
      </c>
      <c r="H61" s="141"/>
    </row>
    <row r="62" spans="1:8" x14ac:dyDescent="0.2">
      <c r="A62" s="146"/>
      <c r="B62" s="107">
        <v>57</v>
      </c>
      <c r="C62" s="145" t="b">
        <v>0</v>
      </c>
      <c r="D62" s="144" t="str">
        <v>X8</v>
      </c>
      <c r="E62" s="143" t="str">
        <f t="shared" si="2"/>
        <v>EURFUT1MX8_Quote</v>
      </c>
      <c r="F62" s="142" t="str">
        <f>_xll.qlSimpleQuote(E62,,PriceTickValue,Permanent,Trigger,ObjectOverwrite)</f>
        <v>EURFUT1MX8_Quote#0000</v>
      </c>
      <c r="G62" s="105" t="str">
        <f>_xll.ohRangeRetrieveError(F62)</f>
        <v/>
      </c>
      <c r="H62" s="141"/>
    </row>
    <row r="63" spans="1:8" x14ac:dyDescent="0.2">
      <c r="A63" s="146"/>
      <c r="B63" s="107">
        <v>58</v>
      </c>
      <c r="C63" s="145" t="b">
        <v>0</v>
      </c>
      <c r="D63" s="144" t="str">
        <v>Z8</v>
      </c>
      <c r="E63" s="143" t="str">
        <f t="shared" si="2"/>
        <v>EURFUT1MZ8_Quote</v>
      </c>
      <c r="F63" s="142" t="str">
        <f>_xll.qlSimpleQuote(E63,,PriceTickValue,Permanent,Trigger,ObjectOverwrite)</f>
        <v>EURFUT1MZ8_Quote#0000</v>
      </c>
      <c r="G63" s="105" t="str">
        <f>_xll.ohRangeRetrieveError(F63)</f>
        <v/>
      </c>
      <c r="H63" s="141"/>
    </row>
    <row r="64" spans="1:8" x14ac:dyDescent="0.2">
      <c r="A64" s="146"/>
      <c r="B64" s="107">
        <v>59</v>
      </c>
      <c r="C64" s="145" t="b">
        <v>0</v>
      </c>
      <c r="D64" s="144" t="str">
        <v>F9</v>
      </c>
      <c r="E64" s="143" t="str">
        <f t="shared" si="2"/>
        <v>EURFUT1MF9_Quote</v>
      </c>
      <c r="F64" s="142" t="str">
        <f>_xll.qlSimpleQuote(E64,,PriceTickValue,Permanent,Trigger,ObjectOverwrite)</f>
        <v>EURFUT1MF9_Quote#0000</v>
      </c>
      <c r="G64" s="105" t="str">
        <f>_xll.ohRangeRetrieveError(F64)</f>
        <v/>
      </c>
      <c r="H64" s="141"/>
    </row>
    <row r="65" spans="1:8" x14ac:dyDescent="0.2">
      <c r="A65" s="146"/>
      <c r="B65" s="107">
        <v>60</v>
      </c>
      <c r="C65" s="145" t="b">
        <v>0</v>
      </c>
      <c r="D65" s="144" t="str">
        <v>G9</v>
      </c>
      <c r="E65" s="143" t="str">
        <f t="shared" si="2"/>
        <v>EURFUT1MG9_Quote</v>
      </c>
      <c r="F65" s="142" t="str">
        <f>_xll.qlSimpleQuote(E65,,PriceTickValue,Permanent,Trigger,ObjectOverwrite)</f>
        <v>EURFUT1MG9_Quote#0000</v>
      </c>
      <c r="G65" s="105" t="str">
        <f>_xll.ohRangeRetrieveError(F65)</f>
        <v/>
      </c>
      <c r="H65" s="141"/>
    </row>
    <row r="66" spans="1:8" x14ac:dyDescent="0.2">
      <c r="A66" s="146"/>
      <c r="B66" s="107">
        <v>61</v>
      </c>
      <c r="C66" s="145" t="b">
        <v>0</v>
      </c>
      <c r="D66" s="144" t="str">
        <v>H9</v>
      </c>
      <c r="E66" s="143" t="str">
        <f t="shared" si="2"/>
        <v>EURFUT1MH9_Quote</v>
      </c>
      <c r="F66" s="142" t="str">
        <f>_xll.qlSimpleQuote(E66,,PriceTickValue,Permanent,Trigger,ObjectOverwrite)</f>
        <v>EURFUT1MH9_Quote#0000</v>
      </c>
      <c r="G66" s="105" t="str">
        <f>_xll.ohRangeRetrieveError(F66)</f>
        <v/>
      </c>
      <c r="H66" s="141"/>
    </row>
    <row r="67" spans="1:8" x14ac:dyDescent="0.2">
      <c r="A67" s="146"/>
      <c r="B67" s="107">
        <v>62</v>
      </c>
      <c r="C67" s="145" t="b">
        <v>0</v>
      </c>
      <c r="D67" s="144" t="str">
        <v>J9</v>
      </c>
      <c r="E67" s="143" t="str">
        <f t="shared" si="2"/>
        <v>EURFUT1MJ9_Quote</v>
      </c>
      <c r="F67" s="142" t="str">
        <f>_xll.qlSimpleQuote(E67,,PriceTickValue,Permanent,Trigger,ObjectOverwrite)</f>
        <v>EURFUT1MJ9_Quote#0000</v>
      </c>
      <c r="G67" s="105" t="str">
        <f>_xll.ohRangeRetrieveError(F67)</f>
        <v/>
      </c>
      <c r="H67" s="141"/>
    </row>
    <row r="68" spans="1:8" x14ac:dyDescent="0.2">
      <c r="A68" s="146"/>
      <c r="B68" s="107">
        <v>63</v>
      </c>
      <c r="C68" s="145" t="b">
        <v>0</v>
      </c>
      <c r="D68" s="144" t="str">
        <v>K9</v>
      </c>
      <c r="E68" s="143" t="str">
        <f t="shared" si="2"/>
        <v>EURFUT1MK9_Quote</v>
      </c>
      <c r="F68" s="142" t="str">
        <f>_xll.qlSimpleQuote(E68,,PriceTickValue,Permanent,Trigger,ObjectOverwrite)</f>
        <v>EURFUT1MK9_Quote#0000</v>
      </c>
      <c r="G68" s="105" t="str">
        <f>_xll.ohRangeRetrieveError(F68)</f>
        <v/>
      </c>
      <c r="H68" s="141"/>
    </row>
    <row r="69" spans="1:8" x14ac:dyDescent="0.2">
      <c r="A69" s="146"/>
      <c r="B69" s="107">
        <v>64</v>
      </c>
      <c r="C69" s="145" t="b">
        <v>0</v>
      </c>
      <c r="D69" s="144" t="str">
        <v>M9</v>
      </c>
      <c r="E69" s="143" t="str">
        <f t="shared" si="2"/>
        <v>EURFUT1MM9_Quote</v>
      </c>
      <c r="F69" s="142" t="str">
        <f>_xll.qlSimpleQuote(E69,,PriceTickValue,Permanent,Trigger,ObjectOverwrite)</f>
        <v>EURFUT1MM9_Quote#0000</v>
      </c>
      <c r="G69" s="105" t="str">
        <f>_xll.ohRangeRetrieveError(F69)</f>
        <v/>
      </c>
      <c r="H69" s="141"/>
    </row>
    <row r="70" spans="1:8" x14ac:dyDescent="0.2">
      <c r="A70" s="146"/>
      <c r="B70" s="107">
        <v>65</v>
      </c>
      <c r="C70" s="145" t="b">
        <v>0</v>
      </c>
      <c r="D70" s="144" t="str">
        <v>N9</v>
      </c>
      <c r="E70" s="143" t="str">
        <f t="shared" ref="E70:E101" si="3">Currency&amp;$D$4&amp;$E$4&amp;$D70&amp;QuoteSuffix</f>
        <v>EURFUT1MN9_Quote</v>
      </c>
      <c r="F70" s="142" t="str">
        <f>_xll.qlSimpleQuote(E70,,PriceTickValue,Permanent,Trigger,ObjectOverwrite)</f>
        <v>EURFUT1MN9_Quote#0000</v>
      </c>
      <c r="G70" s="105" t="str">
        <f>_xll.ohRangeRetrieveError(F70)</f>
        <v/>
      </c>
      <c r="H70" s="141"/>
    </row>
    <row r="71" spans="1:8" x14ac:dyDescent="0.2">
      <c r="A71" s="146"/>
      <c r="B71" s="107">
        <v>66</v>
      </c>
      <c r="C71" s="145" t="b">
        <v>0</v>
      </c>
      <c r="D71" s="144" t="str">
        <v>Q9</v>
      </c>
      <c r="E71" s="143" t="str">
        <f t="shared" si="3"/>
        <v>EURFUT1MQ9_Quote</v>
      </c>
      <c r="F71" s="142" t="str">
        <f>_xll.qlSimpleQuote(E71,,PriceTickValue,Permanent,Trigger,ObjectOverwrite)</f>
        <v>EURFUT1MQ9_Quote#0000</v>
      </c>
      <c r="G71" s="105" t="str">
        <f>_xll.ohRangeRetrieveError(F71)</f>
        <v/>
      </c>
      <c r="H71" s="141"/>
    </row>
    <row r="72" spans="1:8" x14ac:dyDescent="0.2">
      <c r="A72" s="146"/>
      <c r="B72" s="107">
        <v>67</v>
      </c>
      <c r="C72" s="145" t="b">
        <v>0</v>
      </c>
      <c r="D72" s="144" t="str">
        <v>U9</v>
      </c>
      <c r="E72" s="143" t="str">
        <f t="shared" si="3"/>
        <v>EURFUT1MU9_Quote</v>
      </c>
      <c r="F72" s="142" t="str">
        <f>_xll.qlSimpleQuote(E72,,PriceTickValue,Permanent,Trigger,ObjectOverwrite)</f>
        <v>EURFUT1MU9_Quote#0000</v>
      </c>
      <c r="G72" s="105" t="str">
        <f>_xll.ohRangeRetrieveError(F72)</f>
        <v/>
      </c>
      <c r="H72" s="141"/>
    </row>
    <row r="73" spans="1:8" x14ac:dyDescent="0.2">
      <c r="A73" s="146"/>
      <c r="B73" s="107">
        <v>68</v>
      </c>
      <c r="C73" s="145" t="b">
        <v>0</v>
      </c>
      <c r="D73" s="144" t="str">
        <v>V9</v>
      </c>
      <c r="E73" s="143" t="str">
        <f t="shared" si="3"/>
        <v>EURFUT1MV9_Quote</v>
      </c>
      <c r="F73" s="142" t="str">
        <f>_xll.qlSimpleQuote(E73,,PriceTickValue,Permanent,Trigger,ObjectOverwrite)</f>
        <v>EURFUT1MV9_Quote#0000</v>
      </c>
      <c r="G73" s="105" t="str">
        <f>_xll.ohRangeRetrieveError(F73)</f>
        <v/>
      </c>
      <c r="H73" s="141"/>
    </row>
    <row r="74" spans="1:8" x14ac:dyDescent="0.2">
      <c r="A74" s="146"/>
      <c r="B74" s="107">
        <v>69</v>
      </c>
      <c r="C74" s="145" t="b">
        <v>0</v>
      </c>
      <c r="D74" s="144" t="str">
        <v>X9</v>
      </c>
      <c r="E74" s="143" t="str">
        <f t="shared" si="3"/>
        <v>EURFUT1MX9_Quote</v>
      </c>
      <c r="F74" s="142" t="str">
        <f>_xll.qlSimpleQuote(E74,,PriceTickValue,Permanent,Trigger,ObjectOverwrite)</f>
        <v>EURFUT1MX9_Quote#0000</v>
      </c>
      <c r="G74" s="105" t="str">
        <f>_xll.ohRangeRetrieveError(F74)</f>
        <v/>
      </c>
      <c r="H74" s="141"/>
    </row>
    <row r="75" spans="1:8" x14ac:dyDescent="0.2">
      <c r="A75" s="146"/>
      <c r="B75" s="107">
        <v>70</v>
      </c>
      <c r="C75" s="145" t="b">
        <v>0</v>
      </c>
      <c r="D75" s="144" t="str">
        <v>Z9</v>
      </c>
      <c r="E75" s="143" t="str">
        <f t="shared" si="3"/>
        <v>EURFUT1MZ9_Quote</v>
      </c>
      <c r="F75" s="142" t="str">
        <f>_xll.qlSimpleQuote(E75,,PriceTickValue,Permanent,Trigger,ObjectOverwrite)</f>
        <v>EURFUT1MZ9_Quote#0000</v>
      </c>
      <c r="G75" s="105" t="str">
        <f>_xll.ohRangeRetrieveError(F75)</f>
        <v/>
      </c>
      <c r="H75" s="141"/>
    </row>
    <row r="76" spans="1:8" x14ac:dyDescent="0.2">
      <c r="A76" s="146"/>
      <c r="B76" s="107">
        <v>71</v>
      </c>
      <c r="C76" s="145" t="b">
        <v>0</v>
      </c>
      <c r="D76" s="144" t="str">
        <v>F0</v>
      </c>
      <c r="E76" s="143" t="str">
        <f t="shared" si="3"/>
        <v>EURFUT1MF0_Quote</v>
      </c>
      <c r="F76" s="142" t="str">
        <f>_xll.qlSimpleQuote(E76,,PriceTickValue,Permanent,Trigger,ObjectOverwrite)</f>
        <v>EURFUT1MF0_Quote#0000</v>
      </c>
      <c r="G76" s="105" t="str">
        <f>_xll.ohRangeRetrieveError(F76)</f>
        <v/>
      </c>
      <c r="H76" s="141"/>
    </row>
    <row r="77" spans="1:8" x14ac:dyDescent="0.2">
      <c r="A77" s="146"/>
      <c r="B77" s="107">
        <v>72</v>
      </c>
      <c r="C77" s="145" t="b">
        <v>0</v>
      </c>
      <c r="D77" s="144" t="str">
        <v>G0</v>
      </c>
      <c r="E77" s="143" t="str">
        <f t="shared" si="3"/>
        <v>EURFUT1MG0_Quote</v>
      </c>
      <c r="F77" s="142" t="str">
        <f>_xll.qlSimpleQuote(E77,,PriceTickValue,Permanent,Trigger,ObjectOverwrite)</f>
        <v>EURFUT1MG0_Quote#0000</v>
      </c>
      <c r="G77" s="105" t="str">
        <f>_xll.ohRangeRetrieveError(F77)</f>
        <v/>
      </c>
      <c r="H77" s="141"/>
    </row>
    <row r="78" spans="1:8" x14ac:dyDescent="0.2">
      <c r="A78" s="146"/>
      <c r="B78" s="107">
        <v>73</v>
      </c>
      <c r="C78" s="145" t="b">
        <v>0</v>
      </c>
      <c r="D78" s="144" t="str">
        <v>H0</v>
      </c>
      <c r="E78" s="143" t="str">
        <f t="shared" si="3"/>
        <v>EURFUT1MH0_Quote</v>
      </c>
      <c r="F78" s="142" t="str">
        <f>_xll.qlSimpleQuote(E78,,PriceTickValue,Permanent,Trigger,ObjectOverwrite)</f>
        <v>EURFUT1MH0_Quote#0000</v>
      </c>
      <c r="G78" s="105" t="str">
        <f>_xll.ohRangeRetrieveError(F78)</f>
        <v/>
      </c>
      <c r="H78" s="141"/>
    </row>
    <row r="79" spans="1:8" x14ac:dyDescent="0.2">
      <c r="A79" s="146"/>
      <c r="B79" s="107">
        <v>74</v>
      </c>
      <c r="C79" s="145" t="b">
        <v>0</v>
      </c>
      <c r="D79" s="144" t="str">
        <v>J0</v>
      </c>
      <c r="E79" s="143" t="str">
        <f t="shared" si="3"/>
        <v>EURFUT1MJ0_Quote</v>
      </c>
      <c r="F79" s="142" t="str">
        <f>_xll.qlSimpleQuote(E79,,PriceTickValue,Permanent,Trigger,ObjectOverwrite)</f>
        <v>EURFUT1MJ0_Quote#0000</v>
      </c>
      <c r="G79" s="105" t="str">
        <f>_xll.ohRangeRetrieveError(F79)</f>
        <v/>
      </c>
      <c r="H79" s="141"/>
    </row>
    <row r="80" spans="1:8" x14ac:dyDescent="0.2">
      <c r="A80" s="146"/>
      <c r="B80" s="107">
        <v>75</v>
      </c>
      <c r="C80" s="145" t="b">
        <v>0</v>
      </c>
      <c r="D80" s="144" t="str">
        <v>K0</v>
      </c>
      <c r="E80" s="143" t="str">
        <f t="shared" si="3"/>
        <v>EURFUT1MK0_Quote</v>
      </c>
      <c r="F80" s="142" t="str">
        <f>_xll.qlSimpleQuote(E80,,PriceTickValue,Permanent,Trigger,ObjectOverwrite)</f>
        <v>EURFUT1MK0_Quote#0000</v>
      </c>
      <c r="G80" s="105" t="str">
        <f>_xll.ohRangeRetrieveError(F80)</f>
        <v/>
      </c>
      <c r="H80" s="141"/>
    </row>
    <row r="81" spans="1:8" x14ac:dyDescent="0.2">
      <c r="A81" s="146"/>
      <c r="B81" s="107">
        <v>76</v>
      </c>
      <c r="C81" s="145" t="b">
        <v>0</v>
      </c>
      <c r="D81" s="144" t="str">
        <v>M0</v>
      </c>
      <c r="E81" s="143" t="str">
        <f t="shared" si="3"/>
        <v>EURFUT1MM0_Quote</v>
      </c>
      <c r="F81" s="142" t="str">
        <f>_xll.qlSimpleQuote(E81,,PriceTickValue,Permanent,Trigger,ObjectOverwrite)</f>
        <v>EURFUT1MM0_Quote#0000</v>
      </c>
      <c r="G81" s="105" t="str">
        <f>_xll.ohRangeRetrieveError(F81)</f>
        <v/>
      </c>
      <c r="H81" s="141"/>
    </row>
    <row r="82" spans="1:8" x14ac:dyDescent="0.2">
      <c r="A82" s="146"/>
      <c r="B82" s="107">
        <v>77</v>
      </c>
      <c r="C82" s="145" t="b">
        <v>0</v>
      </c>
      <c r="D82" s="144" t="str">
        <v>N0</v>
      </c>
      <c r="E82" s="143" t="str">
        <f t="shared" si="3"/>
        <v>EURFUT1MN0_Quote</v>
      </c>
      <c r="F82" s="142" t="str">
        <f>_xll.qlSimpleQuote(E82,,PriceTickValue,Permanent,Trigger,ObjectOverwrite)</f>
        <v>EURFUT1MN0_Quote#0000</v>
      </c>
      <c r="G82" s="105" t="str">
        <f>_xll.ohRangeRetrieveError(F82)</f>
        <v/>
      </c>
      <c r="H82" s="141"/>
    </row>
    <row r="83" spans="1:8" x14ac:dyDescent="0.2">
      <c r="A83" s="146"/>
      <c r="B83" s="107">
        <v>78</v>
      </c>
      <c r="C83" s="145" t="b">
        <v>0</v>
      </c>
      <c r="D83" s="144" t="str">
        <v>Q0</v>
      </c>
      <c r="E83" s="143" t="str">
        <f t="shared" si="3"/>
        <v>EURFUT1MQ0_Quote</v>
      </c>
      <c r="F83" s="142" t="str">
        <f>_xll.qlSimpleQuote(E83,,PriceTickValue,Permanent,Trigger,ObjectOverwrite)</f>
        <v>EURFUT1MQ0_Quote#0000</v>
      </c>
      <c r="G83" s="105" t="str">
        <f>_xll.ohRangeRetrieveError(F83)</f>
        <v/>
      </c>
      <c r="H83" s="141"/>
    </row>
    <row r="84" spans="1:8" x14ac:dyDescent="0.2">
      <c r="A84" s="146"/>
      <c r="B84" s="107">
        <v>79</v>
      </c>
      <c r="C84" s="145" t="b">
        <v>0</v>
      </c>
      <c r="D84" s="144" t="str">
        <v>U0</v>
      </c>
      <c r="E84" s="143" t="str">
        <f t="shared" si="3"/>
        <v>EURFUT1MU0_Quote</v>
      </c>
      <c r="F84" s="142" t="str">
        <f>_xll.qlSimpleQuote(E84,,PriceTickValue,Permanent,Trigger,ObjectOverwrite)</f>
        <v>EURFUT1MU0_Quote#0000</v>
      </c>
      <c r="G84" s="105" t="str">
        <f>_xll.ohRangeRetrieveError(F84)</f>
        <v/>
      </c>
      <c r="H84" s="141"/>
    </row>
    <row r="85" spans="1:8" x14ac:dyDescent="0.2">
      <c r="A85" s="146"/>
      <c r="B85" s="107">
        <v>80</v>
      </c>
      <c r="C85" s="145" t="b">
        <v>0</v>
      </c>
      <c r="D85" s="144" t="str">
        <v>V0</v>
      </c>
      <c r="E85" s="143" t="str">
        <f t="shared" si="3"/>
        <v>EURFUT1MV0_Quote</v>
      </c>
      <c r="F85" s="142" t="str">
        <f>_xll.qlSimpleQuote(E85,,PriceTickValue,Permanent,Trigger,ObjectOverwrite)</f>
        <v>EURFUT1MV0_Quote#0000</v>
      </c>
      <c r="G85" s="105" t="str">
        <f>_xll.ohRangeRetrieveError(F85)</f>
        <v/>
      </c>
      <c r="H85" s="141"/>
    </row>
    <row r="86" spans="1:8" x14ac:dyDescent="0.2">
      <c r="A86" s="146"/>
      <c r="B86" s="107">
        <v>81</v>
      </c>
      <c r="C86" s="145" t="b">
        <v>0</v>
      </c>
      <c r="D86" s="144" t="str">
        <v>X0</v>
      </c>
      <c r="E86" s="143" t="str">
        <f t="shared" si="3"/>
        <v>EURFUT1MX0_Quote</v>
      </c>
      <c r="F86" s="142" t="str">
        <f>_xll.qlSimpleQuote(E86,,PriceTickValue,Permanent,Trigger,ObjectOverwrite)</f>
        <v>EURFUT1MX0_Quote#0000</v>
      </c>
      <c r="G86" s="105" t="str">
        <f>_xll.ohRangeRetrieveError(F86)</f>
        <v/>
      </c>
      <c r="H86" s="141"/>
    </row>
    <row r="87" spans="1:8" x14ac:dyDescent="0.2">
      <c r="A87" s="146"/>
      <c r="B87" s="107">
        <v>82</v>
      </c>
      <c r="C87" s="145" t="b">
        <v>0</v>
      </c>
      <c r="D87" s="144" t="str">
        <v>Z0</v>
      </c>
      <c r="E87" s="143" t="str">
        <f t="shared" si="3"/>
        <v>EURFUT1MZ0_Quote</v>
      </c>
      <c r="F87" s="142" t="str">
        <f>_xll.qlSimpleQuote(E87,,PriceTickValue,Permanent,Trigger,ObjectOverwrite)</f>
        <v>EURFUT1MZ0_Quote#0000</v>
      </c>
      <c r="G87" s="105" t="str">
        <f>_xll.ohRangeRetrieveError(F87)</f>
        <v/>
      </c>
      <c r="H87" s="141"/>
    </row>
    <row r="88" spans="1:8" x14ac:dyDescent="0.2">
      <c r="A88" s="146"/>
      <c r="B88" s="107">
        <v>83</v>
      </c>
      <c r="C88" s="145" t="b">
        <v>0</v>
      </c>
      <c r="D88" s="144" t="str">
        <v>F1</v>
      </c>
      <c r="E88" s="143" t="str">
        <f t="shared" si="3"/>
        <v>EURFUT1MF1_Quote</v>
      </c>
      <c r="F88" s="142" t="str">
        <f>_xll.qlSimpleQuote(E88,,PriceTickValue,Permanent,Trigger,ObjectOverwrite)</f>
        <v>EURFUT1MF1_Quote#0000</v>
      </c>
      <c r="G88" s="105" t="str">
        <f>_xll.ohRangeRetrieveError(F88)</f>
        <v/>
      </c>
      <c r="H88" s="141"/>
    </row>
    <row r="89" spans="1:8" x14ac:dyDescent="0.2">
      <c r="A89" s="146"/>
      <c r="B89" s="107">
        <v>84</v>
      </c>
      <c r="C89" s="145" t="b">
        <v>0</v>
      </c>
      <c r="D89" s="144" t="str">
        <v>G1</v>
      </c>
      <c r="E89" s="143" t="str">
        <f t="shared" si="3"/>
        <v>EURFUT1MG1_Quote</v>
      </c>
      <c r="F89" s="142" t="str">
        <f>_xll.qlSimpleQuote(E89,,PriceTickValue,Permanent,Trigger,ObjectOverwrite)</f>
        <v>EURFUT1MG1_Quote#0000</v>
      </c>
      <c r="G89" s="105" t="str">
        <f>_xll.ohRangeRetrieveError(F89)</f>
        <v/>
      </c>
      <c r="H89" s="141"/>
    </row>
    <row r="90" spans="1:8" x14ac:dyDescent="0.2">
      <c r="A90" s="146"/>
      <c r="B90" s="107">
        <v>85</v>
      </c>
      <c r="C90" s="145" t="b">
        <v>0</v>
      </c>
      <c r="D90" s="144" t="str">
        <v>H1</v>
      </c>
      <c r="E90" s="143" t="str">
        <f t="shared" si="3"/>
        <v>EURFUT1MH1_Quote</v>
      </c>
      <c r="F90" s="142" t="str">
        <f>_xll.qlSimpleQuote(E90,,PriceTickValue,Permanent,Trigger,ObjectOverwrite)</f>
        <v>EURFUT1MH1_Quote#0000</v>
      </c>
      <c r="G90" s="105" t="str">
        <f>_xll.ohRangeRetrieveError(F90)</f>
        <v/>
      </c>
      <c r="H90" s="141"/>
    </row>
    <row r="91" spans="1:8" x14ac:dyDescent="0.2">
      <c r="A91" s="146"/>
      <c r="B91" s="107">
        <v>86</v>
      </c>
      <c r="C91" s="145" t="b">
        <v>0</v>
      </c>
      <c r="D91" s="144" t="str">
        <v>J1</v>
      </c>
      <c r="E91" s="143" t="str">
        <f t="shared" si="3"/>
        <v>EURFUT1MJ1_Quote</v>
      </c>
      <c r="F91" s="142" t="str">
        <f>_xll.qlSimpleQuote(E91,,PriceTickValue,Permanent,Trigger,ObjectOverwrite)</f>
        <v>EURFUT1MJ1_Quote#0000</v>
      </c>
      <c r="G91" s="105" t="str">
        <f>_xll.ohRangeRetrieveError(F91)</f>
        <v/>
      </c>
      <c r="H91" s="141"/>
    </row>
    <row r="92" spans="1:8" x14ac:dyDescent="0.2">
      <c r="A92" s="146"/>
      <c r="B92" s="107">
        <v>87</v>
      </c>
      <c r="C92" s="145" t="b">
        <v>0</v>
      </c>
      <c r="D92" s="144" t="str">
        <v>K1</v>
      </c>
      <c r="E92" s="143" t="str">
        <f t="shared" si="3"/>
        <v>EURFUT1MK1_Quote</v>
      </c>
      <c r="F92" s="142" t="str">
        <f>_xll.qlSimpleQuote(E92,,PriceTickValue,Permanent,Trigger,ObjectOverwrite)</f>
        <v>EURFUT1MK1_Quote#0000</v>
      </c>
      <c r="G92" s="105" t="str">
        <f>_xll.ohRangeRetrieveError(F92)</f>
        <v/>
      </c>
      <c r="H92" s="141"/>
    </row>
    <row r="93" spans="1:8" x14ac:dyDescent="0.2">
      <c r="A93" s="146"/>
      <c r="B93" s="107">
        <v>88</v>
      </c>
      <c r="C93" s="145" t="b">
        <v>0</v>
      </c>
      <c r="D93" s="144" t="str">
        <v>M1</v>
      </c>
      <c r="E93" s="143" t="str">
        <f t="shared" si="3"/>
        <v>EURFUT1MM1_Quote</v>
      </c>
      <c r="F93" s="142" t="str">
        <f>_xll.qlSimpleQuote(E93,,PriceTickValue,Permanent,Trigger,ObjectOverwrite)</f>
        <v>EURFUT1MM1_Quote#0000</v>
      </c>
      <c r="G93" s="105" t="str">
        <f>_xll.ohRangeRetrieveError(F93)</f>
        <v/>
      </c>
      <c r="H93" s="141"/>
    </row>
    <row r="94" spans="1:8" x14ac:dyDescent="0.2">
      <c r="A94" s="146"/>
      <c r="B94" s="107">
        <v>89</v>
      </c>
      <c r="C94" s="145" t="b">
        <v>0</v>
      </c>
      <c r="D94" s="144" t="str">
        <v>N1</v>
      </c>
      <c r="E94" s="143" t="str">
        <f t="shared" si="3"/>
        <v>EURFUT1MN1_Quote</v>
      </c>
      <c r="F94" s="142" t="str">
        <f>_xll.qlSimpleQuote(E94,,PriceTickValue,Permanent,Trigger,ObjectOverwrite)</f>
        <v>EURFUT1MN1_Quote#0000</v>
      </c>
      <c r="G94" s="105" t="str">
        <f>_xll.ohRangeRetrieveError(F94)</f>
        <v/>
      </c>
      <c r="H94" s="141"/>
    </row>
    <row r="95" spans="1:8" x14ac:dyDescent="0.2">
      <c r="A95" s="146"/>
      <c r="B95" s="107">
        <v>90</v>
      </c>
      <c r="C95" s="145" t="b">
        <v>0</v>
      </c>
      <c r="D95" s="144" t="str">
        <v>Q1</v>
      </c>
      <c r="E95" s="143" t="str">
        <f t="shared" si="3"/>
        <v>EURFUT1MQ1_Quote</v>
      </c>
      <c r="F95" s="142" t="str">
        <f>_xll.qlSimpleQuote(E95,,PriceTickValue,Permanent,Trigger,ObjectOverwrite)</f>
        <v>EURFUT1MQ1_Quote#0000</v>
      </c>
      <c r="G95" s="105" t="str">
        <f>_xll.ohRangeRetrieveError(F95)</f>
        <v/>
      </c>
      <c r="H95" s="141"/>
    </row>
    <row r="96" spans="1:8" x14ac:dyDescent="0.2">
      <c r="A96" s="146"/>
      <c r="B96" s="107">
        <v>91</v>
      </c>
      <c r="C96" s="145" t="b">
        <v>0</v>
      </c>
      <c r="D96" s="144" t="str">
        <v>U1</v>
      </c>
      <c r="E96" s="143" t="str">
        <f t="shared" si="3"/>
        <v>EURFUT1MU1_Quote</v>
      </c>
      <c r="F96" s="142" t="str">
        <f>_xll.qlSimpleQuote(E96,,PriceTickValue,Permanent,Trigger,ObjectOverwrite)</f>
        <v>EURFUT1MU1_Quote#0000</v>
      </c>
      <c r="G96" s="105" t="str">
        <f>_xll.ohRangeRetrieveError(F96)</f>
        <v/>
      </c>
      <c r="H96" s="141"/>
    </row>
    <row r="97" spans="1:8" x14ac:dyDescent="0.2">
      <c r="A97" s="146"/>
      <c r="B97" s="107">
        <v>92</v>
      </c>
      <c r="C97" s="145" t="b">
        <v>0</v>
      </c>
      <c r="D97" s="144" t="str">
        <v>V1</v>
      </c>
      <c r="E97" s="143" t="str">
        <f t="shared" si="3"/>
        <v>EURFUT1MV1_Quote</v>
      </c>
      <c r="F97" s="142" t="str">
        <f>_xll.qlSimpleQuote(E97,,PriceTickValue,Permanent,Trigger,ObjectOverwrite)</f>
        <v>EURFUT1MV1_Quote#0000</v>
      </c>
      <c r="G97" s="105" t="str">
        <f>_xll.ohRangeRetrieveError(F97)</f>
        <v/>
      </c>
      <c r="H97" s="141"/>
    </row>
    <row r="98" spans="1:8" x14ac:dyDescent="0.2">
      <c r="A98" s="146"/>
      <c r="B98" s="107">
        <v>93</v>
      </c>
      <c r="C98" s="145" t="b">
        <v>0</v>
      </c>
      <c r="D98" s="144" t="str">
        <v>X1</v>
      </c>
      <c r="E98" s="143" t="str">
        <f t="shared" si="3"/>
        <v>EURFUT1MX1_Quote</v>
      </c>
      <c r="F98" s="142" t="str">
        <f>_xll.qlSimpleQuote(E98,,PriceTickValue,Permanent,Trigger,ObjectOverwrite)</f>
        <v>EURFUT1MX1_Quote#0000</v>
      </c>
      <c r="G98" s="105" t="str">
        <f>_xll.ohRangeRetrieveError(F98)</f>
        <v/>
      </c>
      <c r="H98" s="141"/>
    </row>
    <row r="99" spans="1:8" x14ac:dyDescent="0.2">
      <c r="A99" s="146"/>
      <c r="B99" s="107">
        <v>94</v>
      </c>
      <c r="C99" s="145" t="b">
        <v>0</v>
      </c>
      <c r="D99" s="144" t="str">
        <v>Z1</v>
      </c>
      <c r="E99" s="143" t="str">
        <f t="shared" si="3"/>
        <v>EURFUT1MZ1_Quote</v>
      </c>
      <c r="F99" s="142" t="str">
        <f>_xll.qlSimpleQuote(E99,,PriceTickValue,Permanent,Trigger,ObjectOverwrite)</f>
        <v>EURFUT1MZ1_Quote#0000</v>
      </c>
      <c r="G99" s="105" t="str">
        <f>_xll.ohRangeRetrieveError(F99)</f>
        <v/>
      </c>
      <c r="H99" s="141"/>
    </row>
    <row r="100" spans="1:8" x14ac:dyDescent="0.2">
      <c r="A100" s="146"/>
      <c r="B100" s="107">
        <v>95</v>
      </c>
      <c r="C100" s="145" t="b">
        <v>0</v>
      </c>
      <c r="D100" s="144" t="str">
        <v>F2</v>
      </c>
      <c r="E100" s="143" t="str">
        <f t="shared" si="3"/>
        <v>EURFUT1MF2_Quote</v>
      </c>
      <c r="F100" s="142" t="str">
        <f>_xll.qlSimpleQuote(E100,,PriceTickValue,Permanent,Trigger,ObjectOverwrite)</f>
        <v>EURFUT1MF2_Quote#0000</v>
      </c>
      <c r="G100" s="105" t="str">
        <f>_xll.ohRangeRetrieveError(F100)</f>
        <v/>
      </c>
      <c r="H100" s="141"/>
    </row>
    <row r="101" spans="1:8" x14ac:dyDescent="0.2">
      <c r="A101" s="146"/>
      <c r="B101" s="107">
        <v>96</v>
      </c>
      <c r="C101" s="145" t="b">
        <v>0</v>
      </c>
      <c r="D101" s="144" t="str">
        <v>G2</v>
      </c>
      <c r="E101" s="143" t="str">
        <f t="shared" si="3"/>
        <v>EURFUT1MG2_Quote</v>
      </c>
      <c r="F101" s="142" t="str">
        <f>_xll.qlSimpleQuote(E101,,PriceTickValue,Permanent,Trigger,ObjectOverwrite)</f>
        <v>EURFUT1MG2_Quote#0000</v>
      </c>
      <c r="G101" s="105" t="str">
        <f>_xll.ohRangeRetrieveError(F101)</f>
        <v/>
      </c>
      <c r="H101" s="141"/>
    </row>
    <row r="102" spans="1:8" x14ac:dyDescent="0.2">
      <c r="A102" s="146"/>
      <c r="B102" s="107">
        <v>97</v>
      </c>
      <c r="C102" s="145" t="b">
        <v>0</v>
      </c>
      <c r="D102" s="144" t="str">
        <v>H2</v>
      </c>
      <c r="E102" s="143" t="str">
        <f t="shared" ref="E102:E125" si="4">Currency&amp;$D$4&amp;$E$4&amp;$D102&amp;QuoteSuffix</f>
        <v>EURFUT1MH2_Quote</v>
      </c>
      <c r="F102" s="142" t="str">
        <f>_xll.qlSimpleQuote(E102,,PriceTickValue,Permanent,Trigger,ObjectOverwrite)</f>
        <v>EURFUT1MH2_Quote#0000</v>
      </c>
      <c r="G102" s="105" t="str">
        <f>_xll.ohRangeRetrieveError(F102)</f>
        <v/>
      </c>
      <c r="H102" s="141"/>
    </row>
    <row r="103" spans="1:8" x14ac:dyDescent="0.2">
      <c r="A103" s="146"/>
      <c r="B103" s="107">
        <v>98</v>
      </c>
      <c r="C103" s="145" t="b">
        <v>0</v>
      </c>
      <c r="D103" s="144" t="str">
        <v>J2</v>
      </c>
      <c r="E103" s="143" t="str">
        <f t="shared" si="4"/>
        <v>EURFUT1MJ2_Quote</v>
      </c>
      <c r="F103" s="142" t="str">
        <f>_xll.qlSimpleQuote(E103,,PriceTickValue,Permanent,Trigger,ObjectOverwrite)</f>
        <v>EURFUT1MJ2_Quote#0000</v>
      </c>
      <c r="G103" s="105" t="str">
        <f>_xll.ohRangeRetrieveError(F103)</f>
        <v/>
      </c>
      <c r="H103" s="141"/>
    </row>
    <row r="104" spans="1:8" x14ac:dyDescent="0.2">
      <c r="A104" s="146"/>
      <c r="B104" s="107">
        <v>99</v>
      </c>
      <c r="C104" s="145" t="b">
        <v>0</v>
      </c>
      <c r="D104" s="144" t="str">
        <v>K2</v>
      </c>
      <c r="E104" s="143" t="str">
        <f t="shared" si="4"/>
        <v>EURFUT1MK2_Quote</v>
      </c>
      <c r="F104" s="142" t="str">
        <f>_xll.qlSimpleQuote(E104,,PriceTickValue,Permanent,Trigger,ObjectOverwrite)</f>
        <v>EURFUT1MK2_Quote#0000</v>
      </c>
      <c r="G104" s="105" t="str">
        <f>_xll.ohRangeRetrieveError(F104)</f>
        <v/>
      </c>
      <c r="H104" s="141"/>
    </row>
    <row r="105" spans="1:8" x14ac:dyDescent="0.2">
      <c r="A105" s="146"/>
      <c r="B105" s="107">
        <v>100</v>
      </c>
      <c r="C105" s="145" t="b">
        <v>0</v>
      </c>
      <c r="D105" s="144" t="str">
        <v>M2</v>
      </c>
      <c r="E105" s="143" t="str">
        <f t="shared" si="4"/>
        <v>EURFUT1MM2_Quote</v>
      </c>
      <c r="F105" s="142" t="str">
        <f>_xll.qlSimpleQuote(E105,,PriceTickValue,Permanent,Trigger,ObjectOverwrite)</f>
        <v>EURFUT1MM2_Quote#0000</v>
      </c>
      <c r="G105" s="105" t="str">
        <f>_xll.ohRangeRetrieveError(F105)</f>
        <v/>
      </c>
      <c r="H105" s="141"/>
    </row>
    <row r="106" spans="1:8" x14ac:dyDescent="0.2">
      <c r="A106" s="146"/>
      <c r="B106" s="107">
        <v>101</v>
      </c>
      <c r="C106" s="145" t="b">
        <v>0</v>
      </c>
      <c r="D106" s="144" t="str">
        <v>N2</v>
      </c>
      <c r="E106" s="143" t="str">
        <f t="shared" si="4"/>
        <v>EURFUT1MN2_Quote</v>
      </c>
      <c r="F106" s="142" t="str">
        <f>_xll.qlSimpleQuote(E106,,PriceTickValue,Permanent,Trigger,ObjectOverwrite)</f>
        <v>EURFUT1MN2_Quote#0000</v>
      </c>
      <c r="G106" s="105" t="str">
        <f>_xll.ohRangeRetrieveError(F106)</f>
        <v/>
      </c>
      <c r="H106" s="141"/>
    </row>
    <row r="107" spans="1:8" x14ac:dyDescent="0.2">
      <c r="A107" s="146"/>
      <c r="B107" s="107">
        <v>102</v>
      </c>
      <c r="C107" s="145" t="b">
        <v>0</v>
      </c>
      <c r="D107" s="144" t="str">
        <v>Q2</v>
      </c>
      <c r="E107" s="143" t="str">
        <f t="shared" si="4"/>
        <v>EURFUT1MQ2_Quote</v>
      </c>
      <c r="F107" s="142" t="str">
        <f>_xll.qlSimpleQuote(E107,,PriceTickValue,Permanent,Trigger,ObjectOverwrite)</f>
        <v>EURFUT1MQ2_Quote#0000</v>
      </c>
      <c r="G107" s="105" t="str">
        <f>_xll.ohRangeRetrieveError(F107)</f>
        <v/>
      </c>
      <c r="H107" s="141"/>
    </row>
    <row r="108" spans="1:8" x14ac:dyDescent="0.2">
      <c r="A108" s="146"/>
      <c r="B108" s="107">
        <v>103</v>
      </c>
      <c r="C108" s="145" t="b">
        <v>0</v>
      </c>
      <c r="D108" s="144" t="str">
        <v>U2</v>
      </c>
      <c r="E108" s="143" t="str">
        <f t="shared" si="4"/>
        <v>EURFUT1MU2_Quote</v>
      </c>
      <c r="F108" s="142" t="str">
        <f>_xll.qlSimpleQuote(E108,,PriceTickValue,Permanent,Trigger,ObjectOverwrite)</f>
        <v>EURFUT1MU2_Quote#0000</v>
      </c>
      <c r="G108" s="105" t="str">
        <f>_xll.ohRangeRetrieveError(F108)</f>
        <v/>
      </c>
      <c r="H108" s="141"/>
    </row>
    <row r="109" spans="1:8" x14ac:dyDescent="0.2">
      <c r="A109" s="146"/>
      <c r="B109" s="107">
        <v>104</v>
      </c>
      <c r="C109" s="145" t="b">
        <v>0</v>
      </c>
      <c r="D109" s="144" t="str">
        <v>V2</v>
      </c>
      <c r="E109" s="143" t="str">
        <f t="shared" si="4"/>
        <v>EURFUT1MV2_Quote</v>
      </c>
      <c r="F109" s="142" t="str">
        <f>_xll.qlSimpleQuote(E109,,PriceTickValue,Permanent,Trigger,ObjectOverwrite)</f>
        <v>EURFUT1MV2_Quote#0000</v>
      </c>
      <c r="G109" s="105" t="str">
        <f>_xll.ohRangeRetrieveError(F109)</f>
        <v/>
      </c>
      <c r="H109" s="141"/>
    </row>
    <row r="110" spans="1:8" x14ac:dyDescent="0.2">
      <c r="A110" s="146"/>
      <c r="B110" s="107">
        <v>105</v>
      </c>
      <c r="C110" s="145" t="b">
        <v>0</v>
      </c>
      <c r="D110" s="144" t="str">
        <v>X2</v>
      </c>
      <c r="E110" s="143" t="str">
        <f t="shared" si="4"/>
        <v>EURFUT1MX2_Quote</v>
      </c>
      <c r="F110" s="142" t="str">
        <f>_xll.qlSimpleQuote(E110,,PriceTickValue,Permanent,Trigger,ObjectOverwrite)</f>
        <v>EURFUT1MX2_Quote#0000</v>
      </c>
      <c r="G110" s="105" t="str">
        <f>_xll.ohRangeRetrieveError(F110)</f>
        <v/>
      </c>
      <c r="H110" s="141"/>
    </row>
    <row r="111" spans="1:8" x14ac:dyDescent="0.2">
      <c r="A111" s="146"/>
      <c r="B111" s="107">
        <v>106</v>
      </c>
      <c r="C111" s="145" t="b">
        <v>0</v>
      </c>
      <c r="D111" s="144" t="str">
        <v>Z2</v>
      </c>
      <c r="E111" s="143" t="str">
        <f t="shared" si="4"/>
        <v>EURFUT1MZ2_Quote</v>
      </c>
      <c r="F111" s="142" t="str">
        <f>_xll.qlSimpleQuote(E111,,PriceTickValue,Permanent,Trigger,ObjectOverwrite)</f>
        <v>EURFUT1MZ2_Quote#0000</v>
      </c>
      <c r="G111" s="105" t="str">
        <f>_xll.ohRangeRetrieveError(F111)</f>
        <v/>
      </c>
      <c r="H111" s="141"/>
    </row>
    <row r="112" spans="1:8" x14ac:dyDescent="0.2">
      <c r="A112" s="146"/>
      <c r="B112" s="107">
        <v>107</v>
      </c>
      <c r="C112" s="145" t="b">
        <v>0</v>
      </c>
      <c r="D112" s="144" t="str">
        <v>F3</v>
      </c>
      <c r="E112" s="143" t="str">
        <f t="shared" si="4"/>
        <v>EURFUT1MF3_Quote</v>
      </c>
      <c r="F112" s="142" t="str">
        <f>_xll.qlSimpleQuote(E112,,PriceTickValue,Permanent,Trigger,ObjectOverwrite)</f>
        <v>EURFUT1MF3_Quote#0000</v>
      </c>
      <c r="G112" s="105" t="str">
        <f>_xll.ohRangeRetrieveError(F112)</f>
        <v/>
      </c>
      <c r="H112" s="141"/>
    </row>
    <row r="113" spans="1:8" x14ac:dyDescent="0.2">
      <c r="A113" s="146"/>
      <c r="B113" s="107">
        <v>108</v>
      </c>
      <c r="C113" s="145" t="b">
        <v>0</v>
      </c>
      <c r="D113" s="144" t="str">
        <v>G3</v>
      </c>
      <c r="E113" s="143" t="str">
        <f t="shared" si="4"/>
        <v>EURFUT1MG3_Quote</v>
      </c>
      <c r="F113" s="142" t="str">
        <f>_xll.qlSimpleQuote(E113,,PriceTickValue,Permanent,Trigger,ObjectOverwrite)</f>
        <v>EURFUT1MG3_Quote#0000</v>
      </c>
      <c r="G113" s="105" t="str">
        <f>_xll.ohRangeRetrieveError(F113)</f>
        <v/>
      </c>
      <c r="H113" s="141"/>
    </row>
    <row r="114" spans="1:8" x14ac:dyDescent="0.2">
      <c r="A114" s="146"/>
      <c r="B114" s="107">
        <v>109</v>
      </c>
      <c r="C114" s="145" t="b">
        <v>0</v>
      </c>
      <c r="D114" s="144" t="str">
        <v>H3</v>
      </c>
      <c r="E114" s="143" t="str">
        <f t="shared" si="4"/>
        <v>EURFUT1MH3_Quote</v>
      </c>
      <c r="F114" s="142" t="str">
        <f>_xll.qlSimpleQuote(E114,,PriceTickValue,Permanent,Trigger,ObjectOverwrite)</f>
        <v>EURFUT1MH3_Quote#0000</v>
      </c>
      <c r="G114" s="105" t="str">
        <f>_xll.ohRangeRetrieveError(F114)</f>
        <v/>
      </c>
      <c r="H114" s="141"/>
    </row>
    <row r="115" spans="1:8" x14ac:dyDescent="0.2">
      <c r="A115" s="146"/>
      <c r="B115" s="107">
        <v>110</v>
      </c>
      <c r="C115" s="145" t="b">
        <v>0</v>
      </c>
      <c r="D115" s="144" t="str">
        <v>J3</v>
      </c>
      <c r="E115" s="143" t="str">
        <f t="shared" si="4"/>
        <v>EURFUT1MJ3_Quote</v>
      </c>
      <c r="F115" s="142" t="str">
        <f>_xll.qlSimpleQuote(E115,,PriceTickValue,Permanent,Trigger,ObjectOverwrite)</f>
        <v>EURFUT1MJ3_Quote#0000</v>
      </c>
      <c r="G115" s="105" t="str">
        <f>_xll.ohRangeRetrieveError(F115)</f>
        <v/>
      </c>
      <c r="H115" s="141"/>
    </row>
    <row r="116" spans="1:8" x14ac:dyDescent="0.2">
      <c r="A116" s="146"/>
      <c r="B116" s="107">
        <v>111</v>
      </c>
      <c r="C116" s="145" t="b">
        <v>0</v>
      </c>
      <c r="D116" s="144" t="str">
        <v>K3</v>
      </c>
      <c r="E116" s="143" t="str">
        <f t="shared" si="4"/>
        <v>EURFUT1MK3_Quote</v>
      </c>
      <c r="F116" s="142" t="str">
        <f>_xll.qlSimpleQuote(E116,,PriceTickValue,Permanent,Trigger,ObjectOverwrite)</f>
        <v>EURFUT1MK3_Quote#0000</v>
      </c>
      <c r="G116" s="105" t="str">
        <f>_xll.ohRangeRetrieveError(F116)</f>
        <v/>
      </c>
      <c r="H116" s="141"/>
    </row>
    <row r="117" spans="1:8" x14ac:dyDescent="0.2">
      <c r="A117" s="146"/>
      <c r="B117" s="107">
        <v>112</v>
      </c>
      <c r="C117" s="145" t="b">
        <v>0</v>
      </c>
      <c r="D117" s="144" t="str">
        <v>M3</v>
      </c>
      <c r="E117" s="143" t="str">
        <f t="shared" si="4"/>
        <v>EURFUT1MM3_Quote</v>
      </c>
      <c r="F117" s="142" t="str">
        <f>_xll.qlSimpleQuote(E117,,PriceTickValue,Permanent,Trigger,ObjectOverwrite)</f>
        <v>EURFUT1MM3_Quote#0000</v>
      </c>
      <c r="G117" s="105" t="str">
        <f>_xll.ohRangeRetrieveError(F117)</f>
        <v/>
      </c>
      <c r="H117" s="141"/>
    </row>
    <row r="118" spans="1:8" x14ac:dyDescent="0.2">
      <c r="A118" s="146"/>
      <c r="B118" s="107">
        <v>113</v>
      </c>
      <c r="C118" s="145" t="b">
        <v>0</v>
      </c>
      <c r="D118" s="144" t="str">
        <v>N3</v>
      </c>
      <c r="E118" s="143" t="str">
        <f t="shared" si="4"/>
        <v>EURFUT1MN3_Quote</v>
      </c>
      <c r="F118" s="142" t="str">
        <f>_xll.qlSimpleQuote(E118,,PriceTickValue,Permanent,Trigger,ObjectOverwrite)</f>
        <v>EURFUT1MN3_Quote#0000</v>
      </c>
      <c r="G118" s="105" t="str">
        <f>_xll.ohRangeRetrieveError(F118)</f>
        <v/>
      </c>
      <c r="H118" s="141"/>
    </row>
    <row r="119" spans="1:8" x14ac:dyDescent="0.2">
      <c r="A119" s="146"/>
      <c r="B119" s="107">
        <v>114</v>
      </c>
      <c r="C119" s="145" t="b">
        <v>0</v>
      </c>
      <c r="D119" s="144" t="str">
        <v>Q3</v>
      </c>
      <c r="E119" s="143" t="str">
        <f t="shared" si="4"/>
        <v>EURFUT1MQ3_Quote</v>
      </c>
      <c r="F119" s="142" t="str">
        <f>_xll.qlSimpleQuote(E119,,PriceTickValue,Permanent,Trigger,ObjectOverwrite)</f>
        <v>EURFUT1MQ3_Quote#0000</v>
      </c>
      <c r="G119" s="105" t="str">
        <f>_xll.ohRangeRetrieveError(F119)</f>
        <v/>
      </c>
      <c r="H119" s="141"/>
    </row>
    <row r="120" spans="1:8" x14ac:dyDescent="0.2">
      <c r="A120" s="146"/>
      <c r="B120" s="107">
        <v>115</v>
      </c>
      <c r="C120" s="145" t="b">
        <v>0</v>
      </c>
      <c r="D120" s="144" t="str">
        <v>U3</v>
      </c>
      <c r="E120" s="143" t="str">
        <f t="shared" si="4"/>
        <v>EURFUT1MU3_Quote</v>
      </c>
      <c r="F120" s="142" t="str">
        <f>_xll.qlSimpleQuote(E120,,PriceTickValue,Permanent,Trigger,ObjectOverwrite)</f>
        <v>EURFUT1MU3_Quote#0000</v>
      </c>
      <c r="G120" s="105" t="str">
        <f>_xll.ohRangeRetrieveError(F120)</f>
        <v/>
      </c>
      <c r="H120" s="141"/>
    </row>
    <row r="121" spans="1:8" x14ac:dyDescent="0.2">
      <c r="A121" s="146"/>
      <c r="B121" s="107">
        <v>116</v>
      </c>
      <c r="C121" s="145" t="b">
        <v>0</v>
      </c>
      <c r="D121" s="144" t="str">
        <v>V3</v>
      </c>
      <c r="E121" s="143" t="str">
        <f t="shared" si="4"/>
        <v>EURFUT1MV3_Quote</v>
      </c>
      <c r="F121" s="142" t="str">
        <f>_xll.qlSimpleQuote(E121,,PriceTickValue,Permanent,Trigger,ObjectOverwrite)</f>
        <v>EURFUT1MV3_Quote#0000</v>
      </c>
      <c r="G121" s="105" t="str">
        <f>_xll.ohRangeRetrieveError(F121)</f>
        <v/>
      </c>
      <c r="H121" s="141"/>
    </row>
    <row r="122" spans="1:8" x14ac:dyDescent="0.2">
      <c r="A122" s="146"/>
      <c r="B122" s="107">
        <v>117</v>
      </c>
      <c r="C122" s="145" t="b">
        <v>0</v>
      </c>
      <c r="D122" s="144" t="str">
        <v>X3</v>
      </c>
      <c r="E122" s="143" t="str">
        <f t="shared" si="4"/>
        <v>EURFUT1MX3_Quote</v>
      </c>
      <c r="F122" s="142" t="str">
        <f>_xll.qlSimpleQuote(E122,,PriceTickValue,Permanent,Trigger,ObjectOverwrite)</f>
        <v>EURFUT1MX3_Quote#0000</v>
      </c>
      <c r="G122" s="105" t="str">
        <f>_xll.ohRangeRetrieveError(F122)</f>
        <v/>
      </c>
      <c r="H122" s="141"/>
    </row>
    <row r="123" spans="1:8" x14ac:dyDescent="0.2">
      <c r="A123" s="146"/>
      <c r="B123" s="107">
        <v>118</v>
      </c>
      <c r="C123" s="145" t="b">
        <v>0</v>
      </c>
      <c r="D123" s="144" t="str">
        <v>Z3</v>
      </c>
      <c r="E123" s="143" t="str">
        <f t="shared" si="4"/>
        <v>EURFUT1MZ3_Quote</v>
      </c>
      <c r="F123" s="142" t="str">
        <f>_xll.qlSimpleQuote(E123,,PriceTickValue,Permanent,Trigger,ObjectOverwrite)</f>
        <v>EURFUT1MZ3_Quote#0000</v>
      </c>
      <c r="G123" s="105" t="str">
        <f>_xll.ohRangeRetrieveError(F123)</f>
        <v/>
      </c>
      <c r="H123" s="141"/>
    </row>
    <row r="124" spans="1:8" x14ac:dyDescent="0.2">
      <c r="A124" s="146"/>
      <c r="B124" s="107">
        <v>119</v>
      </c>
      <c r="C124" s="145" t="b">
        <v>0</v>
      </c>
      <c r="D124" s="144" t="str">
        <v>F4</v>
      </c>
      <c r="E124" s="143" t="str">
        <f t="shared" si="4"/>
        <v>EURFUT1MF4_Quote</v>
      </c>
      <c r="F124" s="142" t="str">
        <f>_xll.qlSimpleQuote(E124,,PriceTickValue,Permanent,Trigger,ObjectOverwrite)</f>
        <v>EURFUT1MF4_Quote#0000</v>
      </c>
      <c r="G124" s="105" t="str">
        <f>_xll.ohRangeRetrieveError(F124)</f>
        <v/>
      </c>
      <c r="H124" s="141"/>
    </row>
    <row r="125" spans="1:8" x14ac:dyDescent="0.2">
      <c r="A125" s="146"/>
      <c r="B125" s="107">
        <v>120</v>
      </c>
      <c r="C125" s="145" t="b">
        <v>0</v>
      </c>
      <c r="D125" s="144" t="str">
        <v>G4</v>
      </c>
      <c r="E125" s="143" t="str">
        <f t="shared" si="4"/>
        <v>EURFUT1MG4_Quote</v>
      </c>
      <c r="F125" s="142" t="str">
        <f>_xll.qlSimpleQuote(E125,,PriceTickValue,Permanent,Trigger,ObjectOverwrite)</f>
        <v>EURFUT1MG4_Quote#0000</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13" t="s">
        <v>206</v>
      </c>
      <c r="AI1" s="414"/>
      <c r="AJ1" s="414"/>
      <c r="AK1" s="414"/>
      <c r="AL1" s="414"/>
      <c r="AM1" s="414"/>
      <c r="AN1" s="414"/>
      <c r="AO1" s="414"/>
      <c r="AP1" s="415"/>
      <c r="AQ1" s="412"/>
    </row>
    <row r="2" spans="1:43" x14ac:dyDescent="0.2">
      <c r="J2" s="288" t="s">
        <v>293</v>
      </c>
      <c r="K2" s="199"/>
      <c r="L2" s="199"/>
      <c r="M2" s="199"/>
      <c r="N2" s="199"/>
      <c r="O2" s="199"/>
      <c r="P2" s="199"/>
      <c r="Q2" s="199"/>
      <c r="R2" s="199"/>
      <c r="S2" s="199"/>
      <c r="T2" s="199"/>
      <c r="U2" s="199"/>
      <c r="V2" s="340"/>
      <c r="W2" s="340"/>
      <c r="X2" s="199"/>
      <c r="Y2" s="199"/>
      <c r="Z2" s="199"/>
      <c r="AA2" s="339"/>
      <c r="AB2" s="17"/>
      <c r="AC2" s="17"/>
      <c r="AD2" s="17"/>
      <c r="AE2" s="17"/>
      <c r="AF2" s="17"/>
      <c r="AH2" s="416"/>
      <c r="AI2" s="417"/>
      <c r="AJ2" s="417"/>
      <c r="AK2" s="417"/>
      <c r="AL2" s="418" t="s">
        <v>205</v>
      </c>
      <c r="AM2" s="419" t="str">
        <f>PROPER(Currency)&amp;"HW_Volatility_Quote"</f>
        <v>EurHW_Volatility_Quote</v>
      </c>
      <c r="AN2" s="417"/>
      <c r="AO2" s="417"/>
      <c r="AP2" s="420"/>
      <c r="AQ2" s="412"/>
    </row>
    <row r="3" spans="1:43" x14ac:dyDescent="0.2">
      <c r="J3" s="287"/>
      <c r="K3" s="137"/>
      <c r="L3" s="286"/>
      <c r="M3" s="286"/>
      <c r="N3" s="137"/>
      <c r="O3" s="137"/>
      <c r="P3" s="137"/>
      <c r="Q3" s="137"/>
      <c r="R3" s="137"/>
      <c r="S3" s="137"/>
      <c r="T3" s="137"/>
      <c r="U3" s="137"/>
      <c r="V3" s="253"/>
      <c r="W3" s="253"/>
      <c r="X3" s="137"/>
      <c r="Y3" s="253"/>
      <c r="Z3" s="253"/>
      <c r="AA3" s="338"/>
      <c r="AB3" s="17"/>
      <c r="AC3" s="17"/>
      <c r="AD3" s="17"/>
      <c r="AE3" s="17"/>
      <c r="AF3" s="17"/>
      <c r="AH3" s="416"/>
      <c r="AI3" s="417"/>
      <c r="AJ3" s="417"/>
      <c r="AK3" s="417"/>
      <c r="AL3" s="418" t="s">
        <v>204</v>
      </c>
      <c r="AM3" s="419" t="str">
        <f>PROPER(Currency)&amp;"HW_MeanReversion_Quote"</f>
        <v>EurHW_MeanReversion_Quote</v>
      </c>
      <c r="AN3" s="417"/>
      <c r="AO3" s="417"/>
      <c r="AP3" s="421"/>
    </row>
    <row r="4" spans="1:43" ht="12" thickBot="1" x14ac:dyDescent="0.25">
      <c r="J4" s="287"/>
      <c r="K4" s="137"/>
      <c r="L4" s="137"/>
      <c r="M4" s="137"/>
      <c r="N4" s="137"/>
      <c r="O4" s="137"/>
      <c r="P4" s="137"/>
      <c r="Q4" s="137"/>
      <c r="R4" s="137"/>
      <c r="S4" s="137"/>
      <c r="T4" s="137"/>
      <c r="U4" s="137"/>
      <c r="V4" s="253"/>
      <c r="W4" s="253"/>
      <c r="X4" s="137"/>
      <c r="Y4" s="137"/>
      <c r="Z4" s="137"/>
      <c r="AA4" s="338"/>
      <c r="AB4" s="17"/>
      <c r="AC4" s="17"/>
      <c r="AD4" s="17"/>
      <c r="AE4" s="17"/>
      <c r="AF4" s="17"/>
      <c r="AH4" s="416"/>
      <c r="AI4" s="417"/>
      <c r="AJ4" s="417"/>
      <c r="AK4" s="417"/>
      <c r="AL4" s="418" t="s">
        <v>203</v>
      </c>
      <c r="AM4" s="419" t="str">
        <f>PROPER(Currency)&amp;FamilyName&amp;$AN$4</f>
        <v>Euribor3M</v>
      </c>
      <c r="AN4" s="422" t="s">
        <v>30</v>
      </c>
      <c r="AO4" s="417"/>
      <c r="AP4" s="421"/>
    </row>
    <row r="5" spans="1:43" ht="12" thickBot="1" x14ac:dyDescent="0.25">
      <c r="A5" s="157" t="s">
        <v>177</v>
      </c>
      <c r="B5" s="156"/>
      <c r="C5" s="156"/>
      <c r="D5" s="155" t="s">
        <v>175</v>
      </c>
      <c r="E5" s="155" t="s">
        <v>30</v>
      </c>
      <c r="F5" s="154"/>
      <c r="G5" s="154"/>
      <c r="H5" s="153"/>
      <c r="J5" s="287"/>
      <c r="K5" s="137"/>
      <c r="L5" s="137"/>
      <c r="M5" s="137"/>
      <c r="N5" s="137"/>
      <c r="O5" s="137"/>
      <c r="P5" s="137"/>
      <c r="Q5" s="137"/>
      <c r="R5" s="137"/>
      <c r="S5" s="137"/>
      <c r="T5" s="137"/>
      <c r="U5" s="137"/>
      <c r="V5" s="253"/>
      <c r="W5" s="253"/>
      <c r="X5" s="137"/>
      <c r="Y5" s="253" t="s">
        <v>254</v>
      </c>
      <c r="Z5" s="284">
        <f>_xll.ohTrigger(Z7:Z48)</f>
        <v>1</v>
      </c>
      <c r="AA5" s="338"/>
      <c r="AB5" s="17"/>
      <c r="AC5" s="17"/>
      <c r="AD5" s="17"/>
      <c r="AE5" s="17"/>
      <c r="AF5" s="17"/>
      <c r="AH5" s="416"/>
      <c r="AI5" s="417"/>
      <c r="AJ5" s="417"/>
      <c r="AK5" s="417"/>
      <c r="AL5" s="417"/>
      <c r="AM5" s="417"/>
      <c r="AN5" s="417"/>
      <c r="AO5" s="417"/>
      <c r="AP5" s="421"/>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7"/>
      <c r="K6" s="346" t="s">
        <v>174</v>
      </c>
      <c r="L6" s="342" t="s">
        <v>173</v>
      </c>
      <c r="M6" s="342" t="s">
        <v>172</v>
      </c>
      <c r="N6" s="342" t="s">
        <v>249</v>
      </c>
      <c r="O6" s="345" t="e">
        <f ca="1">_xll.RData(O7:O48,P6:T6,,ReutersRtMode,,P7)</f>
        <v>#NAME?</v>
      </c>
      <c r="P6" s="342" t="s">
        <v>248</v>
      </c>
      <c r="Q6" s="342" t="s">
        <v>243</v>
      </c>
      <c r="R6" s="342" t="s">
        <v>212</v>
      </c>
      <c r="S6" s="342" t="s">
        <v>227</v>
      </c>
      <c r="T6" s="342" t="s">
        <v>242</v>
      </c>
      <c r="U6" s="344" t="s">
        <v>241</v>
      </c>
      <c r="V6" s="253"/>
      <c r="W6" s="343" t="s">
        <v>239</v>
      </c>
      <c r="X6" s="253"/>
      <c r="Y6" s="346" t="s">
        <v>237</v>
      </c>
      <c r="Z6" s="341" t="s">
        <v>236</v>
      </c>
      <c r="AA6" s="49"/>
      <c r="AB6" s="17"/>
      <c r="AC6" s="208" t="s">
        <v>247</v>
      </c>
      <c r="AD6" s="206" t="s">
        <v>246</v>
      </c>
      <c r="AE6" s="17"/>
      <c r="AF6" s="312" t="s">
        <v>240</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H4</v>
      </c>
      <c r="E7" s="143" t="str">
        <f t="shared" ref="E7:E38" si="0">Currency&amp;$D$5&amp;$E$5&amp;$D7&amp;QuoteSuffix</f>
        <v>EURFUT3MH4_Quote</v>
      </c>
      <c r="F7" s="148" t="str">
        <f>_xll.qlSimpleQuote(E7,,PriceTickValue,Permanent,Trigger,ObjectOverwrite)</f>
        <v>EURFUT3MH4_Quote#0000</v>
      </c>
      <c r="G7" s="147" t="str">
        <f>_xll.ohRangeRetrieveError(F7)</f>
        <v/>
      </c>
      <c r="H7" s="141"/>
      <c r="J7" s="323"/>
      <c r="K7" s="336">
        <v>1</v>
      </c>
      <c r="L7" s="335" t="b">
        <v>0</v>
      </c>
      <c r="M7" s="271" t="str">
        <f t="array" ref="M7:M48">_xll.qlIMMcode(FuturesDates)</f>
        <v>H4</v>
      </c>
      <c r="N7" s="334">
        <f t="array" ref="N7:N48">_xll.qlIMMNextDates(_xll.qlSettingsEvaluationDate(Trigger)-1,$L7:$L48)</f>
        <v>41717</v>
      </c>
      <c r="O7" s="271" t="str">
        <f t="array" ref="O7:O48">VLOOKUP(Currency,LiffeCodes,2)&amp;FuturesCodes</f>
        <v>FEIH4</v>
      </c>
      <c r="P7" s="333">
        <v>41505</v>
      </c>
      <c r="Q7" s="271">
        <v>99.765000000000001</v>
      </c>
      <c r="R7" s="271">
        <v>99.77</v>
      </c>
      <c r="S7" s="271">
        <v>99.765000000000001</v>
      </c>
      <c r="T7" s="271">
        <v>99.765000000000001</v>
      </c>
      <c r="U7" s="274">
        <f>_xll.qlMidSafe($Q7,$R7)</f>
        <v>99.767499999999998</v>
      </c>
      <c r="V7" s="253"/>
      <c r="W7" s="332">
        <v>99.694999999999993</v>
      </c>
      <c r="X7" s="253"/>
      <c r="Y7" s="331">
        <f t="array" ref="Y7:Y48">QuoteStatic</f>
        <v>99.694999999999993</v>
      </c>
      <c r="Z7" s="274" t="e">
        <f>_xll.qlSimpleQuoteSetValue(F7,Y7,Trigger)</f>
        <v>#N/A</v>
      </c>
      <c r="AA7" s="49"/>
      <c r="AB7" s="17"/>
      <c r="AC7" s="86" t="s">
        <v>124</v>
      </c>
      <c r="AD7" s="84" t="s">
        <v>253</v>
      </c>
      <c r="AE7" s="17"/>
      <c r="AF7" s="290">
        <f t="shared" ref="AF7:AF48" si="1">(R7-U7)/50</f>
        <v>4.9999999999954527E-5</v>
      </c>
      <c r="AH7" s="146"/>
      <c r="AI7" s="151">
        <v>1</v>
      </c>
      <c r="AJ7" s="149" t="b">
        <v>0</v>
      </c>
      <c r="AK7" s="149" t="str">
        <f t="array" ref="AK7:AK48">_xll.qlIMMcode(FuturesDates)</f>
        <v>H4</v>
      </c>
      <c r="AL7" s="248" t="str">
        <f t="shared" ref="AL7:AL48" si="2">Currency&amp;"FUT"&amp;$AN$4&amp;$AK7&amp;QuoteSuffix</f>
        <v>EURFUT3MH4_Quote</v>
      </c>
      <c r="AM7" s="249" t="str">
        <f t="shared" ref="AM7:AM48" si="3">Currency&amp;"FUT"&amp;$AN$4&amp;$AK7&amp;"ConvAdj"&amp;QuoteSuffix</f>
        <v>EURFUT3MH4ConvAdj_Quote</v>
      </c>
      <c r="AN7" s="248" t="str">
        <f>_xll.qlFuturesConvAdjustmentQuote($AM7,IborIndex,$AK7,$AL7,Volatility,MeanReversion,Permanent,Trigger,ObjectOverwrite)</f>
        <v>EURFUT3MH4ConvAdj_Quote#0000</v>
      </c>
      <c r="AO7" s="75" t="str">
        <f>_xll.ohRangeRetrieveError(AN7)</f>
        <v/>
      </c>
      <c r="AP7" s="49"/>
    </row>
    <row r="8" spans="1:43" x14ac:dyDescent="0.2">
      <c r="A8" s="146"/>
      <c r="B8" s="107">
        <v>2</v>
      </c>
      <c r="C8" s="145" t="b">
        <v>0</v>
      </c>
      <c r="D8" s="144" t="str">
        <v>J4</v>
      </c>
      <c r="E8" s="143" t="str">
        <f t="shared" si="0"/>
        <v>EURFUT3MJ4_Quote</v>
      </c>
      <c r="F8" s="142" t="str">
        <f>_xll.qlSimpleQuote(E8,,PriceTickValue,Permanent,Trigger,ObjectOverwrite)</f>
        <v>EURFUT3MJ4_Quote#0000</v>
      </c>
      <c r="G8" s="105" t="str">
        <f>_xll.ohRangeRetrieveError(F8)</f>
        <v/>
      </c>
      <c r="H8" s="141"/>
      <c r="J8" s="323"/>
      <c r="K8" s="329">
        <v>2</v>
      </c>
      <c r="L8" s="328" t="b">
        <v>0</v>
      </c>
      <c r="M8" s="259" t="str">
        <v>J4</v>
      </c>
      <c r="N8" s="327">
        <v>41745</v>
      </c>
      <c r="O8" s="259" t="str">
        <v>FEIJ4</v>
      </c>
      <c r="P8" s="326">
        <v>41533</v>
      </c>
      <c r="Q8" s="259">
        <v>99.734999999999999</v>
      </c>
      <c r="R8" s="259">
        <v>99.74</v>
      </c>
      <c r="S8" s="259">
        <v>99.74</v>
      </c>
      <c r="T8" s="259">
        <v>99.734999999999999</v>
      </c>
      <c r="U8" s="262">
        <f>_xll.qlMidSafe($Q8,$R8)</f>
        <v>99.737499999999997</v>
      </c>
      <c r="V8" s="253"/>
      <c r="W8" s="330">
        <v>99.702500000000001</v>
      </c>
      <c r="X8" s="253"/>
      <c r="Y8" s="324">
        <v>99.702500000000001</v>
      </c>
      <c r="Z8" s="262" t="e">
        <f>_xll.qlSimpleQuoteSetValue(F8,Y8,Trigger)</f>
        <v>#N/A</v>
      </c>
      <c r="AA8" s="49"/>
      <c r="AB8" s="17"/>
      <c r="AC8" s="86" t="s">
        <v>110</v>
      </c>
      <c r="AD8" s="84" t="s">
        <v>252</v>
      </c>
      <c r="AE8" s="17"/>
      <c r="AF8" s="290">
        <f t="shared" si="1"/>
        <v>4.9999999999954527E-5</v>
      </c>
      <c r="AH8" s="146"/>
      <c r="AI8" s="107">
        <v>2</v>
      </c>
      <c r="AJ8" s="144" t="b">
        <v>0</v>
      </c>
      <c r="AK8" s="144" t="str">
        <v>J4</v>
      </c>
      <c r="AL8" s="248" t="str">
        <f t="shared" si="2"/>
        <v>EURFUT3MJ4_Quote</v>
      </c>
      <c r="AM8" s="249" t="str">
        <f t="shared" si="3"/>
        <v>EURFUT3MJ4ConvAdj_Quote</v>
      </c>
      <c r="AN8" s="248" t="str">
        <f>_xll.qlFuturesConvAdjustmentQuote($AM8,IborIndex,$AK8,$AL8,Volatility,MeanReversion,Permanent,Trigger,ObjectOverwrite)</f>
        <v>EURFUT3MJ4ConvAdj_Quote#0000</v>
      </c>
      <c r="AO8" s="75" t="str">
        <f>_xll.ohRangeRetrieveError(AN8)</f>
        <v/>
      </c>
      <c r="AP8" s="49"/>
    </row>
    <row r="9" spans="1:43" x14ac:dyDescent="0.2">
      <c r="A9" s="146"/>
      <c r="B9" s="107">
        <v>3</v>
      </c>
      <c r="C9" s="145" t="b">
        <v>0</v>
      </c>
      <c r="D9" s="144" t="str">
        <v>K4</v>
      </c>
      <c r="E9" s="143" t="str">
        <f t="shared" si="0"/>
        <v>EURFUT3MK4_Quote</v>
      </c>
      <c r="F9" s="142" t="str">
        <f>_xll.qlSimpleQuote(E9,,PriceTickValue,Permanent,Trigger,ObjectOverwrite)</f>
        <v>EURFUT3MK4_Quote#0000</v>
      </c>
      <c r="G9" s="105" t="str">
        <f>_xll.ohRangeRetrieveError(F9)</f>
        <v/>
      </c>
      <c r="H9" s="141"/>
      <c r="J9" s="323"/>
      <c r="K9" s="329">
        <v>3</v>
      </c>
      <c r="L9" s="328" t="b">
        <v>0</v>
      </c>
      <c r="M9" s="259" t="str">
        <v>K4</v>
      </c>
      <c r="N9" s="327">
        <v>41780</v>
      </c>
      <c r="O9" s="259" t="str">
        <v>FEIK4</v>
      </c>
      <c r="P9" s="326">
        <v>41561</v>
      </c>
      <c r="Q9" s="259">
        <v>99.71</v>
      </c>
      <c r="R9" s="259">
        <v>99.72</v>
      </c>
      <c r="S9" s="259">
        <v>0</v>
      </c>
      <c r="T9" s="259">
        <v>99.715000000000003</v>
      </c>
      <c r="U9" s="262">
        <f>_xll.qlMidSafe($Q9,$R9)</f>
        <v>99.715000000000003</v>
      </c>
      <c r="V9" s="253"/>
      <c r="W9" s="330">
        <v>99.704999999999998</v>
      </c>
      <c r="X9" s="253"/>
      <c r="Y9" s="324">
        <v>99.704999999999998</v>
      </c>
      <c r="Z9" s="262" t="e">
        <f>_xll.qlSimpleQuoteSetValue(F9,Y9,Trigger)</f>
        <v>#N/A</v>
      </c>
      <c r="AA9" s="49"/>
      <c r="AB9" s="17"/>
      <c r="AC9" s="86" t="s">
        <v>121</v>
      </c>
      <c r="AD9" s="84" t="s">
        <v>251</v>
      </c>
      <c r="AE9" s="17"/>
      <c r="AF9" s="290">
        <f t="shared" si="1"/>
        <v>9.9999999999909054E-5</v>
      </c>
      <c r="AH9" s="146"/>
      <c r="AI9" s="107">
        <v>3</v>
      </c>
      <c r="AJ9" s="144" t="b">
        <v>0</v>
      </c>
      <c r="AK9" s="144" t="str">
        <v>K4</v>
      </c>
      <c r="AL9" s="248" t="str">
        <f t="shared" si="2"/>
        <v>EURFUT3MK4_Quote</v>
      </c>
      <c r="AM9" s="249" t="str">
        <f t="shared" si="3"/>
        <v>EURFUT3MK4ConvAdj_Quote</v>
      </c>
      <c r="AN9" s="248" t="str">
        <f>_xll.qlFuturesConvAdjustmentQuote($AM9,IborIndex,$AK9,$AL9,Volatility,MeanReversion,Permanent,Trigger,ObjectOverwrite)</f>
        <v>EURFUT3MK4ConvAdj_Quote#0000</v>
      </c>
      <c r="AO9" s="75" t="str">
        <f>_xll.ohRangeRetrieveError(AN9)</f>
        <v/>
      </c>
      <c r="AP9" s="49"/>
    </row>
    <row r="10" spans="1:43" x14ac:dyDescent="0.2">
      <c r="A10" s="146"/>
      <c r="B10" s="107">
        <v>4</v>
      </c>
      <c r="C10" s="145" t="b">
        <v>0</v>
      </c>
      <c r="D10" s="144" t="str">
        <v>M4</v>
      </c>
      <c r="E10" s="143" t="str">
        <f t="shared" si="0"/>
        <v>EURFUT3MM4_Quote</v>
      </c>
      <c r="F10" s="142" t="str">
        <f>_xll.qlSimpleQuote(E10,,PriceTickValue,Permanent,Trigger,ObjectOverwrite)</f>
        <v>EURFUT3MM4_Quote#0000</v>
      </c>
      <c r="G10" s="105" t="str">
        <f>_xll.ohRangeRetrieveError(F10)</f>
        <v/>
      </c>
      <c r="H10" s="141"/>
      <c r="J10" s="323"/>
      <c r="K10" s="329">
        <v>4</v>
      </c>
      <c r="L10" s="328" t="b">
        <v>0</v>
      </c>
      <c r="M10" s="259" t="str">
        <v>M4</v>
      </c>
      <c r="N10" s="327">
        <v>41808</v>
      </c>
      <c r="O10" s="259" t="str">
        <v>FEIM4</v>
      </c>
      <c r="P10" s="326">
        <v>41596</v>
      </c>
      <c r="Q10" s="259">
        <v>0</v>
      </c>
      <c r="R10" s="259">
        <v>0</v>
      </c>
      <c r="S10" s="259">
        <v>0</v>
      </c>
      <c r="T10" s="259">
        <v>99.7</v>
      </c>
      <c r="U10" s="262" t="e">
        <f>_xll.qlMidSafe($Q10,$R10)</f>
        <v>#NUM!</v>
      </c>
      <c r="V10" s="253"/>
      <c r="W10" s="330" t="e">
        <v>#NUM!</v>
      </c>
      <c r="X10" s="253"/>
      <c r="Y10" s="324" t="e">
        <v>#NUM!</v>
      </c>
      <c r="Z10" s="262" t="e">
        <f>_xll.qlSimpleQuoteSetValue(F10,Y10,Trigger)</f>
        <v>#NUM!</v>
      </c>
      <c r="AA10" s="49"/>
      <c r="AB10" s="17"/>
      <c r="AC10" s="86" t="s">
        <v>120</v>
      </c>
      <c r="AD10" s="84"/>
      <c r="AE10" s="17"/>
      <c r="AF10" s="290" t="e">
        <f t="shared" si="1"/>
        <v>#NUM!</v>
      </c>
      <c r="AH10" s="146"/>
      <c r="AI10" s="107">
        <v>4</v>
      </c>
      <c r="AJ10" s="144" t="b">
        <v>0</v>
      </c>
      <c r="AK10" s="144" t="str">
        <v>M4</v>
      </c>
      <c r="AL10" s="248" t="str">
        <f t="shared" si="2"/>
        <v>EURFUT3MM4_Quote</v>
      </c>
      <c r="AM10" s="249" t="str">
        <f t="shared" si="3"/>
        <v>EURFUT3MM4ConvAdj_Quote</v>
      </c>
      <c r="AN10" s="248" t="str">
        <f>_xll.qlFuturesConvAdjustmentQuote($AM10,IborIndex,$AK10,$AL10,Volatility,MeanReversion,Permanent,Trigger,ObjectOverwrite)</f>
        <v>EURFUT3MM4ConvAdj_Quote#0000</v>
      </c>
      <c r="AO10" s="75" t="str">
        <f>_xll.ohRangeRetrieveError(AN10)</f>
        <v/>
      </c>
      <c r="AP10" s="49"/>
    </row>
    <row r="11" spans="1:43" ht="12" thickBot="1" x14ac:dyDescent="0.25">
      <c r="A11" s="146"/>
      <c r="B11" s="107">
        <v>5</v>
      </c>
      <c r="C11" s="145" t="b">
        <v>0</v>
      </c>
      <c r="D11" s="144" t="str">
        <v>N4</v>
      </c>
      <c r="E11" s="143" t="str">
        <f t="shared" si="0"/>
        <v>EURFUT3MN4_Quote</v>
      </c>
      <c r="F11" s="142" t="str">
        <f>_xll.qlSimpleQuote(E11,,PriceTickValue,Permanent,Trigger,ObjectOverwrite)</f>
        <v>EURFUT3MN4_Quote#0000</v>
      </c>
      <c r="G11" s="105" t="str">
        <f>_xll.ohRangeRetrieveError(F11)</f>
        <v/>
      </c>
      <c r="H11" s="141"/>
      <c r="J11" s="323"/>
      <c r="K11" s="329">
        <v>5</v>
      </c>
      <c r="L11" s="328" t="b">
        <v>0</v>
      </c>
      <c r="M11" s="259" t="str">
        <v>N4</v>
      </c>
      <c r="N11" s="327">
        <v>41836</v>
      </c>
      <c r="O11" s="259" t="str">
        <v>FEIN4</v>
      </c>
      <c r="P11" s="326">
        <v>41624</v>
      </c>
      <c r="Q11" s="259">
        <v>99.674999999999997</v>
      </c>
      <c r="R11" s="259">
        <v>99.68</v>
      </c>
      <c r="S11" s="259">
        <v>99.674999999999997</v>
      </c>
      <c r="T11" s="259">
        <v>99.674999999999997</v>
      </c>
      <c r="U11" s="262">
        <f>_xll.qlMidSafe($Q11,$R11)</f>
        <v>99.677500000000009</v>
      </c>
      <c r="V11" s="253"/>
      <c r="W11" s="325">
        <v>99.707499999999996</v>
      </c>
      <c r="X11" s="253"/>
      <c r="Y11" s="324">
        <v>99.707499999999996</v>
      </c>
      <c r="Z11" s="262" t="e">
        <f>_xll.qlSimpleQuoteSetValue(F11,Y11,Trigger)</f>
        <v>#N/A</v>
      </c>
      <c r="AA11" s="49"/>
      <c r="AB11" s="17"/>
      <c r="AC11" s="83" t="s">
        <v>118</v>
      </c>
      <c r="AD11" s="81" t="s">
        <v>250</v>
      </c>
      <c r="AE11" s="17"/>
      <c r="AF11" s="290">
        <f t="shared" si="1"/>
        <v>4.9999999999954527E-5</v>
      </c>
      <c r="AH11" s="146"/>
      <c r="AI11" s="107">
        <v>5</v>
      </c>
      <c r="AJ11" s="144" t="b">
        <v>0</v>
      </c>
      <c r="AK11" s="144" t="str">
        <v>N4</v>
      </c>
      <c r="AL11" s="248" t="str">
        <f t="shared" si="2"/>
        <v>EURFUT3MN4_Quote</v>
      </c>
      <c r="AM11" s="249" t="str">
        <f t="shared" si="3"/>
        <v>EURFUT3MN4ConvAdj_Quote</v>
      </c>
      <c r="AN11" s="248" t="str">
        <f>_xll.qlFuturesConvAdjustmentQuote($AM11,IborIndex,$AK11,$AL11,Volatility,MeanReversion,Permanent,Trigger,ObjectOverwrite)</f>
        <v>EURFUT3MN4ConvAdj_Quote#0000</v>
      </c>
      <c r="AO11" s="75" t="str">
        <f>_xll.ohRangeRetrieveError(AN11)</f>
        <v/>
      </c>
      <c r="AP11" s="49"/>
    </row>
    <row r="12" spans="1:43" x14ac:dyDescent="0.2">
      <c r="A12" s="146"/>
      <c r="B12" s="107">
        <v>6</v>
      </c>
      <c r="C12" s="145" t="b">
        <v>0</v>
      </c>
      <c r="D12" s="144" t="str">
        <v>Q4</v>
      </c>
      <c r="E12" s="143" t="str">
        <f t="shared" si="0"/>
        <v>EURFUT3MQ4_Quote</v>
      </c>
      <c r="F12" s="142" t="str">
        <f>_xll.qlSimpleQuote(E12,,PriceTickValue,Permanent,Trigger,ObjectOverwrite)</f>
        <v>EURFUT3MQ4_Quote#0000</v>
      </c>
      <c r="G12" s="105" t="str">
        <f>_xll.ohRangeRetrieveError(F12)</f>
        <v/>
      </c>
      <c r="H12" s="141"/>
      <c r="J12" s="323"/>
      <c r="K12" s="329">
        <v>6</v>
      </c>
      <c r="L12" s="328" t="b">
        <v>0</v>
      </c>
      <c r="M12" s="259" t="str">
        <v>Q4</v>
      </c>
      <c r="N12" s="327">
        <v>41871</v>
      </c>
      <c r="O12" s="259" t="str">
        <v>FEIQ4</v>
      </c>
      <c r="P12" s="326">
        <v>41652</v>
      </c>
      <c r="Q12" s="259">
        <v>0</v>
      </c>
      <c r="R12" s="259">
        <v>0</v>
      </c>
      <c r="S12" s="259">
        <v>0</v>
      </c>
      <c r="T12" s="259">
        <v>99.68</v>
      </c>
      <c r="U12" s="262" t="e">
        <f>_xll.qlMidSafe($Q12,$R12)</f>
        <v>#NUM!</v>
      </c>
      <c r="V12" s="253"/>
      <c r="W12" s="325" t="e">
        <v>#NUM!</v>
      </c>
      <c r="X12" s="253"/>
      <c r="Y12" s="324" t="e">
        <v>#NUM!</v>
      </c>
      <c r="Z12" s="262" t="e">
        <f>_xll.qlSimpleQuoteSetValue(F12,Y12,Trigger)</f>
        <v>#NUM!</v>
      </c>
      <c r="AA12" s="49"/>
      <c r="AB12" s="17"/>
      <c r="AC12" s="17"/>
      <c r="AD12" s="17"/>
      <c r="AE12" s="17"/>
      <c r="AF12" s="290" t="e">
        <f t="shared" si="1"/>
        <v>#NUM!</v>
      </c>
      <c r="AH12" s="146"/>
      <c r="AI12" s="107">
        <v>6</v>
      </c>
      <c r="AJ12" s="144" t="b">
        <v>0</v>
      </c>
      <c r="AK12" s="144" t="str">
        <v>Q4</v>
      </c>
      <c r="AL12" s="248" t="str">
        <f t="shared" si="2"/>
        <v>EURFUT3MQ4_Quote</v>
      </c>
      <c r="AM12" s="249" t="str">
        <f t="shared" si="3"/>
        <v>EURFUT3MQ4ConvAdj_Quote</v>
      </c>
      <c r="AN12" s="248" t="str">
        <f>_xll.qlFuturesConvAdjustmentQuote($AM12,IborIndex,$AK12,$AL12,Volatility,MeanReversion,Permanent,Trigger,ObjectOverwrite)</f>
        <v>EURFUT3MQ4ConvAdj_Quote#0000</v>
      </c>
      <c r="AO12" s="75" t="str">
        <f>_xll.ohRangeRetrieveError(AN12)</f>
        <v/>
      </c>
      <c r="AP12" s="49"/>
    </row>
    <row r="13" spans="1:43" x14ac:dyDescent="0.2">
      <c r="A13" s="146"/>
      <c r="B13" s="107">
        <v>7</v>
      </c>
      <c r="C13" s="145" t="b">
        <v>0</v>
      </c>
      <c r="D13" s="144" t="str">
        <v>U4</v>
      </c>
      <c r="E13" s="143" t="str">
        <f t="shared" si="0"/>
        <v>EURFUT3MU4_Quote</v>
      </c>
      <c r="F13" s="142" t="str">
        <f>_xll.qlSimpleQuote(E13,,PriceTickValue,Permanent,Trigger,ObjectOverwrite)</f>
        <v>EURFUT3MU4_Quote#0000</v>
      </c>
      <c r="G13" s="105" t="str">
        <f>_xll.ohRangeRetrieveError(F13)</f>
        <v/>
      </c>
      <c r="H13" s="141"/>
      <c r="J13" s="323"/>
      <c r="K13" s="329">
        <v>7</v>
      </c>
      <c r="L13" s="328" t="b">
        <v>0</v>
      </c>
      <c r="M13" s="259" t="str">
        <v>U4</v>
      </c>
      <c r="N13" s="327">
        <v>41899</v>
      </c>
      <c r="O13" s="259" t="str">
        <v>FEIU4</v>
      </c>
      <c r="P13" s="326" t="s">
        <v>244</v>
      </c>
      <c r="Q13" s="259" t="s">
        <v>244</v>
      </c>
      <c r="R13" s="259" t="s">
        <v>244</v>
      </c>
      <c r="S13" s="259" t="s">
        <v>244</v>
      </c>
      <c r="T13" s="259" t="s">
        <v>244</v>
      </c>
      <c r="U13" s="262" t="e">
        <f>_xll.qlMidSafe($Q13,$R13)</f>
        <v>#NUM!</v>
      </c>
      <c r="V13" s="253"/>
      <c r="W13" s="325" t="e">
        <v>#NUM!</v>
      </c>
      <c r="X13" s="253"/>
      <c r="Y13" s="324" t="e">
        <v>#NUM!</v>
      </c>
      <c r="Z13" s="262" t="e">
        <f>_xll.qlSimpleQuoteSetValue(F13,Y13,Trigger)</f>
        <v>#NUM!</v>
      </c>
      <c r="AA13" s="49"/>
      <c r="AB13" s="17"/>
      <c r="AC13" s="17"/>
      <c r="AD13" s="17"/>
      <c r="AE13" s="17"/>
      <c r="AF13" s="290" t="e">
        <f t="shared" si="1"/>
        <v>#VALUE!</v>
      </c>
      <c r="AH13" s="146"/>
      <c r="AI13" s="107">
        <v>7</v>
      </c>
      <c r="AJ13" s="144" t="b">
        <v>0</v>
      </c>
      <c r="AK13" s="144" t="str">
        <v>U4</v>
      </c>
      <c r="AL13" s="248" t="str">
        <f t="shared" si="2"/>
        <v>EURFUT3MU4_Quote</v>
      </c>
      <c r="AM13" s="249" t="str">
        <f t="shared" si="3"/>
        <v>EURFUT3MU4ConvAdj_Quote</v>
      </c>
      <c r="AN13" s="248" t="str">
        <f>_xll.qlFuturesConvAdjustmentQuote($AM13,IborIndex,$AK13,$AL13,Volatility,MeanReversion,Permanent,Trigger,ObjectOverwrite)</f>
        <v>EURFUT3MU4ConvAdj_Quote#0000</v>
      </c>
      <c r="AO13" s="75" t="str">
        <f>_xll.ohRangeRetrieveError(AN13)</f>
        <v/>
      </c>
      <c r="AP13" s="49"/>
    </row>
    <row r="14" spans="1:43" x14ac:dyDescent="0.2">
      <c r="A14" s="146"/>
      <c r="B14" s="107">
        <v>8</v>
      </c>
      <c r="C14" s="145" t="b">
        <v>0</v>
      </c>
      <c r="D14" s="144" t="str">
        <v>V4</v>
      </c>
      <c r="E14" s="143" t="str">
        <f t="shared" si="0"/>
        <v>EURFUT3MV4_Quote</v>
      </c>
      <c r="F14" s="142" t="str">
        <f>_xll.qlSimpleQuote(E14,,PriceTickValue,Permanent,Trigger,ObjectOverwrite)</f>
        <v>EURFUT3MV4_Quote#0000</v>
      </c>
      <c r="G14" s="105" t="str">
        <f>_xll.ohRangeRetrieveError(F14)</f>
        <v/>
      </c>
      <c r="H14" s="141"/>
      <c r="J14" s="323"/>
      <c r="K14" s="329">
        <v>8</v>
      </c>
      <c r="L14" s="328" t="b">
        <v>0</v>
      </c>
      <c r="M14" s="259" t="str">
        <v>V4</v>
      </c>
      <c r="N14" s="327">
        <v>41927</v>
      </c>
      <c r="O14" s="259" t="str">
        <v>FEIV4</v>
      </c>
      <c r="P14" s="326">
        <v>41715</v>
      </c>
      <c r="Q14" s="259">
        <v>99.605000000000004</v>
      </c>
      <c r="R14" s="259">
        <v>99.61</v>
      </c>
      <c r="S14" s="259">
        <v>99.61</v>
      </c>
      <c r="T14" s="259">
        <v>99.61</v>
      </c>
      <c r="U14" s="262">
        <f>_xll.qlMidSafe($Q14,$R14)</f>
        <v>99.607500000000002</v>
      </c>
      <c r="V14" s="253"/>
      <c r="W14" s="325">
        <v>99.702500000000001</v>
      </c>
      <c r="X14" s="253"/>
      <c r="Y14" s="324">
        <v>99.702500000000001</v>
      </c>
      <c r="Z14" s="262" t="e">
        <f>_xll.qlSimpleQuoteSetValue(F14,Y14,Trigger)</f>
        <v>#N/A</v>
      </c>
      <c r="AA14" s="49"/>
      <c r="AB14" s="17"/>
      <c r="AC14" s="17"/>
      <c r="AD14" s="17"/>
      <c r="AE14" s="17"/>
      <c r="AF14" s="290">
        <f t="shared" si="1"/>
        <v>4.9999999999954527E-5</v>
      </c>
      <c r="AH14" s="146"/>
      <c r="AI14" s="107">
        <v>8</v>
      </c>
      <c r="AJ14" s="144" t="b">
        <v>0</v>
      </c>
      <c r="AK14" s="144" t="str">
        <v>V4</v>
      </c>
      <c r="AL14" s="248" t="str">
        <f t="shared" si="2"/>
        <v>EURFUT3MV4_Quote</v>
      </c>
      <c r="AM14" s="249" t="str">
        <f t="shared" si="3"/>
        <v>EURFUT3MV4ConvAdj_Quote</v>
      </c>
      <c r="AN14" s="248" t="str">
        <f>_xll.qlFuturesConvAdjustmentQuote($AM14,IborIndex,$AK14,$AL14,Volatility,MeanReversion,Permanent,Trigger,ObjectOverwrite)</f>
        <v>EURFUT3MV4ConvAdj_Quote#0000</v>
      </c>
      <c r="AO14" s="75" t="str">
        <f>_xll.ohRangeRetrieveError(AN14)</f>
        <v/>
      </c>
      <c r="AP14" s="49"/>
    </row>
    <row r="15" spans="1:43" x14ac:dyDescent="0.2">
      <c r="A15" s="146"/>
      <c r="B15" s="107">
        <v>9</v>
      </c>
      <c r="C15" s="145" t="b">
        <v>0</v>
      </c>
      <c r="D15" s="144" t="str">
        <v>X4</v>
      </c>
      <c r="E15" s="143" t="str">
        <f t="shared" si="0"/>
        <v>EURFUT3MX4_Quote</v>
      </c>
      <c r="F15" s="142" t="str">
        <f>_xll.qlSimpleQuote(E15,,PriceTickValue,Permanent,Trigger,ObjectOverwrite)</f>
        <v>EURFUT3MX4_Quote#0000</v>
      </c>
      <c r="G15" s="105" t="str">
        <f>_xll.ohRangeRetrieveError(F15)</f>
        <v/>
      </c>
      <c r="H15" s="141"/>
      <c r="J15" s="323"/>
      <c r="K15" s="329">
        <v>9</v>
      </c>
      <c r="L15" s="328" t="b">
        <v>0</v>
      </c>
      <c r="M15" s="259" t="str">
        <v>X4</v>
      </c>
      <c r="N15" s="327">
        <v>41962</v>
      </c>
      <c r="O15" s="259" t="str">
        <v>FEIX4</v>
      </c>
      <c r="P15" s="326" t="s">
        <v>244</v>
      </c>
      <c r="Q15" s="259" t="s">
        <v>244</v>
      </c>
      <c r="R15" s="259" t="s">
        <v>244</v>
      </c>
      <c r="S15" s="259" t="s">
        <v>244</v>
      </c>
      <c r="T15" s="259" t="s">
        <v>244</v>
      </c>
      <c r="U15" s="262" t="e">
        <f>_xll.qlMidSafe($Q15,$R15)</f>
        <v>#NUM!</v>
      </c>
      <c r="V15" s="253"/>
      <c r="W15" s="325" t="e">
        <v>#NUM!</v>
      </c>
      <c r="X15" s="253"/>
      <c r="Y15" s="324" t="e">
        <v>#NUM!</v>
      </c>
      <c r="Z15" s="262" t="e">
        <f>_xll.qlSimpleQuoteSetValue(F15,Y15,Trigger)</f>
        <v>#NUM!</v>
      </c>
      <c r="AA15" s="49"/>
      <c r="AB15" s="17"/>
      <c r="AC15" s="17"/>
      <c r="AD15" s="17"/>
      <c r="AE15" s="17"/>
      <c r="AF15" s="290" t="e">
        <f t="shared" si="1"/>
        <v>#VALUE!</v>
      </c>
      <c r="AH15" s="146"/>
      <c r="AI15" s="107">
        <v>9</v>
      </c>
      <c r="AJ15" s="144" t="b">
        <v>0</v>
      </c>
      <c r="AK15" s="144" t="str">
        <v>X4</v>
      </c>
      <c r="AL15" s="248" t="str">
        <f t="shared" si="2"/>
        <v>EURFUT3MX4_Quote</v>
      </c>
      <c r="AM15" s="249" t="str">
        <f t="shared" si="3"/>
        <v>EURFUT3MX4ConvAdj_Quote</v>
      </c>
      <c r="AN15" s="248" t="str">
        <f>_xll.qlFuturesConvAdjustmentQuote($AM15,IborIndex,$AK15,$AL15,Volatility,MeanReversion,Permanent,Trigger,ObjectOverwrite)</f>
        <v>EURFUT3MX4ConvAdj_Quote#0000</v>
      </c>
      <c r="AO15" s="75" t="str">
        <f>_xll.ohRangeRetrieveError(AN15)</f>
        <v/>
      </c>
      <c r="AP15" s="49"/>
    </row>
    <row r="16" spans="1:43" x14ac:dyDescent="0.2">
      <c r="A16" s="146"/>
      <c r="B16" s="107">
        <v>10</v>
      </c>
      <c r="C16" s="145" t="b">
        <v>0</v>
      </c>
      <c r="D16" s="144" t="str">
        <v>Z4</v>
      </c>
      <c r="E16" s="143" t="str">
        <f t="shared" si="0"/>
        <v>EURFUT3MZ4_Quote</v>
      </c>
      <c r="F16" s="142" t="str">
        <f>_xll.qlSimpleQuote(E16,,PriceTickValue,Permanent,Trigger,ObjectOverwrite)</f>
        <v>EURFUT3MZ4_Quote#0000</v>
      </c>
      <c r="G16" s="105" t="str">
        <f>_xll.ohRangeRetrieveError(F16)</f>
        <v/>
      </c>
      <c r="H16" s="141"/>
      <c r="J16" s="323"/>
      <c r="K16" s="329">
        <v>10</v>
      </c>
      <c r="L16" s="328" t="b">
        <v>0</v>
      </c>
      <c r="M16" s="259" t="str">
        <v>Z4</v>
      </c>
      <c r="N16" s="327">
        <v>41990</v>
      </c>
      <c r="O16" s="259" t="str">
        <v>FEIZ4</v>
      </c>
      <c r="P16" s="326" t="s">
        <v>244</v>
      </c>
      <c r="Q16" s="259" t="s">
        <v>244</v>
      </c>
      <c r="R16" s="259" t="s">
        <v>244</v>
      </c>
      <c r="S16" s="259" t="s">
        <v>244</v>
      </c>
      <c r="T16" s="259" t="s">
        <v>244</v>
      </c>
      <c r="U16" s="262" t="e">
        <f>_xll.qlMidSafe($Q16,$R16)</f>
        <v>#NUM!</v>
      </c>
      <c r="V16" s="253"/>
      <c r="W16" s="325" t="e">
        <v>#NUM!</v>
      </c>
      <c r="X16" s="253"/>
      <c r="Y16" s="324" t="e">
        <v>#NUM!</v>
      </c>
      <c r="Z16" s="262" t="e">
        <f>_xll.qlSimpleQuoteSetValue(F16,Y16,Trigger)</f>
        <v>#NUM!</v>
      </c>
      <c r="AA16" s="49"/>
      <c r="AB16" s="17"/>
      <c r="AC16" s="17"/>
      <c r="AD16" s="17"/>
      <c r="AE16" s="17"/>
      <c r="AF16" s="290" t="e">
        <f t="shared" si="1"/>
        <v>#VALUE!</v>
      </c>
      <c r="AH16" s="146"/>
      <c r="AI16" s="107">
        <v>10</v>
      </c>
      <c r="AJ16" s="144" t="b">
        <v>0</v>
      </c>
      <c r="AK16" s="144" t="str">
        <v>Z4</v>
      </c>
      <c r="AL16" s="248" t="str">
        <f t="shared" si="2"/>
        <v>EURFUT3MZ4_Quote</v>
      </c>
      <c r="AM16" s="249" t="str">
        <f t="shared" si="3"/>
        <v>EURFUT3MZ4ConvAdj_Quote</v>
      </c>
      <c r="AN16" s="248" t="str">
        <f>_xll.qlFuturesConvAdjustmentQuote($AM16,IborIndex,$AK16,$AL16,Volatility,MeanReversion,Permanent,Trigger,ObjectOverwrite)</f>
        <v>EURFUT3MZ4ConvAdj_Quote#0000</v>
      </c>
      <c r="AO16" s="75" t="str">
        <f>_xll.ohRangeRetrieveError(AN16)</f>
        <v/>
      </c>
      <c r="AP16" s="49"/>
    </row>
    <row r="17" spans="1:42" x14ac:dyDescent="0.2">
      <c r="A17" s="146"/>
      <c r="B17" s="107">
        <v>11</v>
      </c>
      <c r="C17" s="145" t="b">
        <v>0</v>
      </c>
      <c r="D17" s="144" t="str">
        <v>F5</v>
      </c>
      <c r="E17" s="143" t="str">
        <f t="shared" si="0"/>
        <v>EURFUT3MF5_Quote</v>
      </c>
      <c r="F17" s="142" t="str">
        <f>_xll.qlSimpleQuote(E17,,PriceTickValue,Permanent,Trigger,ObjectOverwrite)</f>
        <v>EURFUT3MF5_Quote#0000</v>
      </c>
      <c r="G17" s="105" t="str">
        <f>_xll.ohRangeRetrieveError(F17)</f>
        <v/>
      </c>
      <c r="H17" s="141"/>
      <c r="J17" s="323"/>
      <c r="K17" s="329">
        <v>11</v>
      </c>
      <c r="L17" s="328" t="b">
        <v>0</v>
      </c>
      <c r="M17" s="259" t="str">
        <v>F5</v>
      </c>
      <c r="N17" s="327">
        <v>42025</v>
      </c>
      <c r="O17" s="259" t="str">
        <v>FEIF5</v>
      </c>
      <c r="P17" s="326">
        <v>41806</v>
      </c>
      <c r="Q17" s="259">
        <v>99.545000000000002</v>
      </c>
      <c r="R17" s="259">
        <v>99.55</v>
      </c>
      <c r="S17" s="259">
        <v>99.55</v>
      </c>
      <c r="T17" s="259">
        <v>99.56</v>
      </c>
      <c r="U17" s="262">
        <f>_xll.qlMidSafe($Q17,$R17)</f>
        <v>99.547499999999999</v>
      </c>
      <c r="V17" s="253"/>
      <c r="W17" s="325">
        <v>99.682500000000005</v>
      </c>
      <c r="X17" s="253"/>
      <c r="Y17" s="324">
        <v>99.682500000000005</v>
      </c>
      <c r="Z17" s="262" t="e">
        <f>_xll.qlSimpleQuoteSetValue(F17,Y17,Trigger)</f>
        <v>#N/A</v>
      </c>
      <c r="AA17" s="49"/>
      <c r="AB17" s="17"/>
      <c r="AC17" s="17"/>
      <c r="AD17" s="17"/>
      <c r="AE17" s="17"/>
      <c r="AF17" s="290">
        <f t="shared" si="1"/>
        <v>4.9999999999954527E-5</v>
      </c>
      <c r="AH17" s="146"/>
      <c r="AI17" s="107">
        <v>11</v>
      </c>
      <c r="AJ17" s="144" t="b">
        <v>0</v>
      </c>
      <c r="AK17" s="144" t="str">
        <v>F5</v>
      </c>
      <c r="AL17" s="248" t="str">
        <f t="shared" si="2"/>
        <v>EURFUT3MF5_Quote</v>
      </c>
      <c r="AM17" s="249" t="str">
        <f t="shared" si="3"/>
        <v>EURFUT3MF5ConvAdj_Quote</v>
      </c>
      <c r="AN17" s="248" t="str">
        <f>_xll.qlFuturesConvAdjustmentQuote($AM17,IborIndex,$AK17,$AL17,Volatility,MeanReversion,Permanent,Trigger,ObjectOverwrite)</f>
        <v>EURFUT3MF5ConvAdj_Quote#0000</v>
      </c>
      <c r="AO17" s="75" t="str">
        <f>_xll.ohRangeRetrieveError(AN17)</f>
        <v/>
      </c>
      <c r="AP17" s="49"/>
    </row>
    <row r="18" spans="1:42" x14ac:dyDescent="0.2">
      <c r="A18" s="146"/>
      <c r="B18" s="107">
        <v>12</v>
      </c>
      <c r="C18" s="145" t="b">
        <v>0</v>
      </c>
      <c r="D18" s="144" t="str">
        <v>G5</v>
      </c>
      <c r="E18" s="143" t="str">
        <f t="shared" si="0"/>
        <v>EURFUT3MG5_Quote</v>
      </c>
      <c r="F18" s="142" t="str">
        <f>_xll.qlSimpleQuote(E18,,PriceTickValue,Permanent,Trigger,ObjectOverwrite)</f>
        <v>EURFUT3MG5_Quote#0000</v>
      </c>
      <c r="G18" s="105" t="str">
        <f>_xll.ohRangeRetrieveError(F18)</f>
        <v/>
      </c>
      <c r="H18" s="141"/>
      <c r="J18" s="323"/>
      <c r="K18" s="329">
        <v>12</v>
      </c>
      <c r="L18" s="328" t="b">
        <v>0</v>
      </c>
      <c r="M18" s="259" t="str">
        <v>G5</v>
      </c>
      <c r="N18" s="327">
        <v>42053</v>
      </c>
      <c r="O18" s="259" t="str">
        <v>FEIG5</v>
      </c>
      <c r="P18" s="326" t="s">
        <v>244</v>
      </c>
      <c r="Q18" s="259" t="s">
        <v>244</v>
      </c>
      <c r="R18" s="259" t="s">
        <v>244</v>
      </c>
      <c r="S18" s="259" t="s">
        <v>244</v>
      </c>
      <c r="T18" s="259" t="s">
        <v>244</v>
      </c>
      <c r="U18" s="262" t="e">
        <f>_xll.qlMidSafe($Q18,$R18)</f>
        <v>#NUM!</v>
      </c>
      <c r="V18" s="253"/>
      <c r="W18" s="325" t="e">
        <v>#NUM!</v>
      </c>
      <c r="X18" s="253"/>
      <c r="Y18" s="324" t="e">
        <v>#NUM!</v>
      </c>
      <c r="Z18" s="262" t="e">
        <f>_xll.qlSimpleQuoteSetValue(F18,Y18,Trigger)</f>
        <v>#NUM!</v>
      </c>
      <c r="AA18" s="49"/>
      <c r="AB18" s="17"/>
      <c r="AC18" s="17"/>
      <c r="AD18" s="17"/>
      <c r="AE18" s="17"/>
      <c r="AF18" s="290" t="e">
        <f t="shared" si="1"/>
        <v>#VALUE!</v>
      </c>
      <c r="AH18" s="146"/>
      <c r="AI18" s="107">
        <v>12</v>
      </c>
      <c r="AJ18" s="144" t="b">
        <v>0</v>
      </c>
      <c r="AK18" s="144" t="str">
        <v>G5</v>
      </c>
      <c r="AL18" s="248" t="str">
        <f t="shared" si="2"/>
        <v>EURFUT3MG5_Quote</v>
      </c>
      <c r="AM18" s="249" t="str">
        <f t="shared" si="3"/>
        <v>EURFUT3MG5ConvAdj_Quote</v>
      </c>
      <c r="AN18" s="248" t="str">
        <f>_xll.qlFuturesConvAdjustmentQuote($AM18,IborIndex,$AK18,$AL18,Volatility,MeanReversion,Permanent,Trigger,ObjectOverwrite)</f>
        <v>EURFUT3MG5ConvAdj_Quote#0000</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EURFUT3MH5_Quote#0000</v>
      </c>
      <c r="G19" s="105" t="str">
        <f>_xll.ohRangeRetrieveError(F19)</f>
        <v/>
      </c>
      <c r="H19" s="141"/>
      <c r="J19" s="323"/>
      <c r="K19" s="329">
        <v>13</v>
      </c>
      <c r="L19" s="328" t="b">
        <v>1</v>
      </c>
      <c r="M19" s="259" t="str">
        <v>H5</v>
      </c>
      <c r="N19" s="327">
        <v>42081</v>
      </c>
      <c r="O19" s="259" t="str">
        <v>FEIH5</v>
      </c>
      <c r="P19" s="326">
        <v>41897</v>
      </c>
      <c r="Q19" s="259">
        <v>99.484999999999999</v>
      </c>
      <c r="R19" s="259">
        <v>99.49</v>
      </c>
      <c r="S19" s="259">
        <v>99.484999999999999</v>
      </c>
      <c r="T19" s="259">
        <v>99.51</v>
      </c>
      <c r="U19" s="262">
        <f>_xll.qlMidSafe($Q19,$R19)</f>
        <v>99.487499999999997</v>
      </c>
      <c r="V19" s="253"/>
      <c r="W19" s="325">
        <v>99.642499999999998</v>
      </c>
      <c r="X19" s="253"/>
      <c r="Y19" s="324">
        <v>99.642499999999998</v>
      </c>
      <c r="Z19" s="262" t="e">
        <f>_xll.qlSimpleQuoteSetValue(F19,Y19,Trigger)</f>
        <v>#N/A</v>
      </c>
      <c r="AA19" s="49"/>
      <c r="AB19" s="17"/>
      <c r="AC19" s="17"/>
      <c r="AD19" s="17"/>
      <c r="AE19" s="17"/>
      <c r="AF19" s="290">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EURFUT3MH5ConvAdj_Quote#0000</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EURFUT3MM5_Quote#0000</v>
      </c>
      <c r="G20" s="105" t="str">
        <f>_xll.ohRangeRetrieveError(F20)</f>
        <v/>
      </c>
      <c r="H20" s="141"/>
      <c r="J20" s="323"/>
      <c r="K20" s="329">
        <v>14</v>
      </c>
      <c r="L20" s="328" t="b">
        <v>1</v>
      </c>
      <c r="M20" s="259" t="str">
        <v>M5</v>
      </c>
      <c r="N20" s="327">
        <v>42172</v>
      </c>
      <c r="O20" s="259" t="str">
        <v>FEIM5</v>
      </c>
      <c r="P20" s="326">
        <v>41988</v>
      </c>
      <c r="Q20" s="259">
        <v>99.415000000000006</v>
      </c>
      <c r="R20" s="259">
        <v>99.42</v>
      </c>
      <c r="S20" s="259">
        <v>99.42</v>
      </c>
      <c r="T20" s="259">
        <v>99.454999999999998</v>
      </c>
      <c r="U20" s="262">
        <f>_xll.qlMidSafe($Q20,$R20)</f>
        <v>99.417500000000004</v>
      </c>
      <c r="V20" s="253"/>
      <c r="W20" s="325">
        <v>99.587500000000006</v>
      </c>
      <c r="X20" s="253"/>
      <c r="Y20" s="324">
        <v>99.587500000000006</v>
      </c>
      <c r="Z20" s="262" t="e">
        <f>_xll.qlSimpleQuoteSetValue(F20,Y20,Trigger)</f>
        <v>#N/A</v>
      </c>
      <c r="AA20" s="49"/>
      <c r="AB20" s="17"/>
      <c r="AC20" s="17"/>
      <c r="AD20" s="17"/>
      <c r="AE20" s="17"/>
      <c r="AF20" s="290">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EURFUT3MM5ConvAdj_Quote#0000</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EURFUT3MU5_Quote#0000</v>
      </c>
      <c r="G21" s="105" t="str">
        <f>_xll.ohRangeRetrieveError(F21)</f>
        <v/>
      </c>
      <c r="H21" s="141"/>
      <c r="J21" s="323"/>
      <c r="K21" s="329">
        <v>15</v>
      </c>
      <c r="L21" s="328" t="b">
        <v>1</v>
      </c>
      <c r="M21" s="259" t="str">
        <v>U5</v>
      </c>
      <c r="N21" s="327">
        <v>42263</v>
      </c>
      <c r="O21" s="259" t="str">
        <v>FEIU5</v>
      </c>
      <c r="P21" s="326">
        <v>42079</v>
      </c>
      <c r="Q21" s="259">
        <v>99.344999999999999</v>
      </c>
      <c r="R21" s="259">
        <v>99.35</v>
      </c>
      <c r="S21" s="259">
        <v>99.35</v>
      </c>
      <c r="T21" s="259">
        <v>99.394999999999996</v>
      </c>
      <c r="U21" s="262">
        <f>_xll.qlMidSafe($Q21,$R21)</f>
        <v>99.347499999999997</v>
      </c>
      <c r="V21" s="253"/>
      <c r="W21" s="325">
        <v>99.507499999999993</v>
      </c>
      <c r="X21" s="253"/>
      <c r="Y21" s="324">
        <v>99.507499999999993</v>
      </c>
      <c r="Z21" s="262" t="e">
        <f>_xll.qlSimpleQuoteSetValue(F21,Y21,Trigger)</f>
        <v>#N/A</v>
      </c>
      <c r="AA21" s="49"/>
      <c r="AB21" s="17"/>
      <c r="AC21" s="17"/>
      <c r="AD21" s="17"/>
      <c r="AE21" s="17"/>
      <c r="AF21" s="290">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EURFUT3MU5ConvAdj_Quote#0000</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EURFUT3MZ5_Quote#0000</v>
      </c>
      <c r="G22" s="105" t="str">
        <f>_xll.ohRangeRetrieveError(F22)</f>
        <v/>
      </c>
      <c r="H22" s="141"/>
      <c r="J22" s="323"/>
      <c r="K22" s="329">
        <v>16</v>
      </c>
      <c r="L22" s="328" t="b">
        <v>1</v>
      </c>
      <c r="M22" s="259" t="str">
        <v>Z5</v>
      </c>
      <c r="N22" s="327">
        <v>42354</v>
      </c>
      <c r="O22" s="259" t="str">
        <v>FEIZ5</v>
      </c>
      <c r="P22" s="326">
        <v>42170</v>
      </c>
      <c r="Q22" s="259">
        <v>99.265000000000001</v>
      </c>
      <c r="R22" s="259">
        <v>99.27</v>
      </c>
      <c r="S22" s="259">
        <v>99.27</v>
      </c>
      <c r="T22" s="259">
        <v>99.325000000000003</v>
      </c>
      <c r="U22" s="262">
        <f>_xll.qlMidSafe($Q22,$R22)</f>
        <v>99.267499999999998</v>
      </c>
      <c r="V22" s="253"/>
      <c r="W22" s="325">
        <v>99.412499999999994</v>
      </c>
      <c r="X22" s="253"/>
      <c r="Y22" s="324">
        <v>99.412499999999994</v>
      </c>
      <c r="Z22" s="262" t="e">
        <f>_xll.qlSimpleQuoteSetValue(F22,Y22,Trigger)</f>
        <v>#N/A</v>
      </c>
      <c r="AA22" s="49"/>
      <c r="AB22" s="17"/>
      <c r="AC22" s="17"/>
      <c r="AD22" s="17"/>
      <c r="AE22" s="17"/>
      <c r="AF22" s="290">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EURFUT3MZ5ConvAdj_Quote#0000</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EURFUT3MH6_Quote#0000</v>
      </c>
      <c r="G23" s="105" t="str">
        <f>_xll.ohRangeRetrieveError(F23)</f>
        <v/>
      </c>
      <c r="H23" s="141"/>
      <c r="J23" s="323"/>
      <c r="K23" s="329">
        <v>17</v>
      </c>
      <c r="L23" s="328" t="b">
        <v>1</v>
      </c>
      <c r="M23" s="259" t="str">
        <v>H6</v>
      </c>
      <c r="N23" s="327">
        <v>42445</v>
      </c>
      <c r="O23" s="259" t="str">
        <v>FEIH6</v>
      </c>
      <c r="P23" s="326">
        <v>42261</v>
      </c>
      <c r="Q23" s="259">
        <v>99.18</v>
      </c>
      <c r="R23" s="259">
        <v>99.185000000000002</v>
      </c>
      <c r="S23" s="259">
        <v>99.185000000000002</v>
      </c>
      <c r="T23" s="259">
        <v>99.245000000000005</v>
      </c>
      <c r="U23" s="262">
        <f>_xll.qlMidSafe($Q23,$R23)</f>
        <v>99.182500000000005</v>
      </c>
      <c r="V23" s="253"/>
      <c r="W23" s="325">
        <v>99.292500000000004</v>
      </c>
      <c r="X23" s="253"/>
      <c r="Y23" s="324">
        <v>99.292500000000004</v>
      </c>
      <c r="Z23" s="262" t="e">
        <f>_xll.qlSimpleQuoteSetValue(F23,Y23,Trigger)</f>
        <v>#N/A</v>
      </c>
      <c r="AA23" s="49"/>
      <c r="AB23" s="17"/>
      <c r="AC23" s="17"/>
      <c r="AD23" s="17"/>
      <c r="AE23" s="17"/>
      <c r="AF23" s="290">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EURFUT3MH6ConvAdj_Quote#0000</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EURFUT3MM6_Quote#0000</v>
      </c>
      <c r="G24" s="105" t="str">
        <f>_xll.ohRangeRetrieveError(F24)</f>
        <v/>
      </c>
      <c r="H24" s="141"/>
      <c r="J24" s="323"/>
      <c r="K24" s="329">
        <v>18</v>
      </c>
      <c r="L24" s="328" t="b">
        <v>1</v>
      </c>
      <c r="M24" s="259" t="str">
        <v>M6</v>
      </c>
      <c r="N24" s="327">
        <v>42536</v>
      </c>
      <c r="O24" s="259" t="str">
        <v>FEIM6</v>
      </c>
      <c r="P24" s="326">
        <v>42352</v>
      </c>
      <c r="Q24" s="259">
        <v>99.07</v>
      </c>
      <c r="R24" s="259">
        <v>99.08</v>
      </c>
      <c r="S24" s="259">
        <v>99.075000000000003</v>
      </c>
      <c r="T24" s="259">
        <v>99.15</v>
      </c>
      <c r="U24" s="262">
        <f>_xll.qlMidSafe($Q24,$R24)</f>
        <v>99.074999999999989</v>
      </c>
      <c r="V24" s="253"/>
      <c r="W24" s="325">
        <v>99.16</v>
      </c>
      <c r="X24" s="253"/>
      <c r="Y24" s="324">
        <v>99.16</v>
      </c>
      <c r="Z24" s="262" t="e">
        <f>_xll.qlSimpleQuoteSetValue(F24,Y24,Trigger)</f>
        <v>#N/A</v>
      </c>
      <c r="AA24" s="49"/>
      <c r="AB24" s="17"/>
      <c r="AC24" s="17"/>
      <c r="AD24" s="17"/>
      <c r="AE24" s="17"/>
      <c r="AF24" s="290">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EURFUT3MM6ConvAdj_Quote#0000</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EURFUT3MU6_Quote#0000</v>
      </c>
      <c r="G25" s="105" t="str">
        <f>_xll.ohRangeRetrieveError(F25)</f>
        <v/>
      </c>
      <c r="H25" s="141"/>
      <c r="J25" s="323"/>
      <c r="K25" s="329">
        <v>19</v>
      </c>
      <c r="L25" s="328" t="b">
        <v>1</v>
      </c>
      <c r="M25" s="259" t="str">
        <v>U6</v>
      </c>
      <c r="N25" s="327">
        <v>42634</v>
      </c>
      <c r="O25" s="259" t="str">
        <v>FEIU6</v>
      </c>
      <c r="P25" s="326">
        <v>42443</v>
      </c>
      <c r="Q25" s="259">
        <v>98.944999999999993</v>
      </c>
      <c r="R25" s="259">
        <v>98.954999999999998</v>
      </c>
      <c r="S25" s="259">
        <v>98.95</v>
      </c>
      <c r="T25" s="259">
        <v>99.034999999999997</v>
      </c>
      <c r="U25" s="262">
        <f>_xll.qlMidSafe($Q25,$R25)</f>
        <v>98.949999999999989</v>
      </c>
      <c r="V25" s="253"/>
      <c r="W25" s="325">
        <v>99.007499999999993</v>
      </c>
      <c r="X25" s="253"/>
      <c r="Y25" s="324">
        <v>99.007499999999993</v>
      </c>
      <c r="Z25" s="262" t="e">
        <f>_xll.qlSimpleQuoteSetValue(F25,Y25,Trigger)</f>
        <v>#N/A</v>
      </c>
      <c r="AA25" s="49"/>
      <c r="AB25" s="17"/>
      <c r="AC25" s="17"/>
      <c r="AD25" s="17"/>
      <c r="AE25" s="17"/>
      <c r="AF25" s="290">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EURFUT3MU6ConvAdj_Quote#0000</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EURFUT3MZ6_Quote#0000</v>
      </c>
      <c r="G26" s="105" t="str">
        <f>_xll.ohRangeRetrieveError(F26)</f>
        <v/>
      </c>
      <c r="H26" s="141"/>
      <c r="J26" s="323"/>
      <c r="K26" s="329">
        <v>20</v>
      </c>
      <c r="L26" s="328" t="b">
        <v>1</v>
      </c>
      <c r="M26" s="259" t="str">
        <v>Z6</v>
      </c>
      <c r="N26" s="327">
        <v>42725</v>
      </c>
      <c r="O26" s="259" t="str">
        <v>FEIZ6</v>
      </c>
      <c r="P26" s="326">
        <v>42534</v>
      </c>
      <c r="Q26" s="259">
        <v>98.8</v>
      </c>
      <c r="R26" s="259">
        <v>98.805000000000007</v>
      </c>
      <c r="S26" s="259">
        <v>98.81</v>
      </c>
      <c r="T26" s="259">
        <v>98.9</v>
      </c>
      <c r="U26" s="262">
        <f>_xll.qlMidSafe($Q26,$R26)</f>
        <v>98.802500000000009</v>
      </c>
      <c r="V26" s="253"/>
      <c r="W26" s="325">
        <v>98.844999999999999</v>
      </c>
      <c r="X26" s="253"/>
      <c r="Y26" s="324">
        <v>98.844999999999999</v>
      </c>
      <c r="Z26" s="262" t="e">
        <f>_xll.qlSimpleQuoteSetValue(F26,Y26,Trigger)</f>
        <v>#N/A</v>
      </c>
      <c r="AA26" s="49"/>
      <c r="AB26" s="17"/>
      <c r="AC26" s="17"/>
      <c r="AD26" s="17"/>
      <c r="AE26" s="17"/>
      <c r="AF26" s="290">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EURFUT3MZ6ConvAdj_Quote#0000</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EURFUT3MH7_Quote#0000</v>
      </c>
      <c r="G27" s="105" t="str">
        <f>_xll.ohRangeRetrieveError(F27)</f>
        <v/>
      </c>
      <c r="H27" s="141"/>
      <c r="J27" s="323"/>
      <c r="K27" s="329">
        <v>21</v>
      </c>
      <c r="L27" s="328" t="b">
        <v>1</v>
      </c>
      <c r="M27" s="259" t="str">
        <v>H7</v>
      </c>
      <c r="N27" s="327">
        <v>42809</v>
      </c>
      <c r="O27" s="259" t="str">
        <v>FEIH7</v>
      </c>
      <c r="P27" s="326">
        <v>42632</v>
      </c>
      <c r="Q27" s="259">
        <v>98.65</v>
      </c>
      <c r="R27" s="259">
        <v>98.66</v>
      </c>
      <c r="S27" s="259">
        <v>98.66</v>
      </c>
      <c r="T27" s="259">
        <v>98.765000000000001</v>
      </c>
      <c r="U27" s="262">
        <f>_xll.qlMidSafe($Q27,$R27)</f>
        <v>98.655000000000001</v>
      </c>
      <c r="V27" s="253"/>
      <c r="W27" s="325">
        <v>98.694999999999993</v>
      </c>
      <c r="X27" s="253"/>
      <c r="Y27" s="324">
        <v>98.694999999999993</v>
      </c>
      <c r="Z27" s="262" t="e">
        <f>_xll.qlSimpleQuoteSetValue(F27,Y27,Trigger)</f>
        <v>#N/A</v>
      </c>
      <c r="AA27" s="49"/>
      <c r="AB27" s="17"/>
      <c r="AC27" s="17"/>
      <c r="AD27" s="17"/>
      <c r="AE27" s="17"/>
      <c r="AF27" s="290">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EURFUT3MH7ConvAdj_Quote#0000</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EURFUT3MM7_Quote#0000</v>
      </c>
      <c r="G28" s="105" t="str">
        <f>_xll.ohRangeRetrieveError(F28)</f>
        <v/>
      </c>
      <c r="H28" s="141"/>
      <c r="J28" s="323"/>
      <c r="K28" s="329">
        <v>22</v>
      </c>
      <c r="L28" s="328" t="b">
        <v>1</v>
      </c>
      <c r="M28" s="259" t="str">
        <v>M7</v>
      </c>
      <c r="N28" s="327">
        <v>42907</v>
      </c>
      <c r="O28" s="259" t="str">
        <v>FEIM7</v>
      </c>
      <c r="P28" s="326">
        <v>42723</v>
      </c>
      <c r="Q28" s="259">
        <v>98.51</v>
      </c>
      <c r="R28" s="259">
        <v>98.52</v>
      </c>
      <c r="S28" s="259">
        <v>98.525000000000006</v>
      </c>
      <c r="T28" s="259">
        <v>98.63</v>
      </c>
      <c r="U28" s="262">
        <f>_xll.qlMidSafe($Q28,$R28)</f>
        <v>98.515000000000001</v>
      </c>
      <c r="V28" s="253"/>
      <c r="W28" s="325">
        <v>98.54</v>
      </c>
      <c r="X28" s="253"/>
      <c r="Y28" s="324">
        <v>98.54</v>
      </c>
      <c r="Z28" s="262" t="e">
        <f>_xll.qlSimpleQuoteSetValue(F28,Y28,Trigger)</f>
        <v>#N/A</v>
      </c>
      <c r="AA28" s="49"/>
      <c r="AB28" s="17"/>
      <c r="AC28" s="17"/>
      <c r="AD28" s="17"/>
      <c r="AE28" s="17"/>
      <c r="AF28" s="290">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EURFUT3MM7ConvAdj_Quote#0000</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EURFUT3MU7_Quote#0000</v>
      </c>
      <c r="G29" s="105" t="str">
        <f>_xll.ohRangeRetrieveError(F29)</f>
        <v/>
      </c>
      <c r="H29" s="141"/>
      <c r="J29" s="323"/>
      <c r="K29" s="329">
        <v>23</v>
      </c>
      <c r="L29" s="328" t="b">
        <v>1</v>
      </c>
      <c r="M29" s="259" t="str">
        <v>U7</v>
      </c>
      <c r="N29" s="327">
        <v>42998</v>
      </c>
      <c r="O29" s="259" t="str">
        <v>FEIU7</v>
      </c>
      <c r="P29" s="326">
        <v>42807</v>
      </c>
      <c r="Q29" s="259">
        <v>98.375</v>
      </c>
      <c r="R29" s="259">
        <v>98.385000000000005</v>
      </c>
      <c r="S29" s="259">
        <v>98.385000000000005</v>
      </c>
      <c r="T29" s="259">
        <v>98.5</v>
      </c>
      <c r="U29" s="262">
        <f>_xll.qlMidSafe($Q29,$R29)</f>
        <v>98.38</v>
      </c>
      <c r="V29" s="253"/>
      <c r="W29" s="325">
        <v>98.394999999999996</v>
      </c>
      <c r="X29" s="253"/>
      <c r="Y29" s="324">
        <v>98.394999999999996</v>
      </c>
      <c r="Z29" s="262" t="e">
        <f>_xll.qlSimpleQuoteSetValue(F29,Y29,Trigger)</f>
        <v>#N/A</v>
      </c>
      <c r="AA29" s="49"/>
      <c r="AB29" s="17"/>
      <c r="AC29" s="17"/>
      <c r="AD29" s="17"/>
      <c r="AE29" s="17"/>
      <c r="AF29" s="290">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EURFUT3MU7ConvAdj_Quote#0000</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EURFUT3MZ7_Quote#0000</v>
      </c>
      <c r="G30" s="105" t="str">
        <f>_xll.ohRangeRetrieveError(F30)</f>
        <v/>
      </c>
      <c r="H30" s="141"/>
      <c r="J30" s="323"/>
      <c r="K30" s="329">
        <v>24</v>
      </c>
      <c r="L30" s="328" t="b">
        <v>1</v>
      </c>
      <c r="M30" s="259" t="str">
        <v>Z7</v>
      </c>
      <c r="N30" s="327">
        <v>43089</v>
      </c>
      <c r="O30" s="259" t="str">
        <v>FEIZ7</v>
      </c>
      <c r="P30" s="326">
        <v>42905</v>
      </c>
      <c r="Q30" s="259">
        <v>98.24</v>
      </c>
      <c r="R30" s="259">
        <v>98.25</v>
      </c>
      <c r="S30" s="259">
        <v>98.254999999999995</v>
      </c>
      <c r="T30" s="259">
        <v>98.37</v>
      </c>
      <c r="U30" s="262">
        <f>_xll.qlMidSafe($Q30,$R30)</f>
        <v>98.245000000000005</v>
      </c>
      <c r="V30" s="253"/>
      <c r="W30" s="325">
        <v>98.257499999999993</v>
      </c>
      <c r="X30" s="253"/>
      <c r="Y30" s="324">
        <v>98.257499999999993</v>
      </c>
      <c r="Z30" s="262" t="e">
        <f>_xll.qlSimpleQuoteSetValue(F30,Y30,Trigger)</f>
        <v>#N/A</v>
      </c>
      <c r="AA30" s="49"/>
      <c r="AB30" s="17"/>
      <c r="AC30" s="17"/>
      <c r="AD30" s="17"/>
      <c r="AE30" s="17"/>
      <c r="AF30" s="290">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EURFUT3MZ7ConvAdj_Quote#0000</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EURFUT3MH8_Quote#0000</v>
      </c>
      <c r="G31" s="105" t="str">
        <f>_xll.ohRangeRetrieveError(F31)</f>
        <v/>
      </c>
      <c r="H31" s="141"/>
      <c r="J31" s="323"/>
      <c r="K31" s="329">
        <v>25</v>
      </c>
      <c r="L31" s="328" t="b">
        <v>1</v>
      </c>
      <c r="M31" s="259" t="str">
        <v>H8</v>
      </c>
      <c r="N31" s="327">
        <v>43180</v>
      </c>
      <c r="O31" s="259" t="str">
        <v>FEIH8</v>
      </c>
      <c r="P31" s="326">
        <v>42996</v>
      </c>
      <c r="Q31" s="259">
        <v>98.114999999999995</v>
      </c>
      <c r="R31" s="259">
        <v>98.13</v>
      </c>
      <c r="S31" s="259">
        <v>98.125</v>
      </c>
      <c r="T31" s="259">
        <v>98.245000000000005</v>
      </c>
      <c r="U31" s="262">
        <f>_xll.qlMidSafe($Q31,$R31)</f>
        <v>98.122500000000002</v>
      </c>
      <c r="V31" s="253"/>
      <c r="W31" s="325">
        <v>98.142499999999998</v>
      </c>
      <c r="X31" s="253"/>
      <c r="Y31" s="324">
        <v>98.142499999999998</v>
      </c>
      <c r="Z31" s="262" t="e">
        <f>_xll.qlSimpleQuoteSetValue(F31,Y31,Trigger)</f>
        <v>#N/A</v>
      </c>
      <c r="AA31" s="49"/>
      <c r="AB31" s="17"/>
      <c r="AC31" s="17"/>
      <c r="AD31" s="17"/>
      <c r="AE31" s="17"/>
      <c r="AF31" s="290">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EURFUT3MH8ConvAdj_Quote#0000</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EURFUT3MM8_Quote#0000</v>
      </c>
      <c r="G32" s="105" t="str">
        <f>_xll.ohRangeRetrieveError(F32)</f>
        <v/>
      </c>
      <c r="H32" s="141"/>
      <c r="J32" s="323"/>
      <c r="K32" s="329">
        <v>26</v>
      </c>
      <c r="L32" s="328" t="b">
        <v>1</v>
      </c>
      <c r="M32" s="259" t="str">
        <v>M8</v>
      </c>
      <c r="N32" s="327">
        <v>43271</v>
      </c>
      <c r="O32" s="259" t="str">
        <v>FEIM8</v>
      </c>
      <c r="P32" s="326">
        <v>43087</v>
      </c>
      <c r="Q32" s="259">
        <v>97.995000000000005</v>
      </c>
      <c r="R32" s="259">
        <v>98.015000000000001</v>
      </c>
      <c r="S32" s="259">
        <v>98.045000000000002</v>
      </c>
      <c r="T32" s="259">
        <v>98.135000000000005</v>
      </c>
      <c r="U32" s="262">
        <f>_xll.qlMidSafe($Q32,$R32)</f>
        <v>98.004999999999995</v>
      </c>
      <c r="V32" s="253"/>
      <c r="W32" s="325">
        <v>98.025000000000006</v>
      </c>
      <c r="X32" s="253"/>
      <c r="Y32" s="324">
        <v>98.025000000000006</v>
      </c>
      <c r="Z32" s="262" t="e">
        <f>_xll.qlSimpleQuoteSetValue(F32,Y32,Trigger)</f>
        <v>#N/A</v>
      </c>
      <c r="AA32" s="49"/>
      <c r="AB32" s="17"/>
      <c r="AC32" s="17"/>
      <c r="AD32" s="17"/>
      <c r="AE32" s="17"/>
      <c r="AF32" s="290">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EURFUT3MM8ConvAdj_Quote#0000</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EURFUT3MU8_Quote#0000</v>
      </c>
      <c r="G33" s="105" t="str">
        <f>_xll.ohRangeRetrieveError(F33)</f>
        <v/>
      </c>
      <c r="H33" s="141"/>
      <c r="J33" s="323"/>
      <c r="K33" s="329">
        <v>27</v>
      </c>
      <c r="L33" s="328" t="b">
        <v>1</v>
      </c>
      <c r="M33" s="259" t="str">
        <v>U8</v>
      </c>
      <c r="N33" s="327">
        <v>43362</v>
      </c>
      <c r="O33" s="259" t="str">
        <v>FEIU8</v>
      </c>
      <c r="P33" s="326">
        <v>43178</v>
      </c>
      <c r="Q33" s="259">
        <v>97.91</v>
      </c>
      <c r="R33" s="259">
        <v>97.924999999999997</v>
      </c>
      <c r="S33" s="259">
        <v>97.96</v>
      </c>
      <c r="T33" s="259">
        <v>98.045000000000002</v>
      </c>
      <c r="U33" s="262">
        <f>_xll.qlMidSafe($Q33,$R33)</f>
        <v>97.91749999999999</v>
      </c>
      <c r="V33" s="253"/>
      <c r="W33" s="325">
        <v>97.915000000000006</v>
      </c>
      <c r="X33" s="253"/>
      <c r="Y33" s="324">
        <v>97.915000000000006</v>
      </c>
      <c r="Z33" s="262" t="e">
        <f>_xll.qlSimpleQuoteSetValue(F33,Y33,Trigger)</f>
        <v>#N/A</v>
      </c>
      <c r="AA33" s="49"/>
      <c r="AB33" s="17"/>
      <c r="AC33" s="17"/>
      <c r="AD33" s="17"/>
      <c r="AE33" s="17"/>
      <c r="AF33" s="290">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EURFUT3MU8ConvAdj_Quote#0000</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EURFUT3MZ8_Quote#0000</v>
      </c>
      <c r="G34" s="105" t="str">
        <f>_xll.ohRangeRetrieveError(F34)</f>
        <v/>
      </c>
      <c r="H34" s="141"/>
      <c r="J34" s="323"/>
      <c r="K34" s="329">
        <v>28</v>
      </c>
      <c r="L34" s="328" t="b">
        <v>1</v>
      </c>
      <c r="M34" s="259" t="str">
        <v>Z8</v>
      </c>
      <c r="N34" s="327">
        <v>43453</v>
      </c>
      <c r="O34" s="259" t="str">
        <v>FEIZ8</v>
      </c>
      <c r="P34" s="326">
        <v>43269</v>
      </c>
      <c r="Q34" s="259">
        <v>97.825000000000003</v>
      </c>
      <c r="R34" s="259">
        <v>97.84</v>
      </c>
      <c r="S34" s="259">
        <v>97.825000000000003</v>
      </c>
      <c r="T34" s="259">
        <v>97.954999999999998</v>
      </c>
      <c r="U34" s="262">
        <f>_xll.qlMidSafe($Q34,$R34)</f>
        <v>97.83250000000001</v>
      </c>
      <c r="V34" s="253"/>
      <c r="W34" s="325">
        <v>97.787499999999994</v>
      </c>
      <c r="X34" s="253"/>
      <c r="Y34" s="324">
        <v>97.787499999999994</v>
      </c>
      <c r="Z34" s="262" t="e">
        <f>_xll.qlSimpleQuoteSetValue(F34,Y34,Trigger)</f>
        <v>#N/A</v>
      </c>
      <c r="AA34" s="49"/>
      <c r="AB34" s="17"/>
      <c r="AC34" s="17"/>
      <c r="AD34" s="17"/>
      <c r="AE34" s="17"/>
      <c r="AF34" s="290">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EURFUT3MZ8ConvAdj_Quote#0000</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EURFUT3MH9_Quote#0000</v>
      </c>
      <c r="G35" s="105" t="str">
        <f>_xll.ohRangeRetrieveError(F35)</f>
        <v/>
      </c>
      <c r="H35" s="141"/>
      <c r="J35" s="323"/>
      <c r="K35" s="329">
        <v>29</v>
      </c>
      <c r="L35" s="328" t="b">
        <v>1</v>
      </c>
      <c r="M35" s="259" t="str">
        <v>H9</v>
      </c>
      <c r="N35" s="327">
        <v>43544</v>
      </c>
      <c r="O35" s="259" t="str">
        <v>FEIH9</v>
      </c>
      <c r="P35" s="326">
        <v>43360</v>
      </c>
      <c r="Q35" s="259">
        <v>97.734999999999999</v>
      </c>
      <c r="R35" s="259">
        <v>97.78</v>
      </c>
      <c r="S35" s="259">
        <v>97.81</v>
      </c>
      <c r="T35" s="259">
        <v>97.875</v>
      </c>
      <c r="U35" s="262">
        <f>_xll.qlMidSafe($Q35,$R35)</f>
        <v>97.757499999999993</v>
      </c>
      <c r="V35" s="253"/>
      <c r="W35" s="325">
        <v>97.685000000000002</v>
      </c>
      <c r="X35" s="253"/>
      <c r="Y35" s="324">
        <v>97.685000000000002</v>
      </c>
      <c r="Z35" s="262" t="e">
        <f>_xll.qlSimpleQuoteSetValue(F35,Y35,Trigger)</f>
        <v>#N/A</v>
      </c>
      <c r="AA35" s="49"/>
      <c r="AB35" s="17"/>
      <c r="AC35" s="17"/>
      <c r="AD35" s="17"/>
      <c r="AE35" s="17"/>
      <c r="AF35" s="290">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EURFUT3MH9ConvAdj_Quote#0000</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EURFUT3MM9_Quote#0000</v>
      </c>
      <c r="G36" s="105" t="str">
        <f>_xll.ohRangeRetrieveError(F36)</f>
        <v/>
      </c>
      <c r="H36" s="141"/>
      <c r="J36" s="323"/>
      <c r="K36" s="329">
        <v>30</v>
      </c>
      <c r="L36" s="328" t="b">
        <v>1</v>
      </c>
      <c r="M36" s="259" t="str">
        <v>M9</v>
      </c>
      <c r="N36" s="327">
        <v>43635</v>
      </c>
      <c r="O36" s="259" t="str">
        <v>FEIM9</v>
      </c>
      <c r="P36" s="326">
        <v>43451</v>
      </c>
      <c r="Q36" s="259">
        <v>97.65</v>
      </c>
      <c r="R36" s="259">
        <v>97.69</v>
      </c>
      <c r="S36" s="259">
        <v>0</v>
      </c>
      <c r="T36" s="259">
        <v>97.795000000000002</v>
      </c>
      <c r="U36" s="262">
        <f>_xll.qlMidSafe($Q36,$R36)</f>
        <v>97.67</v>
      </c>
      <c r="V36" s="253"/>
      <c r="W36" s="325">
        <v>97.58</v>
      </c>
      <c r="X36" s="253"/>
      <c r="Y36" s="324">
        <v>97.58</v>
      </c>
      <c r="Z36" s="262" t="e">
        <f>_xll.qlSimpleQuoteSetValue(F36,Y36,Trigger)</f>
        <v>#N/A</v>
      </c>
      <c r="AA36" s="49"/>
      <c r="AB36" s="17"/>
      <c r="AC36" s="17"/>
      <c r="AD36" s="17"/>
      <c r="AE36" s="17"/>
      <c r="AF36" s="290">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EURFUT3MM9ConvAdj_Quote#0000</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EURFUT3MU9_Quote#0000</v>
      </c>
      <c r="G37" s="105" t="str">
        <f>_xll.ohRangeRetrieveError(F37)</f>
        <v/>
      </c>
      <c r="H37" s="141"/>
      <c r="J37" s="323"/>
      <c r="K37" s="329">
        <v>31</v>
      </c>
      <c r="L37" s="328" t="b">
        <v>1</v>
      </c>
      <c r="M37" s="259" t="str">
        <v>U9</v>
      </c>
      <c r="N37" s="327">
        <v>43726</v>
      </c>
      <c r="O37" s="259" t="str">
        <v>FEIU9</v>
      </c>
      <c r="P37" s="326">
        <v>43542</v>
      </c>
      <c r="Q37" s="259">
        <v>0</v>
      </c>
      <c r="R37" s="259">
        <v>0</v>
      </c>
      <c r="S37" s="259">
        <v>0</v>
      </c>
      <c r="T37" s="259">
        <v>97.715000000000003</v>
      </c>
      <c r="U37" s="262" t="e">
        <f>_xll.qlMidSafe($Q37,$R37)</f>
        <v>#NUM!</v>
      </c>
      <c r="V37" s="253"/>
      <c r="W37" s="325">
        <v>97.472499999999997</v>
      </c>
      <c r="X37" s="253"/>
      <c r="Y37" s="324">
        <v>97.472499999999997</v>
      </c>
      <c r="Z37" s="262" t="e">
        <f>_xll.qlSimpleQuoteSetValue(F37,Y37,Trigger)</f>
        <v>#N/A</v>
      </c>
      <c r="AA37" s="49"/>
      <c r="AB37" s="17"/>
      <c r="AC37" s="17"/>
      <c r="AD37" s="17"/>
      <c r="AE37" s="17"/>
      <c r="AF37" s="290"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EURFUT3MU9ConvAdj_Quote#0000</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EURFUT3MZ9_Quote#0000</v>
      </c>
      <c r="G38" s="105" t="str">
        <f>_xll.ohRangeRetrieveError(F38)</f>
        <v/>
      </c>
      <c r="H38" s="141"/>
      <c r="J38" s="323"/>
      <c r="K38" s="329">
        <v>32</v>
      </c>
      <c r="L38" s="328" t="b">
        <v>1</v>
      </c>
      <c r="M38" s="259" t="str">
        <v>Z9</v>
      </c>
      <c r="N38" s="327">
        <v>43817</v>
      </c>
      <c r="O38" s="259" t="str">
        <v>FEIZ9</v>
      </c>
      <c r="P38" s="326">
        <v>43633</v>
      </c>
      <c r="Q38" s="259">
        <v>0</v>
      </c>
      <c r="R38" s="259">
        <v>0</v>
      </c>
      <c r="S38" s="259">
        <v>0</v>
      </c>
      <c r="T38" s="259">
        <v>97.605000000000004</v>
      </c>
      <c r="U38" s="262" t="e">
        <f>_xll.qlMidSafe($Q38,$R38)</f>
        <v>#NUM!</v>
      </c>
      <c r="V38" s="253"/>
      <c r="W38" s="325">
        <v>97.39</v>
      </c>
      <c r="X38" s="253"/>
      <c r="Y38" s="324">
        <v>97.39</v>
      </c>
      <c r="Z38" s="262" t="e">
        <f>_xll.qlSimpleQuoteSetValue(F38,Y38,Trigger)</f>
        <v>#N/A</v>
      </c>
      <c r="AA38" s="49"/>
      <c r="AB38" s="17"/>
      <c r="AC38" s="17"/>
      <c r="AD38" s="17"/>
      <c r="AE38" s="17"/>
      <c r="AF38" s="290"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EURFUT3MZ9ConvAdj_Quote#0000</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EURFUT3MH0_Quote#0000</v>
      </c>
      <c r="G39" s="105" t="str">
        <f>_xll.ohRangeRetrieveError(F39)</f>
        <v/>
      </c>
      <c r="H39" s="141"/>
      <c r="J39" s="323"/>
      <c r="K39" s="329">
        <v>33</v>
      </c>
      <c r="L39" s="328" t="b">
        <v>1</v>
      </c>
      <c r="M39" s="259" t="str">
        <v>H0</v>
      </c>
      <c r="N39" s="327">
        <v>43908</v>
      </c>
      <c r="O39" s="259" t="str">
        <v>FEIH0</v>
      </c>
      <c r="P39" s="326" t="s">
        <v>244</v>
      </c>
      <c r="Q39" s="259" t="s">
        <v>244</v>
      </c>
      <c r="R39" s="259" t="s">
        <v>244</v>
      </c>
      <c r="S39" s="259" t="s">
        <v>244</v>
      </c>
      <c r="T39" s="259" t="s">
        <v>244</v>
      </c>
      <c r="U39" s="262" t="e">
        <f>_xll.qlMidSafe($Q39,$R39)</f>
        <v>#NUM!</v>
      </c>
      <c r="V39" s="253"/>
      <c r="W39" s="325" t="e">
        <v>#NUM!</v>
      </c>
      <c r="X39" s="253"/>
      <c r="Y39" s="324" t="e">
        <v>#NUM!</v>
      </c>
      <c r="Z39" s="262" t="e">
        <f>_xll.qlSimpleQuoteSetValue(F39,Y39,Trigger)</f>
        <v>#NUM!</v>
      </c>
      <c r="AA39" s="49"/>
      <c r="AB39" s="17"/>
      <c r="AC39" s="17"/>
      <c r="AD39" s="17"/>
      <c r="AE39" s="17"/>
      <c r="AF39" s="290"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EURFUT3MH0ConvAdj_Quote#0000</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EURFUT3MM0_Quote#0000</v>
      </c>
      <c r="G40" s="105" t="str">
        <f>_xll.ohRangeRetrieveError(F40)</f>
        <v/>
      </c>
      <c r="H40" s="141"/>
      <c r="J40" s="323"/>
      <c r="K40" s="329">
        <v>34</v>
      </c>
      <c r="L40" s="328" t="b">
        <v>1</v>
      </c>
      <c r="M40" s="259" t="str">
        <v>M0</v>
      </c>
      <c r="N40" s="327">
        <v>43999</v>
      </c>
      <c r="O40" s="259" t="str">
        <v>FEIM0</v>
      </c>
      <c r="P40" s="326" t="s">
        <v>244</v>
      </c>
      <c r="Q40" s="259" t="s">
        <v>244</v>
      </c>
      <c r="R40" s="259" t="s">
        <v>244</v>
      </c>
      <c r="S40" s="259" t="s">
        <v>244</v>
      </c>
      <c r="T40" s="259" t="s">
        <v>244</v>
      </c>
      <c r="U40" s="262" t="e">
        <f>_xll.qlMidSafe($Q40,$R40)</f>
        <v>#NUM!</v>
      </c>
      <c r="V40" s="253"/>
      <c r="W40" s="325" t="e">
        <v>#NUM!</v>
      </c>
      <c r="X40" s="253"/>
      <c r="Y40" s="324" t="e">
        <v>#NUM!</v>
      </c>
      <c r="Z40" s="262" t="e">
        <f>_xll.qlSimpleQuoteSetValue(F40,Y40,Trigger)</f>
        <v>#NUM!</v>
      </c>
      <c r="AA40" s="49"/>
      <c r="AB40" s="17"/>
      <c r="AC40" s="17"/>
      <c r="AD40" s="17"/>
      <c r="AE40" s="17"/>
      <c r="AF40" s="290"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EURFUT3MM0ConvAdj_Quote#0000</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EURFUT3MU0_Quote#0000</v>
      </c>
      <c r="G41" s="105" t="str">
        <f>_xll.ohRangeRetrieveError(F41)</f>
        <v/>
      </c>
      <c r="H41" s="141"/>
      <c r="J41" s="323"/>
      <c r="K41" s="329">
        <v>35</v>
      </c>
      <c r="L41" s="328" t="b">
        <v>1</v>
      </c>
      <c r="M41" s="259" t="str">
        <v>U0</v>
      </c>
      <c r="N41" s="327">
        <v>44090</v>
      </c>
      <c r="O41" s="259" t="str">
        <v>FEIU0</v>
      </c>
      <c r="P41" s="326" t="s">
        <v>244</v>
      </c>
      <c r="Q41" s="259" t="s">
        <v>244</v>
      </c>
      <c r="R41" s="259" t="s">
        <v>244</v>
      </c>
      <c r="S41" s="259" t="s">
        <v>244</v>
      </c>
      <c r="T41" s="259" t="s">
        <v>244</v>
      </c>
      <c r="U41" s="262" t="e">
        <f>_xll.qlMidSafe($Q41,$R41)</f>
        <v>#NUM!</v>
      </c>
      <c r="V41" s="253"/>
      <c r="W41" s="325" t="e">
        <v>#NUM!</v>
      </c>
      <c r="X41" s="253"/>
      <c r="Y41" s="324" t="e">
        <v>#NUM!</v>
      </c>
      <c r="Z41" s="262" t="e">
        <f>_xll.qlSimpleQuoteSetValue(F41,Y41,Trigger)</f>
        <v>#NUM!</v>
      </c>
      <c r="AA41" s="49"/>
      <c r="AB41" s="17"/>
      <c r="AC41" s="17"/>
      <c r="AD41" s="17"/>
      <c r="AE41" s="17"/>
      <c r="AF41" s="290"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EURFUT3MU0ConvAdj_Quote#0000</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EURFUT3MZ0_Quote#0000</v>
      </c>
      <c r="G42" s="105" t="str">
        <f>_xll.ohRangeRetrieveError(F42)</f>
        <v/>
      </c>
      <c r="H42" s="141"/>
      <c r="J42" s="323"/>
      <c r="K42" s="329">
        <v>36</v>
      </c>
      <c r="L42" s="328" t="b">
        <v>1</v>
      </c>
      <c r="M42" s="259" t="str">
        <v>Z0</v>
      </c>
      <c r="N42" s="327">
        <v>44181</v>
      </c>
      <c r="O42" s="259" t="str">
        <v>FEIZ0</v>
      </c>
      <c r="P42" s="326" t="s">
        <v>244</v>
      </c>
      <c r="Q42" s="259" t="s">
        <v>244</v>
      </c>
      <c r="R42" s="259" t="s">
        <v>244</v>
      </c>
      <c r="S42" s="259" t="s">
        <v>244</v>
      </c>
      <c r="T42" s="259" t="s">
        <v>244</v>
      </c>
      <c r="U42" s="262" t="e">
        <f>_xll.qlMidSafe($Q42,$R42)</f>
        <v>#NUM!</v>
      </c>
      <c r="V42" s="253"/>
      <c r="W42" s="325" t="e">
        <v>#NUM!</v>
      </c>
      <c r="X42" s="253"/>
      <c r="Y42" s="324" t="e">
        <v>#NUM!</v>
      </c>
      <c r="Z42" s="262" t="e">
        <f>_xll.qlSimpleQuoteSetValue(F42,Y42,Trigger)</f>
        <v>#NUM!</v>
      </c>
      <c r="AA42" s="49"/>
      <c r="AB42" s="17"/>
      <c r="AC42" s="17"/>
      <c r="AD42" s="17"/>
      <c r="AE42" s="17"/>
      <c r="AF42" s="290"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EURFUT3MZ0ConvAdj_Quote#0000</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EURFUT3MH1_Quote#0000</v>
      </c>
      <c r="G43" s="105" t="str">
        <f>_xll.ohRangeRetrieveError(F43)</f>
        <v/>
      </c>
      <c r="H43" s="141"/>
      <c r="J43" s="323"/>
      <c r="K43" s="329">
        <v>37</v>
      </c>
      <c r="L43" s="328" t="b">
        <v>1</v>
      </c>
      <c r="M43" s="259" t="str">
        <v>H1</v>
      </c>
      <c r="N43" s="327">
        <v>44272</v>
      </c>
      <c r="O43" s="259" t="str">
        <v>FEIH1</v>
      </c>
      <c r="P43" s="326" t="s">
        <v>244</v>
      </c>
      <c r="Q43" s="259" t="s">
        <v>244</v>
      </c>
      <c r="R43" s="259" t="s">
        <v>244</v>
      </c>
      <c r="S43" s="259" t="s">
        <v>244</v>
      </c>
      <c r="T43" s="259" t="s">
        <v>244</v>
      </c>
      <c r="U43" s="262" t="e">
        <f>_xll.qlMidSafe($Q43,$R43)</f>
        <v>#NUM!</v>
      </c>
      <c r="V43" s="253"/>
      <c r="W43" s="325" t="e">
        <v>#NUM!</v>
      </c>
      <c r="X43" s="253"/>
      <c r="Y43" s="324" t="e">
        <v>#NUM!</v>
      </c>
      <c r="Z43" s="262" t="e">
        <f>_xll.qlSimpleQuoteSetValue(F43,Y43,Trigger)</f>
        <v>#NUM!</v>
      </c>
      <c r="AA43" s="49"/>
      <c r="AB43" s="17"/>
      <c r="AC43" s="17"/>
      <c r="AD43" s="17"/>
      <c r="AE43" s="17"/>
      <c r="AF43" s="290"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EURFUT3MH1ConvAdj_Quote#0000</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EURFUT3MM1_Quote#0000</v>
      </c>
      <c r="G44" s="105" t="str">
        <f>_xll.ohRangeRetrieveError(F44)</f>
        <v/>
      </c>
      <c r="H44" s="141"/>
      <c r="J44" s="323"/>
      <c r="K44" s="329">
        <v>38</v>
      </c>
      <c r="L44" s="328" t="b">
        <v>1</v>
      </c>
      <c r="M44" s="259" t="str">
        <v>M1</v>
      </c>
      <c r="N44" s="327">
        <v>44363</v>
      </c>
      <c r="O44" s="259" t="str">
        <v>FEIM1</v>
      </c>
      <c r="P44" s="326" t="s">
        <v>244</v>
      </c>
      <c r="Q44" s="259" t="s">
        <v>244</v>
      </c>
      <c r="R44" s="259" t="s">
        <v>244</v>
      </c>
      <c r="S44" s="259" t="s">
        <v>244</v>
      </c>
      <c r="T44" s="259" t="s">
        <v>244</v>
      </c>
      <c r="U44" s="262" t="e">
        <f>_xll.qlMidSafe($Q44,$R44)</f>
        <v>#NUM!</v>
      </c>
      <c r="V44" s="253"/>
      <c r="W44" s="325" t="e">
        <v>#NUM!</v>
      </c>
      <c r="X44" s="253"/>
      <c r="Y44" s="324" t="e">
        <v>#NUM!</v>
      </c>
      <c r="Z44" s="262" t="e">
        <f>_xll.qlSimpleQuoteSetValue(F44,Y44,Trigger)</f>
        <v>#NUM!</v>
      </c>
      <c r="AA44" s="49"/>
      <c r="AB44" s="17"/>
      <c r="AC44" s="17"/>
      <c r="AD44" s="17"/>
      <c r="AE44" s="17"/>
      <c r="AF44" s="290"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EURFUT3MM1ConvAdj_Quote#0000</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EURFUT3MU1_Quote#0000</v>
      </c>
      <c r="G45" s="105" t="str">
        <f>_xll.ohRangeRetrieveError(F45)</f>
        <v/>
      </c>
      <c r="H45" s="141"/>
      <c r="J45" s="323"/>
      <c r="K45" s="329">
        <v>39</v>
      </c>
      <c r="L45" s="328" t="b">
        <v>1</v>
      </c>
      <c r="M45" s="259" t="str">
        <v>U1</v>
      </c>
      <c r="N45" s="327">
        <v>44454</v>
      </c>
      <c r="O45" s="259" t="str">
        <v>FEIU1</v>
      </c>
      <c r="P45" s="326" t="s">
        <v>244</v>
      </c>
      <c r="Q45" s="259" t="s">
        <v>244</v>
      </c>
      <c r="R45" s="259" t="s">
        <v>244</v>
      </c>
      <c r="S45" s="259" t="s">
        <v>244</v>
      </c>
      <c r="T45" s="259" t="s">
        <v>244</v>
      </c>
      <c r="U45" s="262" t="e">
        <f>_xll.qlMidSafe($Q45,$R45)</f>
        <v>#NUM!</v>
      </c>
      <c r="V45" s="253"/>
      <c r="W45" s="325" t="e">
        <v>#NUM!</v>
      </c>
      <c r="X45" s="253"/>
      <c r="Y45" s="324" t="e">
        <v>#NUM!</v>
      </c>
      <c r="Z45" s="262" t="e">
        <f>_xll.qlSimpleQuoteSetValue(F45,Y45,Trigger)</f>
        <v>#NUM!</v>
      </c>
      <c r="AA45" s="49"/>
      <c r="AB45" s="17"/>
      <c r="AC45" s="17"/>
      <c r="AD45" s="17"/>
      <c r="AE45" s="17"/>
      <c r="AF45" s="290"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EURFUT3MU1ConvAdj_Quote#0000</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EURFUT3MZ1_Quote#0000</v>
      </c>
      <c r="G46" s="105" t="str">
        <f>_xll.ohRangeRetrieveError(F46)</f>
        <v/>
      </c>
      <c r="H46" s="141"/>
      <c r="J46" s="323"/>
      <c r="K46" s="329">
        <v>40</v>
      </c>
      <c r="L46" s="328" t="b">
        <v>1</v>
      </c>
      <c r="M46" s="259" t="str">
        <v>Z1</v>
      </c>
      <c r="N46" s="327">
        <v>44545</v>
      </c>
      <c r="O46" s="259" t="str">
        <v>FEIZ1</v>
      </c>
      <c r="P46" s="326" t="s">
        <v>244</v>
      </c>
      <c r="Q46" s="259" t="s">
        <v>244</v>
      </c>
      <c r="R46" s="259" t="s">
        <v>244</v>
      </c>
      <c r="S46" s="259" t="s">
        <v>244</v>
      </c>
      <c r="T46" s="259" t="s">
        <v>244</v>
      </c>
      <c r="U46" s="262" t="e">
        <f>_xll.qlMidSafe($Q46,$R46)</f>
        <v>#NUM!</v>
      </c>
      <c r="V46" s="253"/>
      <c r="W46" s="325" t="e">
        <v>#NUM!</v>
      </c>
      <c r="X46" s="253"/>
      <c r="Y46" s="324" t="e">
        <v>#NUM!</v>
      </c>
      <c r="Z46" s="262" t="e">
        <f>_xll.qlSimpleQuoteSetValue(F46,Y46,Trigger)</f>
        <v>#NUM!</v>
      </c>
      <c r="AA46" s="49"/>
      <c r="AB46" s="17"/>
      <c r="AC46" s="17"/>
      <c r="AD46" s="17"/>
      <c r="AE46" s="17"/>
      <c r="AF46" s="290"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EURFUT3MZ1ConvAdj_Quote#0000</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EURFUT3MH2_Quote#0000</v>
      </c>
      <c r="G47" s="105" t="str">
        <f>_xll.ohRangeRetrieveError(F47)</f>
        <v/>
      </c>
      <c r="H47" s="141"/>
      <c r="J47" s="323"/>
      <c r="K47" s="329">
        <v>41</v>
      </c>
      <c r="L47" s="328" t="b">
        <v>1</v>
      </c>
      <c r="M47" s="259" t="str">
        <v>H2</v>
      </c>
      <c r="N47" s="327">
        <v>44636</v>
      </c>
      <c r="O47" s="259" t="str">
        <v>FEIH2</v>
      </c>
      <c r="P47" s="326" t="s">
        <v>244</v>
      </c>
      <c r="Q47" s="259" t="s">
        <v>244</v>
      </c>
      <c r="R47" s="259" t="s">
        <v>244</v>
      </c>
      <c r="S47" s="259" t="s">
        <v>244</v>
      </c>
      <c r="T47" s="259" t="s">
        <v>244</v>
      </c>
      <c r="U47" s="262" t="e">
        <f>_xll.qlMidSafe($Q47,$R47)</f>
        <v>#NUM!</v>
      </c>
      <c r="V47" s="253"/>
      <c r="W47" s="325" t="e">
        <v>#NUM!</v>
      </c>
      <c r="X47" s="253"/>
      <c r="Y47" s="324" t="e">
        <v>#NUM!</v>
      </c>
      <c r="Z47" s="262" t="e">
        <f>_xll.qlSimpleQuoteSetValue(F47,Y47,Trigger)</f>
        <v>#NUM!</v>
      </c>
      <c r="AA47" s="49"/>
      <c r="AB47" s="17"/>
      <c r="AC47" s="17"/>
      <c r="AD47" s="17"/>
      <c r="AE47" s="17"/>
      <c r="AF47" s="290"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EURFUT3MH2ConvAdj_Quote#0000</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EURFUT3MM2_Quote#0000</v>
      </c>
      <c r="G48" s="105" t="str">
        <f>_xll.ohRangeRetrieveError(F48)</f>
        <v/>
      </c>
      <c r="H48" s="141"/>
      <c r="J48" s="323"/>
      <c r="K48" s="322">
        <v>42</v>
      </c>
      <c r="L48" s="321" t="b">
        <v>1</v>
      </c>
      <c r="M48" s="251" t="str">
        <v>M2</v>
      </c>
      <c r="N48" s="320">
        <v>44727</v>
      </c>
      <c r="O48" s="251" t="str">
        <v>FEIM2</v>
      </c>
      <c r="P48" s="319" t="s">
        <v>244</v>
      </c>
      <c r="Q48" s="251" t="s">
        <v>244</v>
      </c>
      <c r="R48" s="251" t="s">
        <v>244</v>
      </c>
      <c r="S48" s="251" t="s">
        <v>244</v>
      </c>
      <c r="T48" s="251" t="s">
        <v>244</v>
      </c>
      <c r="U48" s="255" t="e">
        <f>_xll.qlMidSafe($Q48,$R48)</f>
        <v>#NUM!</v>
      </c>
      <c r="V48" s="253"/>
      <c r="W48" s="318" t="e">
        <v>#NUM!</v>
      </c>
      <c r="X48" s="253"/>
      <c r="Y48" s="317" t="e">
        <v>#NUM!</v>
      </c>
      <c r="Z48" s="255" t="e">
        <f>_xll.qlSimpleQuoteSetValue(F48,Y48,Trigger)</f>
        <v>#NUM!</v>
      </c>
      <c r="AA48" s="49"/>
      <c r="AB48" s="17"/>
      <c r="AC48" s="17"/>
      <c r="AD48" s="17"/>
      <c r="AE48" s="17"/>
      <c r="AF48" s="290"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EURFUT3MM2ConvAdj_Quote#0000</v>
      </c>
      <c r="AO48" s="75" t="str">
        <f>_xll.ohRangeRetrieveError(AN48)</f>
        <v/>
      </c>
      <c r="AP48" s="49"/>
    </row>
    <row r="49" spans="1:42" ht="12" thickBot="1" x14ac:dyDescent="0.25">
      <c r="A49" s="140"/>
      <c r="B49" s="139"/>
      <c r="C49" s="139"/>
      <c r="D49" s="139"/>
      <c r="E49" s="139"/>
      <c r="F49" s="139"/>
      <c r="G49" s="139"/>
      <c r="H49" s="138"/>
      <c r="J49" s="316"/>
      <c r="K49" s="47"/>
      <c r="L49" s="47"/>
      <c r="M49" s="47"/>
      <c r="N49" s="47"/>
      <c r="O49" s="47"/>
      <c r="P49" s="47"/>
      <c r="Q49" s="47"/>
      <c r="R49" s="47"/>
      <c r="S49" s="47"/>
      <c r="T49" s="47"/>
      <c r="U49" s="47"/>
      <c r="V49" s="47"/>
      <c r="W49" s="47"/>
      <c r="X49" s="47"/>
      <c r="Y49" s="47"/>
      <c r="Z49" s="47"/>
      <c r="AA49" s="46"/>
      <c r="AB49" s="17"/>
      <c r="AC49" s="17"/>
      <c r="AD49" s="17"/>
      <c r="AE49" s="17"/>
      <c r="AF49" s="17"/>
      <c r="AH49" s="316"/>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C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19" width="9.140625" style="68"/>
    <col min="20" max="20" width="10" style="68" customWidth="1"/>
    <col min="21" max="21" width="9.140625" style="68"/>
    <col min="22" max="22" width="2.7109375" style="68" customWidth="1"/>
    <col min="23" max="23" width="9.140625" style="68"/>
    <col min="24" max="24" width="2.7109375" style="68" customWidth="1"/>
    <col min="25" max="26" width="9.140625" style="68"/>
    <col min="27" max="28" width="2.7109375" style="68" customWidth="1"/>
    <col min="29" max="16384" width="9.140625" style="68"/>
  </cols>
  <sheetData>
    <row r="1" spans="1:29" x14ac:dyDescent="0.2">
      <c r="J1" s="288" t="s">
        <v>293</v>
      </c>
      <c r="K1" s="199"/>
      <c r="L1" s="199"/>
      <c r="M1" s="199"/>
      <c r="N1" s="199"/>
      <c r="O1" s="199"/>
      <c r="P1" s="199"/>
      <c r="Q1" s="199"/>
      <c r="R1" s="199"/>
      <c r="S1" s="199"/>
      <c r="T1" s="199"/>
      <c r="U1" s="199"/>
      <c r="V1" s="340"/>
      <c r="W1" s="340"/>
      <c r="X1" s="199"/>
      <c r="Y1" s="199"/>
      <c r="Z1" s="199"/>
      <c r="AA1" s="339"/>
      <c r="AB1" s="17"/>
      <c r="AC1" s="17"/>
    </row>
    <row r="2" spans="1:29" x14ac:dyDescent="0.2">
      <c r="J2" s="287"/>
      <c r="K2" s="137"/>
      <c r="L2" s="286"/>
      <c r="M2" s="286"/>
      <c r="N2" s="17"/>
      <c r="O2" s="144" t="s">
        <v>222</v>
      </c>
      <c r="P2" s="137"/>
      <c r="Q2" s="137"/>
      <c r="R2" s="137"/>
      <c r="S2" s="137"/>
      <c r="T2" s="137"/>
      <c r="U2" s="137"/>
      <c r="V2" s="253"/>
      <c r="W2" s="253"/>
      <c r="X2" s="137"/>
      <c r="Y2" s="253"/>
      <c r="Z2" s="137"/>
      <c r="AA2" s="338"/>
      <c r="AB2" s="17"/>
      <c r="AC2" s="17"/>
    </row>
    <row r="3" spans="1:29" ht="12" thickBot="1" x14ac:dyDescent="0.25">
      <c r="J3" s="287"/>
      <c r="K3" s="137"/>
      <c r="L3" s="137"/>
      <c r="M3" s="137"/>
      <c r="N3" s="137"/>
      <c r="O3" s="137"/>
      <c r="P3" s="137"/>
      <c r="Q3" s="137"/>
      <c r="R3" s="137"/>
      <c r="S3" s="137"/>
      <c r="T3" s="137"/>
      <c r="U3" s="137"/>
      <c r="V3" s="253"/>
      <c r="W3" s="253"/>
      <c r="X3" s="137"/>
      <c r="Y3" s="137"/>
      <c r="Z3" s="137"/>
      <c r="AA3" s="338"/>
      <c r="AB3" s="17"/>
      <c r="AC3" s="17"/>
    </row>
    <row r="4" spans="1:29" x14ac:dyDescent="0.2">
      <c r="A4" s="157" t="s">
        <v>177</v>
      </c>
      <c r="B4" s="156"/>
      <c r="C4" s="156"/>
      <c r="D4" s="155" t="s">
        <v>176</v>
      </c>
      <c r="E4" s="155" t="s">
        <v>27</v>
      </c>
      <c r="F4" s="154"/>
      <c r="G4" s="154"/>
      <c r="H4" s="153"/>
      <c r="J4" s="287"/>
      <c r="K4" s="137"/>
      <c r="L4" s="137"/>
      <c r="M4" s="137"/>
      <c r="N4" s="348">
        <f>_xll.qlCalendarEndOfMonth("TARGET",_xll.qlCalendarAdvance("TARGET",_xll.qlSettingsEvaluationDate(Trigger),"2d"))</f>
        <v>41729</v>
      </c>
      <c r="O4" s="137"/>
      <c r="P4" s="137"/>
      <c r="Q4" s="137"/>
      <c r="R4" s="137"/>
      <c r="S4" s="137"/>
      <c r="T4" s="137"/>
      <c r="U4" s="137"/>
      <c r="V4" s="253"/>
      <c r="W4" s="253"/>
      <c r="X4" s="137"/>
      <c r="Y4" s="137"/>
      <c r="Z4" s="284">
        <f>_xll.ohTrigger(Z6:Z9)</f>
        <v>1</v>
      </c>
      <c r="AA4" s="338"/>
      <c r="AB4" s="17"/>
      <c r="AC4" s="17"/>
    </row>
    <row r="5" spans="1:29"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7"/>
      <c r="K5" s="346" t="s">
        <v>174</v>
      </c>
      <c r="L5" s="342" t="s">
        <v>173</v>
      </c>
      <c r="M5" s="342" t="s">
        <v>172</v>
      </c>
      <c r="N5" s="342" t="s">
        <v>249</v>
      </c>
      <c r="O5" s="345" t="e">
        <f ca="1">_xll.RData(O6:O9,P5:T5,,ReutersRtMode,,P6)</f>
        <v>#NAME?</v>
      </c>
      <c r="P5" s="342" t="s">
        <v>248</v>
      </c>
      <c r="Q5" s="342" t="s">
        <v>243</v>
      </c>
      <c r="R5" s="342" t="s">
        <v>212</v>
      </c>
      <c r="S5" s="342" t="s">
        <v>227</v>
      </c>
      <c r="T5" s="342" t="s">
        <v>242</v>
      </c>
      <c r="U5" s="344" t="s">
        <v>241</v>
      </c>
      <c r="V5" s="253"/>
      <c r="W5" s="343" t="s">
        <v>239</v>
      </c>
      <c r="X5" s="253"/>
      <c r="Y5" s="346" t="s">
        <v>237</v>
      </c>
      <c r="Z5" s="341" t="s">
        <v>236</v>
      </c>
      <c r="AA5" s="49"/>
      <c r="AB5" s="17"/>
      <c r="AC5" s="312" t="s">
        <v>240</v>
      </c>
    </row>
    <row r="6" spans="1:29" x14ac:dyDescent="0.2">
      <c r="A6" s="146"/>
      <c r="B6" s="151">
        <v>1</v>
      </c>
      <c r="C6" s="150" t="b">
        <v>0</v>
      </c>
      <c r="D6" s="149" t="str">
        <f t="array" ref="D6:D125">_xll.qlIMMNextCodes(_xll.qlSettingsEvaluationDate(Trigger)-1,$C6:$C125)</f>
        <v>H4</v>
      </c>
      <c r="E6" s="143" t="str">
        <f t="shared" ref="E6:E37" si="0">Currency&amp;$D$4&amp;$E$4&amp;$D6&amp;QuoteSuffix</f>
        <v>EURIMMFRA6MH4_Quote</v>
      </c>
      <c r="F6" s="148" t="str">
        <f>_xll.qlSimpleQuote(E6,,PriceTickValue,Permanent,Trigger,ObjectOverwrite)</f>
        <v>EURIMMFRA6MH4_Quote#0000</v>
      </c>
      <c r="G6" s="147" t="str">
        <f>_xll.ohRangeRetrieveError(F6)</f>
        <v/>
      </c>
      <c r="H6" s="141"/>
      <c r="J6" s="323"/>
      <c r="K6" s="336">
        <v>1</v>
      </c>
      <c r="L6" s="335" t="b">
        <v>0</v>
      </c>
      <c r="M6" s="271" t="str">
        <f t="array" ref="M6:M9">_xll.qlIMMcode(FuturesDates)</f>
        <v>J4</v>
      </c>
      <c r="N6" s="334">
        <f t="array" ref="N6:N9">_xll.qlIMMNextDates(N4,$L6:$L9)</f>
        <v>41745</v>
      </c>
      <c r="O6" s="271" t="str">
        <f t="array" ref="O6:O9">Currency&amp;"6F"&amp;K6:K9&amp;"="&amp;VLOOKUP(Contributor,ContributorTable,2,FALSE)</f>
        <v>EUR6F1=ICAP</v>
      </c>
      <c r="P6" s="333" t="s">
        <v>255</v>
      </c>
      <c r="Q6" s="271">
        <v>0.34300000000000003</v>
      </c>
      <c r="R6" s="271">
        <v>0.39300000000000002</v>
      </c>
      <c r="S6" s="271">
        <v>0</v>
      </c>
      <c r="T6" s="271">
        <v>0</v>
      </c>
      <c r="U6" s="274">
        <f>100-_xll.qlMidSafe($Q6,$R6)</f>
        <v>99.632000000000005</v>
      </c>
      <c r="V6" s="253"/>
      <c r="W6" s="332">
        <v>99.632000000000005</v>
      </c>
      <c r="X6" s="253"/>
      <c r="Y6" s="331">
        <f t="array" ref="Y6:Y9">QuoteStatic</f>
        <v>99.632000000000005</v>
      </c>
      <c r="Z6" s="274" t="e">
        <f>_xll.qlSimpleQuoteSetValue(F6,Y6,Trigger)</f>
        <v>#N/A</v>
      </c>
      <c r="AA6" s="49"/>
      <c r="AB6" s="17"/>
      <c r="AC6" s="290">
        <f>(R6-Q6)/100</f>
        <v>4.999999999999999E-4</v>
      </c>
    </row>
    <row r="7" spans="1:29" x14ac:dyDescent="0.2">
      <c r="A7" s="146"/>
      <c r="B7" s="107">
        <v>2</v>
      </c>
      <c r="C7" s="145" t="b">
        <v>0</v>
      </c>
      <c r="D7" s="144" t="str">
        <v>J4</v>
      </c>
      <c r="E7" s="143" t="str">
        <f t="shared" si="0"/>
        <v>EURIMMFRA6MJ4_Quote</v>
      </c>
      <c r="F7" s="142" t="str">
        <f>_xll.qlSimpleQuote(E7,,PriceTickValue,Permanent,Trigger,ObjectOverwrite)</f>
        <v>EURIMMFRA6MJ4_Quote#0000</v>
      </c>
      <c r="G7" s="105" t="str">
        <f>_xll.ohRangeRetrieveError(F7)</f>
        <v/>
      </c>
      <c r="H7" s="141"/>
      <c r="J7" s="323"/>
      <c r="K7" s="329">
        <v>2</v>
      </c>
      <c r="L7" s="328" t="b">
        <v>0</v>
      </c>
      <c r="M7" s="259" t="str">
        <v>K4</v>
      </c>
      <c r="N7" s="327">
        <v>41780</v>
      </c>
      <c r="O7" s="259" t="str">
        <v>EUR6F2=ICAP</v>
      </c>
      <c r="P7" s="326" t="s">
        <v>255</v>
      </c>
      <c r="Q7" s="259">
        <v>0.36199999999999999</v>
      </c>
      <c r="R7" s="259">
        <v>0.41199999999999998</v>
      </c>
      <c r="S7" s="259">
        <v>0</v>
      </c>
      <c r="T7" s="259">
        <v>0</v>
      </c>
      <c r="U7" s="262">
        <f>100-_xll.qlMidSafe($Q7,$R7)</f>
        <v>99.613</v>
      </c>
      <c r="V7" s="253"/>
      <c r="W7" s="330">
        <v>99.613</v>
      </c>
      <c r="X7" s="253"/>
      <c r="Y7" s="324">
        <v>99.613</v>
      </c>
      <c r="Z7" s="262" t="e">
        <f>_xll.qlSimpleQuoteSetValue(F7,Y7,Trigger)</f>
        <v>#N/A</v>
      </c>
      <c r="AA7" s="49"/>
      <c r="AB7" s="17"/>
      <c r="AC7" s="290">
        <f>(R7-Q7)/100</f>
        <v>4.999999999999999E-4</v>
      </c>
    </row>
    <row r="8" spans="1:29" x14ac:dyDescent="0.2">
      <c r="A8" s="146"/>
      <c r="B8" s="107">
        <v>3</v>
      </c>
      <c r="C8" s="145" t="b">
        <v>0</v>
      </c>
      <c r="D8" s="144" t="str">
        <v>K4</v>
      </c>
      <c r="E8" s="143" t="str">
        <f t="shared" si="0"/>
        <v>EURIMMFRA6MK4_Quote</v>
      </c>
      <c r="F8" s="142" t="str">
        <f>_xll.qlSimpleQuote(E8,,PriceTickValue,Permanent,Trigger,ObjectOverwrite)</f>
        <v>EURIMMFRA6MK4_Quote#0000</v>
      </c>
      <c r="G8" s="105" t="str">
        <f>_xll.ohRangeRetrieveError(F8)</f>
        <v/>
      </c>
      <c r="H8" s="141"/>
      <c r="J8" s="323"/>
      <c r="K8" s="329">
        <v>3</v>
      </c>
      <c r="L8" s="328" t="b">
        <v>0</v>
      </c>
      <c r="M8" s="259" t="str">
        <v>M4</v>
      </c>
      <c r="N8" s="327">
        <v>41808</v>
      </c>
      <c r="O8" s="259" t="str">
        <v>EUR6F3=ICAP</v>
      </c>
      <c r="P8" s="326" t="s">
        <v>255</v>
      </c>
      <c r="Q8" s="259">
        <v>0.39300000000000002</v>
      </c>
      <c r="R8" s="259">
        <v>0.443</v>
      </c>
      <c r="S8" s="259">
        <v>0</v>
      </c>
      <c r="T8" s="259">
        <v>0</v>
      </c>
      <c r="U8" s="262">
        <f>100-_xll.qlMidSafe($Q8,$R8)</f>
        <v>99.581999999999994</v>
      </c>
      <c r="V8" s="253"/>
      <c r="W8" s="330">
        <v>99.581999999999994</v>
      </c>
      <c r="X8" s="253"/>
      <c r="Y8" s="324">
        <v>99.581999999999994</v>
      </c>
      <c r="Z8" s="262" t="e">
        <f>_xll.qlSimpleQuoteSetValue(F8,Y8,Trigger)</f>
        <v>#N/A</v>
      </c>
      <c r="AA8" s="49"/>
      <c r="AB8" s="17"/>
      <c r="AC8" s="290">
        <f>(R8-Q8)/100</f>
        <v>4.999999999999999E-4</v>
      </c>
    </row>
    <row r="9" spans="1:29" x14ac:dyDescent="0.2">
      <c r="A9" s="146"/>
      <c r="B9" s="107">
        <v>4</v>
      </c>
      <c r="C9" s="145" t="b">
        <v>0</v>
      </c>
      <c r="D9" s="144" t="str">
        <v>M4</v>
      </c>
      <c r="E9" s="143" t="str">
        <f t="shared" si="0"/>
        <v>EURIMMFRA6MM4_Quote</v>
      </c>
      <c r="F9" s="142" t="str">
        <f>_xll.qlSimpleQuote(E9,,PriceTickValue,Permanent,Trigger,ObjectOverwrite)</f>
        <v>EURIMMFRA6MM4_Quote#0000</v>
      </c>
      <c r="G9" s="105" t="str">
        <f>_xll.ohRangeRetrieveError(F9)</f>
        <v/>
      </c>
      <c r="H9" s="141"/>
      <c r="J9" s="323"/>
      <c r="K9" s="322">
        <v>4</v>
      </c>
      <c r="L9" s="321" t="b">
        <v>0</v>
      </c>
      <c r="M9" s="251" t="str">
        <v>N4</v>
      </c>
      <c r="N9" s="320">
        <v>41836</v>
      </c>
      <c r="O9" s="251" t="str">
        <v>EUR6F4=ICAP</v>
      </c>
      <c r="P9" s="319" t="s">
        <v>255</v>
      </c>
      <c r="Q9" s="251">
        <v>0.42099999999999999</v>
      </c>
      <c r="R9" s="251">
        <v>0.47099999999999997</v>
      </c>
      <c r="S9" s="251">
        <v>0</v>
      </c>
      <c r="T9" s="251">
        <v>0</v>
      </c>
      <c r="U9" s="255">
        <f>100-_xll.qlMidSafe($Q9,$R9)</f>
        <v>99.554000000000002</v>
      </c>
      <c r="V9" s="253"/>
      <c r="W9" s="347">
        <v>99.554000000000002</v>
      </c>
      <c r="X9" s="253"/>
      <c r="Y9" s="317">
        <v>99.554000000000002</v>
      </c>
      <c r="Z9" s="255" t="e">
        <f>_xll.qlSimpleQuoteSetValue(F9,Y9,Trigger)</f>
        <v>#N/A</v>
      </c>
      <c r="AA9" s="49"/>
      <c r="AB9" s="17"/>
      <c r="AC9" s="290">
        <f>(R9-Q9)/100</f>
        <v>4.999999999999999E-4</v>
      </c>
    </row>
    <row r="10" spans="1:29" ht="12" thickBot="1" x14ac:dyDescent="0.25">
      <c r="A10" s="146"/>
      <c r="B10" s="107">
        <v>5</v>
      </c>
      <c r="C10" s="145" t="b">
        <v>0</v>
      </c>
      <c r="D10" s="144" t="str">
        <v>N4</v>
      </c>
      <c r="E10" s="143" t="str">
        <f t="shared" si="0"/>
        <v>EURIMMFRA6MN4_Quote</v>
      </c>
      <c r="F10" s="142" t="str">
        <f>_xll.qlSimpleQuote(E10,,PriceTickValue,Permanent,Trigger,ObjectOverwrite)</f>
        <v>EURIMMFRA6MN4_Quote#0000</v>
      </c>
      <c r="G10" s="105" t="str">
        <f>_xll.ohRangeRetrieveError(F10)</f>
        <v/>
      </c>
      <c r="H10" s="141"/>
      <c r="J10" s="316"/>
      <c r="K10" s="47"/>
      <c r="L10" s="47"/>
      <c r="M10" s="47"/>
      <c r="N10" s="47"/>
      <c r="O10" s="47"/>
      <c r="P10" s="47"/>
      <c r="Q10" s="47"/>
      <c r="R10" s="47"/>
      <c r="S10" s="47"/>
      <c r="T10" s="47"/>
      <c r="U10" s="47"/>
      <c r="V10" s="47"/>
      <c r="W10" s="47"/>
      <c r="X10" s="47"/>
      <c r="Y10" s="47"/>
      <c r="Z10" s="47"/>
      <c r="AA10" s="46"/>
      <c r="AB10" s="17"/>
      <c r="AC10" s="17"/>
    </row>
    <row r="11" spans="1:29" x14ac:dyDescent="0.2">
      <c r="A11" s="146"/>
      <c r="B11" s="107">
        <v>6</v>
      </c>
      <c r="C11" s="145" t="b">
        <v>0</v>
      </c>
      <c r="D11" s="144" t="str">
        <v>Q4</v>
      </c>
      <c r="E11" s="143" t="str">
        <f t="shared" si="0"/>
        <v>EURIMMFRA6MQ4_Quote</v>
      </c>
      <c r="F11" s="142" t="str">
        <f>_xll.qlSimpleQuote(E11,,PriceTickValue,Permanent,Trigger,ObjectOverwrite)</f>
        <v>EURIMMFRA6MQ4_Quote#0000</v>
      </c>
      <c r="G11" s="105" t="str">
        <f>_xll.ohRangeRetrieveError(F11)</f>
        <v/>
      </c>
      <c r="H11" s="141"/>
    </row>
    <row r="12" spans="1:29" x14ac:dyDescent="0.2">
      <c r="A12" s="146"/>
      <c r="B12" s="107">
        <v>7</v>
      </c>
      <c r="C12" s="145" t="b">
        <v>0</v>
      </c>
      <c r="D12" s="144" t="str">
        <v>U4</v>
      </c>
      <c r="E12" s="143" t="str">
        <f t="shared" si="0"/>
        <v>EURIMMFRA6MU4_Quote</v>
      </c>
      <c r="F12" s="142" t="str">
        <f>_xll.qlSimpleQuote(E12,,PriceTickValue,Permanent,Trigger,ObjectOverwrite)</f>
        <v>EURIMMFRA6MU4_Quote#0000</v>
      </c>
      <c r="G12" s="105" t="str">
        <f>_xll.ohRangeRetrieveError(F12)</f>
        <v/>
      </c>
      <c r="H12" s="141"/>
    </row>
    <row r="13" spans="1:29" x14ac:dyDescent="0.2">
      <c r="A13" s="146"/>
      <c r="B13" s="107">
        <v>8</v>
      </c>
      <c r="C13" s="145" t="b">
        <v>0</v>
      </c>
      <c r="D13" s="144" t="str">
        <v>V4</v>
      </c>
      <c r="E13" s="143" t="str">
        <f t="shared" si="0"/>
        <v>EURIMMFRA6MV4_Quote</v>
      </c>
      <c r="F13" s="142" t="str">
        <f>_xll.qlSimpleQuote(E13,,PriceTickValue,Permanent,Trigger,ObjectOverwrite)</f>
        <v>EURIMMFRA6MV4_Quote#0000</v>
      </c>
      <c r="G13" s="105" t="str">
        <f>_xll.ohRangeRetrieveError(F13)</f>
        <v/>
      </c>
      <c r="H13" s="141"/>
    </row>
    <row r="14" spans="1:29" x14ac:dyDescent="0.2">
      <c r="A14" s="146"/>
      <c r="B14" s="107">
        <v>9</v>
      </c>
      <c r="C14" s="145" t="b">
        <v>0</v>
      </c>
      <c r="D14" s="144" t="str">
        <v>X4</v>
      </c>
      <c r="E14" s="143" t="str">
        <f t="shared" si="0"/>
        <v>EURIMMFRA6MX4_Quote</v>
      </c>
      <c r="F14" s="142" t="str">
        <f>_xll.qlSimpleQuote(E14,,PriceTickValue,Permanent,Trigger,ObjectOverwrite)</f>
        <v>EURIMMFRA6MX4_Quote#0000</v>
      </c>
      <c r="G14" s="105" t="str">
        <f>_xll.ohRangeRetrieveError(F14)</f>
        <v/>
      </c>
      <c r="H14" s="141"/>
    </row>
    <row r="15" spans="1:29" x14ac:dyDescent="0.2">
      <c r="A15" s="146"/>
      <c r="B15" s="107">
        <v>10</v>
      </c>
      <c r="C15" s="145" t="b">
        <v>0</v>
      </c>
      <c r="D15" s="144" t="str">
        <v>Z4</v>
      </c>
      <c r="E15" s="143" t="str">
        <f t="shared" si="0"/>
        <v>EURIMMFRA6MZ4_Quote</v>
      </c>
      <c r="F15" s="142" t="str">
        <f>_xll.qlSimpleQuote(E15,,PriceTickValue,Permanent,Trigger,ObjectOverwrite)</f>
        <v>EURIMMFRA6MZ4_Quote#0000</v>
      </c>
      <c r="G15" s="105" t="str">
        <f>_xll.ohRangeRetrieveError(F15)</f>
        <v/>
      </c>
      <c r="H15" s="141"/>
    </row>
    <row r="16" spans="1:29" x14ac:dyDescent="0.2">
      <c r="A16" s="146"/>
      <c r="B16" s="107">
        <v>11</v>
      </c>
      <c r="C16" s="145" t="b">
        <v>0</v>
      </c>
      <c r="D16" s="144" t="str">
        <v>F5</v>
      </c>
      <c r="E16" s="143" t="str">
        <f t="shared" si="0"/>
        <v>EURIMMFRA6MF5_Quote</v>
      </c>
      <c r="F16" s="142" t="str">
        <f>_xll.qlSimpleQuote(E16,,PriceTickValue,Permanent,Trigger,ObjectOverwrite)</f>
        <v>EURIMMFRA6MF5_Quote#0000</v>
      </c>
      <c r="G16" s="105" t="str">
        <f>_xll.ohRangeRetrieveError(F16)</f>
        <v/>
      </c>
      <c r="H16" s="141"/>
    </row>
    <row r="17" spans="1:8" x14ac:dyDescent="0.2">
      <c r="A17" s="146"/>
      <c r="B17" s="107">
        <v>12</v>
      </c>
      <c r="C17" s="145" t="b">
        <v>0</v>
      </c>
      <c r="D17" s="144" t="str">
        <v>G5</v>
      </c>
      <c r="E17" s="143" t="str">
        <f t="shared" si="0"/>
        <v>EURIMMFRA6MG5_Quote</v>
      </c>
      <c r="F17" s="142" t="str">
        <f>_xll.qlSimpleQuote(E17,,PriceTickValue,Permanent,Trigger,ObjectOverwrite)</f>
        <v>EURIMMFRA6MG5_Quote#0000</v>
      </c>
      <c r="G17" s="105" t="str">
        <f>_xll.ohRangeRetrieveError(F17)</f>
        <v/>
      </c>
      <c r="H17" s="141"/>
    </row>
    <row r="18" spans="1:8" x14ac:dyDescent="0.2">
      <c r="A18" s="146"/>
      <c r="B18" s="107">
        <v>13</v>
      </c>
      <c r="C18" s="145" t="b">
        <v>0</v>
      </c>
      <c r="D18" s="144" t="str">
        <v>H5</v>
      </c>
      <c r="E18" s="143" t="str">
        <f t="shared" si="0"/>
        <v>EURIMMFRA6MH5_Quote</v>
      </c>
      <c r="F18" s="142" t="str">
        <f>_xll.qlSimpleQuote(E18,,PriceTickValue,Permanent,Trigger,ObjectOverwrite)</f>
        <v>EURIMMFRA6MH5_Quote#0000</v>
      </c>
      <c r="G18" s="105" t="str">
        <f>_xll.ohRangeRetrieveError(F18)</f>
        <v/>
      </c>
      <c r="H18" s="141"/>
    </row>
    <row r="19" spans="1:8" x14ac:dyDescent="0.2">
      <c r="A19" s="146"/>
      <c r="B19" s="107">
        <v>14</v>
      </c>
      <c r="C19" s="145" t="b">
        <v>0</v>
      </c>
      <c r="D19" s="144" t="str">
        <v>J5</v>
      </c>
      <c r="E19" s="143" t="str">
        <f t="shared" si="0"/>
        <v>EURIMMFRA6MJ5_Quote</v>
      </c>
      <c r="F19" s="142" t="str">
        <f>_xll.qlSimpleQuote(E19,,PriceTickValue,Permanent,Trigger,ObjectOverwrite)</f>
        <v>EURIMMFRA6MJ5_Quote#0000</v>
      </c>
      <c r="G19" s="105" t="str">
        <f>_xll.ohRangeRetrieveError(F19)</f>
        <v/>
      </c>
      <c r="H19" s="141"/>
    </row>
    <row r="20" spans="1:8" x14ac:dyDescent="0.2">
      <c r="A20" s="146"/>
      <c r="B20" s="107">
        <v>15</v>
      </c>
      <c r="C20" s="145" t="b">
        <v>0</v>
      </c>
      <c r="D20" s="144" t="str">
        <v>K5</v>
      </c>
      <c r="E20" s="143" t="str">
        <f t="shared" si="0"/>
        <v>EURIMMFRA6MK5_Quote</v>
      </c>
      <c r="F20" s="142" t="str">
        <f>_xll.qlSimpleQuote(E20,,PriceTickValue,Permanent,Trigger,ObjectOverwrite)</f>
        <v>EURIMMFRA6MK5_Quote#0000</v>
      </c>
      <c r="G20" s="105" t="str">
        <f>_xll.ohRangeRetrieveError(F20)</f>
        <v/>
      </c>
      <c r="H20" s="141"/>
    </row>
    <row r="21" spans="1:8" x14ac:dyDescent="0.2">
      <c r="A21" s="146"/>
      <c r="B21" s="107">
        <v>16</v>
      </c>
      <c r="C21" s="145" t="b">
        <v>0</v>
      </c>
      <c r="D21" s="144" t="str">
        <v>M5</v>
      </c>
      <c r="E21" s="143" t="str">
        <f t="shared" si="0"/>
        <v>EURIMMFRA6MM5_Quote</v>
      </c>
      <c r="F21" s="142" t="str">
        <f>_xll.qlSimpleQuote(E21,,PriceTickValue,Permanent,Trigger,ObjectOverwrite)</f>
        <v>EURIMMFRA6MM5_Quote#0000</v>
      </c>
      <c r="G21" s="105" t="str">
        <f>_xll.ohRangeRetrieveError(F21)</f>
        <v/>
      </c>
      <c r="H21" s="141"/>
    </row>
    <row r="22" spans="1:8" x14ac:dyDescent="0.2">
      <c r="A22" s="146"/>
      <c r="B22" s="107">
        <v>17</v>
      </c>
      <c r="C22" s="145" t="b">
        <v>0</v>
      </c>
      <c r="D22" s="144" t="str">
        <v>N5</v>
      </c>
      <c r="E22" s="143" t="str">
        <f t="shared" si="0"/>
        <v>EURIMMFRA6MN5_Quote</v>
      </c>
      <c r="F22" s="142" t="str">
        <f>_xll.qlSimpleQuote(E22,,PriceTickValue,Permanent,Trigger,ObjectOverwrite)</f>
        <v>EURIMMFRA6MN5_Quote#0000</v>
      </c>
      <c r="G22" s="105" t="str">
        <f>_xll.ohRangeRetrieveError(F22)</f>
        <v/>
      </c>
      <c r="H22" s="141"/>
    </row>
    <row r="23" spans="1:8" x14ac:dyDescent="0.2">
      <c r="A23" s="146"/>
      <c r="B23" s="107">
        <v>18</v>
      </c>
      <c r="C23" s="145" t="b">
        <v>0</v>
      </c>
      <c r="D23" s="144" t="str">
        <v>Q5</v>
      </c>
      <c r="E23" s="143" t="str">
        <f t="shared" si="0"/>
        <v>EURIMMFRA6MQ5_Quote</v>
      </c>
      <c r="F23" s="142" t="str">
        <f>_xll.qlSimpleQuote(E23,,PriceTickValue,Permanent,Trigger,ObjectOverwrite)</f>
        <v>EURIMMFRA6MQ5_Quote#0000</v>
      </c>
      <c r="G23" s="105" t="str">
        <f>_xll.ohRangeRetrieveError(F23)</f>
        <v/>
      </c>
      <c r="H23" s="141"/>
    </row>
    <row r="24" spans="1:8" x14ac:dyDescent="0.2">
      <c r="A24" s="146"/>
      <c r="B24" s="107">
        <v>19</v>
      </c>
      <c r="C24" s="145" t="b">
        <v>0</v>
      </c>
      <c r="D24" s="144" t="str">
        <v>U5</v>
      </c>
      <c r="E24" s="143" t="str">
        <f t="shared" si="0"/>
        <v>EURIMMFRA6MU5_Quote</v>
      </c>
      <c r="F24" s="142" t="str">
        <f>_xll.qlSimpleQuote(E24,,PriceTickValue,Permanent,Trigger,ObjectOverwrite)</f>
        <v>EURIMMFRA6MU5_Quote#0000</v>
      </c>
      <c r="G24" s="105" t="str">
        <f>_xll.ohRangeRetrieveError(F24)</f>
        <v/>
      </c>
      <c r="H24" s="141"/>
    </row>
    <row r="25" spans="1:8" x14ac:dyDescent="0.2">
      <c r="A25" s="146"/>
      <c r="B25" s="107">
        <v>20</v>
      </c>
      <c r="C25" s="145" t="b">
        <v>0</v>
      </c>
      <c r="D25" s="144" t="str">
        <v>V5</v>
      </c>
      <c r="E25" s="143" t="str">
        <f t="shared" si="0"/>
        <v>EURIMMFRA6MV5_Quote</v>
      </c>
      <c r="F25" s="142" t="str">
        <f>_xll.qlSimpleQuote(E25,,PriceTickValue,Permanent,Trigger,ObjectOverwrite)</f>
        <v>EURIMMFRA6MV5_Quote#0000</v>
      </c>
      <c r="G25" s="105" t="str">
        <f>_xll.ohRangeRetrieveError(F25)</f>
        <v/>
      </c>
      <c r="H25" s="141"/>
    </row>
    <row r="26" spans="1:8" x14ac:dyDescent="0.2">
      <c r="A26" s="146"/>
      <c r="B26" s="107">
        <v>21</v>
      </c>
      <c r="C26" s="145" t="b">
        <v>0</v>
      </c>
      <c r="D26" s="144" t="str">
        <v>X5</v>
      </c>
      <c r="E26" s="143" t="str">
        <f t="shared" si="0"/>
        <v>EURIMMFRA6MX5_Quote</v>
      </c>
      <c r="F26" s="142" t="str">
        <f>_xll.qlSimpleQuote(E26,,PriceTickValue,Permanent,Trigger,ObjectOverwrite)</f>
        <v>EURIMMFRA6MX5_Quote#0000</v>
      </c>
      <c r="G26" s="105" t="str">
        <f>_xll.ohRangeRetrieveError(F26)</f>
        <v/>
      </c>
      <c r="H26" s="141"/>
    </row>
    <row r="27" spans="1:8" x14ac:dyDescent="0.2">
      <c r="A27" s="146"/>
      <c r="B27" s="107">
        <v>22</v>
      </c>
      <c r="C27" s="145" t="b">
        <v>0</v>
      </c>
      <c r="D27" s="144" t="str">
        <v>Z5</v>
      </c>
      <c r="E27" s="143" t="str">
        <f t="shared" si="0"/>
        <v>EURIMMFRA6MZ5_Quote</v>
      </c>
      <c r="F27" s="142" t="str">
        <f>_xll.qlSimpleQuote(E27,,PriceTickValue,Permanent,Trigger,ObjectOverwrite)</f>
        <v>EURIMMFRA6MZ5_Quote#0000</v>
      </c>
      <c r="G27" s="105" t="str">
        <f>_xll.ohRangeRetrieveError(F27)</f>
        <v/>
      </c>
      <c r="H27" s="141"/>
    </row>
    <row r="28" spans="1:8" x14ac:dyDescent="0.2">
      <c r="A28" s="146"/>
      <c r="B28" s="107">
        <v>23</v>
      </c>
      <c r="C28" s="145" t="b">
        <v>0</v>
      </c>
      <c r="D28" s="144" t="str">
        <v>F6</v>
      </c>
      <c r="E28" s="143" t="str">
        <f t="shared" si="0"/>
        <v>EURIMMFRA6MF6_Quote</v>
      </c>
      <c r="F28" s="142" t="str">
        <f>_xll.qlSimpleQuote(E28,,PriceTickValue,Permanent,Trigger,ObjectOverwrite)</f>
        <v>EURIMMFRA6MF6_Quote#0000</v>
      </c>
      <c r="G28" s="105" t="str">
        <f>_xll.ohRangeRetrieveError(F28)</f>
        <v/>
      </c>
      <c r="H28" s="141"/>
    </row>
    <row r="29" spans="1:8" x14ac:dyDescent="0.2">
      <c r="A29" s="146"/>
      <c r="B29" s="107">
        <v>24</v>
      </c>
      <c r="C29" s="145" t="b">
        <v>0</v>
      </c>
      <c r="D29" s="144" t="str">
        <v>G6</v>
      </c>
      <c r="E29" s="143" t="str">
        <f t="shared" si="0"/>
        <v>EURIMMFRA6MG6_Quote</v>
      </c>
      <c r="F29" s="142" t="str">
        <f>_xll.qlSimpleQuote(E29,,PriceTickValue,Permanent,Trigger,ObjectOverwrite)</f>
        <v>EURIMMFRA6MG6_Quote#0000</v>
      </c>
      <c r="G29" s="105" t="str">
        <f>_xll.ohRangeRetrieveError(F29)</f>
        <v/>
      </c>
      <c r="H29" s="141"/>
    </row>
    <row r="30" spans="1:8" x14ac:dyDescent="0.2">
      <c r="A30" s="146"/>
      <c r="B30" s="107">
        <v>25</v>
      </c>
      <c r="C30" s="145" t="b">
        <v>0</v>
      </c>
      <c r="D30" s="144" t="str">
        <v>H6</v>
      </c>
      <c r="E30" s="143" t="str">
        <f t="shared" si="0"/>
        <v>EURIMMFRA6MH6_Quote</v>
      </c>
      <c r="F30" s="142" t="str">
        <f>_xll.qlSimpleQuote(E30,,PriceTickValue,Permanent,Trigger,ObjectOverwrite)</f>
        <v>EURIMMFRA6MH6_Quote#0000</v>
      </c>
      <c r="G30" s="105" t="str">
        <f>_xll.ohRangeRetrieveError(F30)</f>
        <v/>
      </c>
      <c r="H30" s="141"/>
    </row>
    <row r="31" spans="1:8" x14ac:dyDescent="0.2">
      <c r="A31" s="146"/>
      <c r="B31" s="107">
        <v>26</v>
      </c>
      <c r="C31" s="145" t="b">
        <v>0</v>
      </c>
      <c r="D31" s="144" t="str">
        <v>J6</v>
      </c>
      <c r="E31" s="143" t="str">
        <f t="shared" si="0"/>
        <v>EURIMMFRA6MJ6_Quote</v>
      </c>
      <c r="F31" s="142" t="str">
        <f>_xll.qlSimpleQuote(E31,,PriceTickValue,Permanent,Trigger,ObjectOverwrite)</f>
        <v>EURIMMFRA6MJ6_Quote#0000</v>
      </c>
      <c r="G31" s="105" t="str">
        <f>_xll.ohRangeRetrieveError(F31)</f>
        <v/>
      </c>
      <c r="H31" s="141"/>
    </row>
    <row r="32" spans="1:8" x14ac:dyDescent="0.2">
      <c r="A32" s="146"/>
      <c r="B32" s="107">
        <v>27</v>
      </c>
      <c r="C32" s="145" t="b">
        <v>0</v>
      </c>
      <c r="D32" s="144" t="str">
        <v>K6</v>
      </c>
      <c r="E32" s="143" t="str">
        <f t="shared" si="0"/>
        <v>EURIMMFRA6MK6_Quote</v>
      </c>
      <c r="F32" s="142" t="str">
        <f>_xll.qlSimpleQuote(E32,,PriceTickValue,Permanent,Trigger,ObjectOverwrite)</f>
        <v>EURIMMFRA6MK6_Quote#0000</v>
      </c>
      <c r="G32" s="105" t="str">
        <f>_xll.ohRangeRetrieveError(F32)</f>
        <v/>
      </c>
      <c r="H32" s="141"/>
    </row>
    <row r="33" spans="1:8" x14ac:dyDescent="0.2">
      <c r="A33" s="146"/>
      <c r="B33" s="107">
        <v>28</v>
      </c>
      <c r="C33" s="145" t="b">
        <v>0</v>
      </c>
      <c r="D33" s="144" t="str">
        <v>M6</v>
      </c>
      <c r="E33" s="143" t="str">
        <f t="shared" si="0"/>
        <v>EURIMMFRA6MM6_Quote</v>
      </c>
      <c r="F33" s="142" t="str">
        <f>_xll.qlSimpleQuote(E33,,PriceTickValue,Permanent,Trigger,ObjectOverwrite)</f>
        <v>EURIMMFRA6MM6_Quote#0000</v>
      </c>
      <c r="G33" s="105" t="str">
        <f>_xll.ohRangeRetrieveError(F33)</f>
        <v/>
      </c>
      <c r="H33" s="141"/>
    </row>
    <row r="34" spans="1:8" x14ac:dyDescent="0.2">
      <c r="A34" s="146"/>
      <c r="B34" s="107">
        <v>29</v>
      </c>
      <c r="C34" s="145" t="b">
        <v>0</v>
      </c>
      <c r="D34" s="144" t="str">
        <v>N6</v>
      </c>
      <c r="E34" s="143" t="str">
        <f t="shared" si="0"/>
        <v>EURIMMFRA6MN6_Quote</v>
      </c>
      <c r="F34" s="142" t="str">
        <f>_xll.qlSimpleQuote(E34,,PriceTickValue,Permanent,Trigger,ObjectOverwrite)</f>
        <v>EURIMMFRA6MN6_Quote#0000</v>
      </c>
      <c r="G34" s="105" t="str">
        <f>_xll.ohRangeRetrieveError(F34)</f>
        <v/>
      </c>
      <c r="H34" s="141"/>
    </row>
    <row r="35" spans="1:8" x14ac:dyDescent="0.2">
      <c r="A35" s="146"/>
      <c r="B35" s="107">
        <v>30</v>
      </c>
      <c r="C35" s="145" t="b">
        <v>0</v>
      </c>
      <c r="D35" s="144" t="str">
        <v>Q6</v>
      </c>
      <c r="E35" s="143" t="str">
        <f t="shared" si="0"/>
        <v>EURIMMFRA6MQ6_Quote</v>
      </c>
      <c r="F35" s="142" t="str">
        <f>_xll.qlSimpleQuote(E35,,PriceTickValue,Permanent,Trigger,ObjectOverwrite)</f>
        <v>EURIMMFRA6MQ6_Quote#0000</v>
      </c>
      <c r="G35" s="105" t="str">
        <f>_xll.ohRangeRetrieveError(F35)</f>
        <v/>
      </c>
      <c r="H35" s="141"/>
    </row>
    <row r="36" spans="1:8" x14ac:dyDescent="0.2">
      <c r="A36" s="146"/>
      <c r="B36" s="107">
        <v>31</v>
      </c>
      <c r="C36" s="145" t="b">
        <v>0</v>
      </c>
      <c r="D36" s="144" t="str">
        <v>U6</v>
      </c>
      <c r="E36" s="143" t="str">
        <f t="shared" si="0"/>
        <v>EURIMMFRA6MU6_Quote</v>
      </c>
      <c r="F36" s="142" t="str">
        <f>_xll.qlSimpleQuote(E36,,PriceTickValue,Permanent,Trigger,ObjectOverwrite)</f>
        <v>EURIMMFRA6MU6_Quote#0000</v>
      </c>
      <c r="G36" s="105" t="str">
        <f>_xll.ohRangeRetrieveError(F36)</f>
        <v/>
      </c>
      <c r="H36" s="141"/>
    </row>
    <row r="37" spans="1:8" x14ac:dyDescent="0.2">
      <c r="A37" s="146"/>
      <c r="B37" s="107">
        <v>32</v>
      </c>
      <c r="C37" s="145" t="b">
        <v>0</v>
      </c>
      <c r="D37" s="144" t="str">
        <v>V6</v>
      </c>
      <c r="E37" s="143" t="str">
        <f t="shared" si="0"/>
        <v>EURIMMFRA6MV6_Quote</v>
      </c>
      <c r="F37" s="142" t="str">
        <f>_xll.qlSimpleQuote(E37,,PriceTickValue,Permanent,Trigger,ObjectOverwrite)</f>
        <v>EURIMMFRA6MV6_Quote#0000</v>
      </c>
      <c r="G37" s="105" t="str">
        <f>_xll.ohRangeRetrieveError(F37)</f>
        <v/>
      </c>
      <c r="H37" s="141"/>
    </row>
    <row r="38" spans="1:8" x14ac:dyDescent="0.2">
      <c r="A38" s="146"/>
      <c r="B38" s="107">
        <v>33</v>
      </c>
      <c r="C38" s="145" t="b">
        <v>0</v>
      </c>
      <c r="D38" s="144" t="str">
        <v>X6</v>
      </c>
      <c r="E38" s="143" t="str">
        <f t="shared" ref="E38:E69" si="1">Currency&amp;$D$4&amp;$E$4&amp;$D38&amp;QuoteSuffix</f>
        <v>EURIMMFRA6MX6_Quote</v>
      </c>
      <c r="F38" s="142" t="str">
        <f>_xll.qlSimpleQuote(E38,,PriceTickValue,Permanent,Trigger,ObjectOverwrite)</f>
        <v>EURIMMFRA6MX6_Quote#0000</v>
      </c>
      <c r="G38" s="105" t="str">
        <f>_xll.ohRangeRetrieveError(F38)</f>
        <v/>
      </c>
      <c r="H38" s="141"/>
    </row>
    <row r="39" spans="1:8" x14ac:dyDescent="0.2">
      <c r="A39" s="146"/>
      <c r="B39" s="107">
        <v>34</v>
      </c>
      <c r="C39" s="145" t="b">
        <v>0</v>
      </c>
      <c r="D39" s="144" t="str">
        <v>Z6</v>
      </c>
      <c r="E39" s="143" t="str">
        <f t="shared" si="1"/>
        <v>EURIMMFRA6MZ6_Quote</v>
      </c>
      <c r="F39" s="142" t="str">
        <f>_xll.qlSimpleQuote(E39,,PriceTickValue,Permanent,Trigger,ObjectOverwrite)</f>
        <v>EURIMMFRA6MZ6_Quote#0000</v>
      </c>
      <c r="G39" s="105" t="str">
        <f>_xll.ohRangeRetrieveError(F39)</f>
        <v/>
      </c>
      <c r="H39" s="141"/>
    </row>
    <row r="40" spans="1:8" x14ac:dyDescent="0.2">
      <c r="A40" s="146"/>
      <c r="B40" s="107">
        <v>35</v>
      </c>
      <c r="C40" s="145" t="b">
        <v>0</v>
      </c>
      <c r="D40" s="144" t="str">
        <v>F7</v>
      </c>
      <c r="E40" s="143" t="str">
        <f t="shared" si="1"/>
        <v>EURIMMFRA6MF7_Quote</v>
      </c>
      <c r="F40" s="142" t="str">
        <f>_xll.qlSimpleQuote(E40,,PriceTickValue,Permanent,Trigger,ObjectOverwrite)</f>
        <v>EURIMMFRA6MF7_Quote#0000</v>
      </c>
      <c r="G40" s="105" t="str">
        <f>_xll.ohRangeRetrieveError(F40)</f>
        <v/>
      </c>
      <c r="H40" s="141"/>
    </row>
    <row r="41" spans="1:8" x14ac:dyDescent="0.2">
      <c r="A41" s="146"/>
      <c r="B41" s="107">
        <v>36</v>
      </c>
      <c r="C41" s="145" t="b">
        <v>0</v>
      </c>
      <c r="D41" s="144" t="str">
        <v>G7</v>
      </c>
      <c r="E41" s="143" t="str">
        <f t="shared" si="1"/>
        <v>EURIMMFRA6MG7_Quote</v>
      </c>
      <c r="F41" s="142" t="str">
        <f>_xll.qlSimpleQuote(E41,,PriceTickValue,Permanent,Trigger,ObjectOverwrite)</f>
        <v>EURIMMFRA6MG7_Quote#0000</v>
      </c>
      <c r="G41" s="105" t="str">
        <f>_xll.ohRangeRetrieveError(F41)</f>
        <v/>
      </c>
      <c r="H41" s="141"/>
    </row>
    <row r="42" spans="1:8" x14ac:dyDescent="0.2">
      <c r="A42" s="146"/>
      <c r="B42" s="107">
        <v>37</v>
      </c>
      <c r="C42" s="145" t="b">
        <v>0</v>
      </c>
      <c r="D42" s="144" t="str">
        <v>H7</v>
      </c>
      <c r="E42" s="143" t="str">
        <f t="shared" si="1"/>
        <v>EURIMMFRA6MH7_Quote</v>
      </c>
      <c r="F42" s="142" t="str">
        <f>_xll.qlSimpleQuote(E42,,PriceTickValue,Permanent,Trigger,ObjectOverwrite)</f>
        <v>EURIMMFRA6MH7_Quote#0000</v>
      </c>
      <c r="G42" s="105" t="str">
        <f>_xll.ohRangeRetrieveError(F42)</f>
        <v/>
      </c>
      <c r="H42" s="141"/>
    </row>
    <row r="43" spans="1:8" x14ac:dyDescent="0.2">
      <c r="A43" s="146"/>
      <c r="B43" s="107">
        <v>38</v>
      </c>
      <c r="C43" s="145" t="b">
        <v>0</v>
      </c>
      <c r="D43" s="144" t="str">
        <v>J7</v>
      </c>
      <c r="E43" s="143" t="str">
        <f t="shared" si="1"/>
        <v>EURIMMFRA6MJ7_Quote</v>
      </c>
      <c r="F43" s="142" t="str">
        <f>_xll.qlSimpleQuote(E43,,PriceTickValue,Permanent,Trigger,ObjectOverwrite)</f>
        <v>EURIMMFRA6MJ7_Quote#0000</v>
      </c>
      <c r="G43" s="105" t="str">
        <f>_xll.ohRangeRetrieveError(F43)</f>
        <v/>
      </c>
      <c r="H43" s="141"/>
    </row>
    <row r="44" spans="1:8" x14ac:dyDescent="0.2">
      <c r="A44" s="146"/>
      <c r="B44" s="107">
        <v>39</v>
      </c>
      <c r="C44" s="145" t="b">
        <v>0</v>
      </c>
      <c r="D44" s="144" t="str">
        <v>K7</v>
      </c>
      <c r="E44" s="143" t="str">
        <f t="shared" si="1"/>
        <v>EURIMMFRA6MK7_Quote</v>
      </c>
      <c r="F44" s="142" t="str">
        <f>_xll.qlSimpleQuote(E44,,PriceTickValue,Permanent,Trigger,ObjectOverwrite)</f>
        <v>EURIMMFRA6MK7_Quote#0000</v>
      </c>
      <c r="G44" s="105" t="str">
        <f>_xll.ohRangeRetrieveError(F44)</f>
        <v/>
      </c>
      <c r="H44" s="141"/>
    </row>
    <row r="45" spans="1:8" x14ac:dyDescent="0.2">
      <c r="A45" s="146"/>
      <c r="B45" s="107">
        <v>40</v>
      </c>
      <c r="C45" s="145" t="b">
        <v>0</v>
      </c>
      <c r="D45" s="144" t="str">
        <v>M7</v>
      </c>
      <c r="E45" s="143" t="str">
        <f t="shared" si="1"/>
        <v>EURIMMFRA6MM7_Quote</v>
      </c>
      <c r="F45" s="142" t="str">
        <f>_xll.qlSimpleQuote(E45,,PriceTickValue,Permanent,Trigger,ObjectOverwrite)</f>
        <v>EURIMMFRA6MM7_Quote#0000</v>
      </c>
      <c r="G45" s="105" t="str">
        <f>_xll.ohRangeRetrieveError(F45)</f>
        <v/>
      </c>
      <c r="H45" s="141"/>
    </row>
    <row r="46" spans="1:8" x14ac:dyDescent="0.2">
      <c r="A46" s="146"/>
      <c r="B46" s="107">
        <v>41</v>
      </c>
      <c r="C46" s="145" t="b">
        <v>0</v>
      </c>
      <c r="D46" s="144" t="str">
        <v>N7</v>
      </c>
      <c r="E46" s="143" t="str">
        <f t="shared" si="1"/>
        <v>EURIMMFRA6MN7_Quote</v>
      </c>
      <c r="F46" s="142" t="str">
        <f>_xll.qlSimpleQuote(E46,,PriceTickValue,Permanent,Trigger,ObjectOverwrite)</f>
        <v>EURIMMFRA6MN7_Quote#0000</v>
      </c>
      <c r="G46" s="105" t="str">
        <f>_xll.ohRangeRetrieveError(F46)</f>
        <v/>
      </c>
      <c r="H46" s="141"/>
    </row>
    <row r="47" spans="1:8" x14ac:dyDescent="0.2">
      <c r="A47" s="146"/>
      <c r="B47" s="107">
        <v>42</v>
      </c>
      <c r="C47" s="145" t="b">
        <v>0</v>
      </c>
      <c r="D47" s="144" t="str">
        <v>Q7</v>
      </c>
      <c r="E47" s="143" t="str">
        <f t="shared" si="1"/>
        <v>EURIMMFRA6MQ7_Quote</v>
      </c>
      <c r="F47" s="142" t="str">
        <f>_xll.qlSimpleQuote(E47,,PriceTickValue,Permanent,Trigger,ObjectOverwrite)</f>
        <v>EURIMMFRA6MQ7_Quote#0000</v>
      </c>
      <c r="G47" s="105" t="str">
        <f>_xll.ohRangeRetrieveError(F47)</f>
        <v/>
      </c>
      <c r="H47" s="141"/>
    </row>
    <row r="48" spans="1:8" x14ac:dyDescent="0.2">
      <c r="A48" s="146"/>
      <c r="B48" s="107">
        <v>43</v>
      </c>
      <c r="C48" s="145" t="b">
        <v>0</v>
      </c>
      <c r="D48" s="144" t="str">
        <v>U7</v>
      </c>
      <c r="E48" s="143" t="str">
        <f t="shared" si="1"/>
        <v>EURIMMFRA6MU7_Quote</v>
      </c>
      <c r="F48" s="142" t="str">
        <f>_xll.qlSimpleQuote(E48,,PriceTickValue,Permanent,Trigger,ObjectOverwrite)</f>
        <v>EURIMMFRA6MU7_Quote#0000</v>
      </c>
      <c r="G48" s="105" t="str">
        <f>_xll.ohRangeRetrieveError(F48)</f>
        <v/>
      </c>
      <c r="H48" s="141"/>
    </row>
    <row r="49" spans="1:8" x14ac:dyDescent="0.2">
      <c r="A49" s="146"/>
      <c r="B49" s="107">
        <v>44</v>
      </c>
      <c r="C49" s="145" t="b">
        <v>0</v>
      </c>
      <c r="D49" s="144" t="str">
        <v>V7</v>
      </c>
      <c r="E49" s="143" t="str">
        <f t="shared" si="1"/>
        <v>EURIMMFRA6MV7_Quote</v>
      </c>
      <c r="F49" s="142" t="str">
        <f>_xll.qlSimpleQuote(E49,,PriceTickValue,Permanent,Trigger,ObjectOverwrite)</f>
        <v>EURIMMFRA6MV7_Quote#0000</v>
      </c>
      <c r="G49" s="105" t="str">
        <f>_xll.ohRangeRetrieveError(F49)</f>
        <v/>
      </c>
      <c r="H49" s="141"/>
    </row>
    <row r="50" spans="1:8" x14ac:dyDescent="0.2">
      <c r="A50" s="146"/>
      <c r="B50" s="107">
        <v>45</v>
      </c>
      <c r="C50" s="145" t="b">
        <v>0</v>
      </c>
      <c r="D50" s="144" t="str">
        <v>X7</v>
      </c>
      <c r="E50" s="143" t="str">
        <f t="shared" si="1"/>
        <v>EURIMMFRA6MX7_Quote</v>
      </c>
      <c r="F50" s="142" t="str">
        <f>_xll.qlSimpleQuote(E50,,PriceTickValue,Permanent,Trigger,ObjectOverwrite)</f>
        <v>EURIMMFRA6MX7_Quote#0000</v>
      </c>
      <c r="G50" s="105" t="str">
        <f>_xll.ohRangeRetrieveError(F50)</f>
        <v/>
      </c>
      <c r="H50" s="141"/>
    </row>
    <row r="51" spans="1:8" x14ac:dyDescent="0.2">
      <c r="A51" s="146"/>
      <c r="B51" s="107">
        <v>46</v>
      </c>
      <c r="C51" s="145" t="b">
        <v>0</v>
      </c>
      <c r="D51" s="144" t="str">
        <v>Z7</v>
      </c>
      <c r="E51" s="143" t="str">
        <f t="shared" si="1"/>
        <v>EURIMMFRA6MZ7_Quote</v>
      </c>
      <c r="F51" s="142" t="str">
        <f>_xll.qlSimpleQuote(E51,,PriceTickValue,Permanent,Trigger,ObjectOverwrite)</f>
        <v>EURIMMFRA6MZ7_Quote#0000</v>
      </c>
      <c r="G51" s="105" t="str">
        <f>_xll.ohRangeRetrieveError(F51)</f>
        <v/>
      </c>
      <c r="H51" s="141"/>
    </row>
    <row r="52" spans="1:8" x14ac:dyDescent="0.2">
      <c r="A52" s="146"/>
      <c r="B52" s="107">
        <v>47</v>
      </c>
      <c r="C52" s="145" t="b">
        <v>0</v>
      </c>
      <c r="D52" s="144" t="str">
        <v>F8</v>
      </c>
      <c r="E52" s="143" t="str">
        <f t="shared" si="1"/>
        <v>EURIMMFRA6MF8_Quote</v>
      </c>
      <c r="F52" s="142" t="str">
        <f>_xll.qlSimpleQuote(E52,,PriceTickValue,Permanent,Trigger,ObjectOverwrite)</f>
        <v>EURIMMFRA6MF8_Quote#0000</v>
      </c>
      <c r="G52" s="105" t="str">
        <f>_xll.ohRangeRetrieveError(F52)</f>
        <v/>
      </c>
      <c r="H52" s="141"/>
    </row>
    <row r="53" spans="1:8" x14ac:dyDescent="0.2">
      <c r="A53" s="146"/>
      <c r="B53" s="107">
        <v>48</v>
      </c>
      <c r="C53" s="145" t="b">
        <v>0</v>
      </c>
      <c r="D53" s="144" t="str">
        <v>G8</v>
      </c>
      <c r="E53" s="143" t="str">
        <f t="shared" si="1"/>
        <v>EURIMMFRA6MG8_Quote</v>
      </c>
      <c r="F53" s="142" t="str">
        <f>_xll.qlSimpleQuote(E53,,PriceTickValue,Permanent,Trigger,ObjectOverwrite)</f>
        <v>EURIMMFRA6MG8_Quote#0000</v>
      </c>
      <c r="G53" s="105" t="str">
        <f>_xll.ohRangeRetrieveError(F53)</f>
        <v/>
      </c>
      <c r="H53" s="141"/>
    </row>
    <row r="54" spans="1:8" x14ac:dyDescent="0.2">
      <c r="A54" s="146"/>
      <c r="B54" s="107">
        <v>49</v>
      </c>
      <c r="C54" s="145" t="b">
        <v>0</v>
      </c>
      <c r="D54" s="144" t="str">
        <v>H8</v>
      </c>
      <c r="E54" s="143" t="str">
        <f t="shared" si="1"/>
        <v>EURIMMFRA6MH8_Quote</v>
      </c>
      <c r="F54" s="142" t="str">
        <f>_xll.qlSimpleQuote(E54,,PriceTickValue,Permanent,Trigger,ObjectOverwrite)</f>
        <v>EURIMMFRA6MH8_Quote#0000</v>
      </c>
      <c r="G54" s="105" t="str">
        <f>_xll.ohRangeRetrieveError(F54)</f>
        <v/>
      </c>
      <c r="H54" s="141"/>
    </row>
    <row r="55" spans="1:8" x14ac:dyDescent="0.2">
      <c r="A55" s="146"/>
      <c r="B55" s="107">
        <v>50</v>
      </c>
      <c r="C55" s="145" t="b">
        <v>0</v>
      </c>
      <c r="D55" s="144" t="str">
        <v>J8</v>
      </c>
      <c r="E55" s="143" t="str">
        <f t="shared" si="1"/>
        <v>EURIMMFRA6MJ8_Quote</v>
      </c>
      <c r="F55" s="142" t="str">
        <f>_xll.qlSimpleQuote(E55,,PriceTickValue,Permanent,Trigger,ObjectOverwrite)</f>
        <v>EURIMMFRA6MJ8_Quote#0000</v>
      </c>
      <c r="G55" s="105" t="str">
        <f>_xll.ohRangeRetrieveError(F55)</f>
        <v/>
      </c>
      <c r="H55" s="141"/>
    </row>
    <row r="56" spans="1:8" x14ac:dyDescent="0.2">
      <c r="A56" s="146"/>
      <c r="B56" s="107">
        <v>51</v>
      </c>
      <c r="C56" s="145" t="b">
        <v>0</v>
      </c>
      <c r="D56" s="144" t="str">
        <v>K8</v>
      </c>
      <c r="E56" s="143" t="str">
        <f t="shared" si="1"/>
        <v>EURIMMFRA6MK8_Quote</v>
      </c>
      <c r="F56" s="142" t="str">
        <f>_xll.qlSimpleQuote(E56,,PriceTickValue,Permanent,Trigger,ObjectOverwrite)</f>
        <v>EURIMMFRA6MK8_Quote#0000</v>
      </c>
      <c r="G56" s="105" t="str">
        <f>_xll.ohRangeRetrieveError(F56)</f>
        <v/>
      </c>
      <c r="H56" s="141"/>
    </row>
    <row r="57" spans="1:8" x14ac:dyDescent="0.2">
      <c r="A57" s="146"/>
      <c r="B57" s="107">
        <v>52</v>
      </c>
      <c r="C57" s="145" t="b">
        <v>0</v>
      </c>
      <c r="D57" s="144" t="str">
        <v>M8</v>
      </c>
      <c r="E57" s="143" t="str">
        <f t="shared" si="1"/>
        <v>EURIMMFRA6MM8_Quote</v>
      </c>
      <c r="F57" s="142" t="str">
        <f>_xll.qlSimpleQuote(E57,,PriceTickValue,Permanent,Trigger,ObjectOverwrite)</f>
        <v>EURIMMFRA6MM8_Quote#0000</v>
      </c>
      <c r="G57" s="105" t="str">
        <f>_xll.ohRangeRetrieveError(F57)</f>
        <v/>
      </c>
      <c r="H57" s="141"/>
    </row>
    <row r="58" spans="1:8" x14ac:dyDescent="0.2">
      <c r="A58" s="146"/>
      <c r="B58" s="107">
        <v>53</v>
      </c>
      <c r="C58" s="145" t="b">
        <v>0</v>
      </c>
      <c r="D58" s="144" t="str">
        <v>N8</v>
      </c>
      <c r="E58" s="143" t="str">
        <f t="shared" si="1"/>
        <v>EURIMMFRA6MN8_Quote</v>
      </c>
      <c r="F58" s="142" t="str">
        <f>_xll.qlSimpleQuote(E58,,PriceTickValue,Permanent,Trigger,ObjectOverwrite)</f>
        <v>EURIMMFRA6MN8_Quote#0000</v>
      </c>
      <c r="G58" s="105" t="str">
        <f>_xll.ohRangeRetrieveError(F58)</f>
        <v/>
      </c>
      <c r="H58" s="141"/>
    </row>
    <row r="59" spans="1:8" x14ac:dyDescent="0.2">
      <c r="A59" s="146"/>
      <c r="B59" s="107">
        <v>54</v>
      </c>
      <c r="C59" s="145" t="b">
        <v>0</v>
      </c>
      <c r="D59" s="144" t="str">
        <v>Q8</v>
      </c>
      <c r="E59" s="143" t="str">
        <f t="shared" si="1"/>
        <v>EURIMMFRA6MQ8_Quote</v>
      </c>
      <c r="F59" s="142" t="str">
        <f>_xll.qlSimpleQuote(E59,,PriceTickValue,Permanent,Trigger,ObjectOverwrite)</f>
        <v>EURIMMFRA6MQ8_Quote#0000</v>
      </c>
      <c r="G59" s="105" t="str">
        <f>_xll.ohRangeRetrieveError(F59)</f>
        <v/>
      </c>
      <c r="H59" s="141"/>
    </row>
    <row r="60" spans="1:8" x14ac:dyDescent="0.2">
      <c r="A60" s="146"/>
      <c r="B60" s="107">
        <v>55</v>
      </c>
      <c r="C60" s="145" t="b">
        <v>0</v>
      </c>
      <c r="D60" s="144" t="str">
        <v>U8</v>
      </c>
      <c r="E60" s="143" t="str">
        <f t="shared" si="1"/>
        <v>EURIMMFRA6MU8_Quote</v>
      </c>
      <c r="F60" s="142" t="str">
        <f>_xll.qlSimpleQuote(E60,,PriceTickValue,Permanent,Trigger,ObjectOverwrite)</f>
        <v>EURIMMFRA6MU8_Quote#0000</v>
      </c>
      <c r="G60" s="105" t="str">
        <f>_xll.ohRangeRetrieveError(F60)</f>
        <v/>
      </c>
      <c r="H60" s="141"/>
    </row>
    <row r="61" spans="1:8" x14ac:dyDescent="0.2">
      <c r="A61" s="146"/>
      <c r="B61" s="107">
        <v>56</v>
      </c>
      <c r="C61" s="145" t="b">
        <v>0</v>
      </c>
      <c r="D61" s="144" t="str">
        <v>V8</v>
      </c>
      <c r="E61" s="143" t="str">
        <f t="shared" si="1"/>
        <v>EURIMMFRA6MV8_Quote</v>
      </c>
      <c r="F61" s="142" t="str">
        <f>_xll.qlSimpleQuote(E61,,PriceTickValue,Permanent,Trigger,ObjectOverwrite)</f>
        <v>EURIMMFRA6MV8_Quote#0000</v>
      </c>
      <c r="G61" s="105" t="str">
        <f>_xll.ohRangeRetrieveError(F61)</f>
        <v/>
      </c>
      <c r="H61" s="141"/>
    </row>
    <row r="62" spans="1:8" x14ac:dyDescent="0.2">
      <c r="A62" s="146"/>
      <c r="B62" s="107">
        <v>57</v>
      </c>
      <c r="C62" s="145" t="b">
        <v>0</v>
      </c>
      <c r="D62" s="144" t="str">
        <v>X8</v>
      </c>
      <c r="E62" s="143" t="str">
        <f t="shared" si="1"/>
        <v>EURIMMFRA6MX8_Quote</v>
      </c>
      <c r="F62" s="142" t="str">
        <f>_xll.qlSimpleQuote(E62,,PriceTickValue,Permanent,Trigger,ObjectOverwrite)</f>
        <v>EURIMMFRA6MX8_Quote#0000</v>
      </c>
      <c r="G62" s="105" t="str">
        <f>_xll.ohRangeRetrieveError(F62)</f>
        <v/>
      </c>
      <c r="H62" s="141"/>
    </row>
    <row r="63" spans="1:8" x14ac:dyDescent="0.2">
      <c r="A63" s="146"/>
      <c r="B63" s="107">
        <v>58</v>
      </c>
      <c r="C63" s="145" t="b">
        <v>0</v>
      </c>
      <c r="D63" s="144" t="str">
        <v>Z8</v>
      </c>
      <c r="E63" s="143" t="str">
        <f t="shared" si="1"/>
        <v>EURIMMFRA6MZ8_Quote</v>
      </c>
      <c r="F63" s="142" t="str">
        <f>_xll.qlSimpleQuote(E63,,PriceTickValue,Permanent,Trigger,ObjectOverwrite)</f>
        <v>EURIMMFRA6MZ8_Quote#0000</v>
      </c>
      <c r="G63" s="105" t="str">
        <f>_xll.ohRangeRetrieveError(F63)</f>
        <v/>
      </c>
      <c r="H63" s="141"/>
    </row>
    <row r="64" spans="1:8" x14ac:dyDescent="0.2">
      <c r="A64" s="146"/>
      <c r="B64" s="107">
        <v>59</v>
      </c>
      <c r="C64" s="145" t="b">
        <v>0</v>
      </c>
      <c r="D64" s="144" t="str">
        <v>F9</v>
      </c>
      <c r="E64" s="143" t="str">
        <f t="shared" si="1"/>
        <v>EURIMMFRA6MF9_Quote</v>
      </c>
      <c r="F64" s="142" t="str">
        <f>_xll.qlSimpleQuote(E64,,PriceTickValue,Permanent,Trigger,ObjectOverwrite)</f>
        <v>EURIMMFRA6MF9_Quote#0000</v>
      </c>
      <c r="G64" s="105" t="str">
        <f>_xll.ohRangeRetrieveError(F64)</f>
        <v/>
      </c>
      <c r="H64" s="141"/>
    </row>
    <row r="65" spans="1:8" x14ac:dyDescent="0.2">
      <c r="A65" s="146"/>
      <c r="B65" s="107">
        <v>60</v>
      </c>
      <c r="C65" s="145" t="b">
        <v>0</v>
      </c>
      <c r="D65" s="144" t="str">
        <v>G9</v>
      </c>
      <c r="E65" s="143" t="str">
        <f t="shared" si="1"/>
        <v>EURIMMFRA6MG9_Quote</v>
      </c>
      <c r="F65" s="142" t="str">
        <f>_xll.qlSimpleQuote(E65,,PriceTickValue,Permanent,Trigger,ObjectOverwrite)</f>
        <v>EURIMMFRA6MG9_Quote#0000</v>
      </c>
      <c r="G65" s="105" t="str">
        <f>_xll.ohRangeRetrieveError(F65)</f>
        <v/>
      </c>
      <c r="H65" s="141"/>
    </row>
    <row r="66" spans="1:8" x14ac:dyDescent="0.2">
      <c r="A66" s="146"/>
      <c r="B66" s="107">
        <v>61</v>
      </c>
      <c r="C66" s="145" t="b">
        <v>0</v>
      </c>
      <c r="D66" s="144" t="str">
        <v>H9</v>
      </c>
      <c r="E66" s="143" t="str">
        <f t="shared" si="1"/>
        <v>EURIMMFRA6MH9_Quote</v>
      </c>
      <c r="F66" s="142" t="str">
        <f>_xll.qlSimpleQuote(E66,,PriceTickValue,Permanent,Trigger,ObjectOverwrite)</f>
        <v>EURIMMFRA6MH9_Quote#0000</v>
      </c>
      <c r="G66" s="105" t="str">
        <f>_xll.ohRangeRetrieveError(F66)</f>
        <v/>
      </c>
      <c r="H66" s="141"/>
    </row>
    <row r="67" spans="1:8" x14ac:dyDescent="0.2">
      <c r="A67" s="146"/>
      <c r="B67" s="107">
        <v>62</v>
      </c>
      <c r="C67" s="145" t="b">
        <v>0</v>
      </c>
      <c r="D67" s="144" t="str">
        <v>J9</v>
      </c>
      <c r="E67" s="143" t="str">
        <f t="shared" si="1"/>
        <v>EURIMMFRA6MJ9_Quote</v>
      </c>
      <c r="F67" s="142" t="str">
        <f>_xll.qlSimpleQuote(E67,,PriceTickValue,Permanent,Trigger,ObjectOverwrite)</f>
        <v>EURIMMFRA6MJ9_Quote#0000</v>
      </c>
      <c r="G67" s="105" t="str">
        <f>_xll.ohRangeRetrieveError(F67)</f>
        <v/>
      </c>
      <c r="H67" s="141"/>
    </row>
    <row r="68" spans="1:8" x14ac:dyDescent="0.2">
      <c r="A68" s="146"/>
      <c r="B68" s="107">
        <v>63</v>
      </c>
      <c r="C68" s="145" t="b">
        <v>0</v>
      </c>
      <c r="D68" s="144" t="str">
        <v>K9</v>
      </c>
      <c r="E68" s="143" t="str">
        <f t="shared" si="1"/>
        <v>EURIMMFRA6MK9_Quote</v>
      </c>
      <c r="F68" s="142" t="str">
        <f>_xll.qlSimpleQuote(E68,,PriceTickValue,Permanent,Trigger,ObjectOverwrite)</f>
        <v>EURIMMFRA6MK9_Quote#0000</v>
      </c>
      <c r="G68" s="105" t="str">
        <f>_xll.ohRangeRetrieveError(F68)</f>
        <v/>
      </c>
      <c r="H68" s="141"/>
    </row>
    <row r="69" spans="1:8" x14ac:dyDescent="0.2">
      <c r="A69" s="146"/>
      <c r="B69" s="107">
        <v>64</v>
      </c>
      <c r="C69" s="145" t="b">
        <v>0</v>
      </c>
      <c r="D69" s="144" t="str">
        <v>M9</v>
      </c>
      <c r="E69" s="143" t="str">
        <f t="shared" si="1"/>
        <v>EURIMMFRA6MM9_Quote</v>
      </c>
      <c r="F69" s="142" t="str">
        <f>_xll.qlSimpleQuote(E69,,PriceTickValue,Permanent,Trigger,ObjectOverwrite)</f>
        <v>EURIMMFRA6MM9_Quote#0000</v>
      </c>
      <c r="G69" s="105" t="str">
        <f>_xll.ohRangeRetrieveError(F69)</f>
        <v/>
      </c>
      <c r="H69" s="141"/>
    </row>
    <row r="70" spans="1:8" x14ac:dyDescent="0.2">
      <c r="A70" s="146"/>
      <c r="B70" s="107">
        <v>65</v>
      </c>
      <c r="C70" s="145" t="b">
        <v>0</v>
      </c>
      <c r="D70" s="144" t="str">
        <v>N9</v>
      </c>
      <c r="E70" s="143" t="str">
        <f t="shared" ref="E70:E101" si="2">Currency&amp;$D$4&amp;$E$4&amp;$D70&amp;QuoteSuffix</f>
        <v>EURIMMFRA6MN9_Quote</v>
      </c>
      <c r="F70" s="142" t="str">
        <f>_xll.qlSimpleQuote(E70,,PriceTickValue,Permanent,Trigger,ObjectOverwrite)</f>
        <v>EURIMMFRA6MN9_Quote#0000</v>
      </c>
      <c r="G70" s="105" t="str">
        <f>_xll.ohRangeRetrieveError(F70)</f>
        <v/>
      </c>
      <c r="H70" s="141"/>
    </row>
    <row r="71" spans="1:8" x14ac:dyDescent="0.2">
      <c r="A71" s="146"/>
      <c r="B71" s="107">
        <v>66</v>
      </c>
      <c r="C71" s="145" t="b">
        <v>0</v>
      </c>
      <c r="D71" s="144" t="str">
        <v>Q9</v>
      </c>
      <c r="E71" s="143" t="str">
        <f t="shared" si="2"/>
        <v>EURIMMFRA6MQ9_Quote</v>
      </c>
      <c r="F71" s="142" t="str">
        <f>_xll.qlSimpleQuote(E71,,PriceTickValue,Permanent,Trigger,ObjectOverwrite)</f>
        <v>EURIMMFRA6MQ9_Quote#0000</v>
      </c>
      <c r="G71" s="105" t="str">
        <f>_xll.ohRangeRetrieveError(F71)</f>
        <v/>
      </c>
      <c r="H71" s="141"/>
    </row>
    <row r="72" spans="1:8" x14ac:dyDescent="0.2">
      <c r="A72" s="146"/>
      <c r="B72" s="107">
        <v>67</v>
      </c>
      <c r="C72" s="145" t="b">
        <v>0</v>
      </c>
      <c r="D72" s="144" t="str">
        <v>U9</v>
      </c>
      <c r="E72" s="143" t="str">
        <f t="shared" si="2"/>
        <v>EURIMMFRA6MU9_Quote</v>
      </c>
      <c r="F72" s="142" t="str">
        <f>_xll.qlSimpleQuote(E72,,PriceTickValue,Permanent,Trigger,ObjectOverwrite)</f>
        <v>EURIMMFRA6MU9_Quote#0000</v>
      </c>
      <c r="G72" s="105" t="str">
        <f>_xll.ohRangeRetrieveError(F72)</f>
        <v/>
      </c>
      <c r="H72" s="141"/>
    </row>
    <row r="73" spans="1:8" x14ac:dyDescent="0.2">
      <c r="A73" s="146"/>
      <c r="B73" s="107">
        <v>68</v>
      </c>
      <c r="C73" s="145" t="b">
        <v>0</v>
      </c>
      <c r="D73" s="144" t="str">
        <v>V9</v>
      </c>
      <c r="E73" s="143" t="str">
        <f t="shared" si="2"/>
        <v>EURIMMFRA6MV9_Quote</v>
      </c>
      <c r="F73" s="142" t="str">
        <f>_xll.qlSimpleQuote(E73,,PriceTickValue,Permanent,Trigger,ObjectOverwrite)</f>
        <v>EURIMMFRA6MV9_Quote#0000</v>
      </c>
      <c r="G73" s="105" t="str">
        <f>_xll.ohRangeRetrieveError(F73)</f>
        <v/>
      </c>
      <c r="H73" s="141"/>
    </row>
    <row r="74" spans="1:8" x14ac:dyDescent="0.2">
      <c r="A74" s="146"/>
      <c r="B74" s="107">
        <v>69</v>
      </c>
      <c r="C74" s="145" t="b">
        <v>0</v>
      </c>
      <c r="D74" s="144" t="str">
        <v>X9</v>
      </c>
      <c r="E74" s="143" t="str">
        <f t="shared" si="2"/>
        <v>EURIMMFRA6MX9_Quote</v>
      </c>
      <c r="F74" s="142" t="str">
        <f>_xll.qlSimpleQuote(E74,,PriceTickValue,Permanent,Trigger,ObjectOverwrite)</f>
        <v>EURIMMFRA6MX9_Quote#0000</v>
      </c>
      <c r="G74" s="105" t="str">
        <f>_xll.ohRangeRetrieveError(F74)</f>
        <v/>
      </c>
      <c r="H74" s="141"/>
    </row>
    <row r="75" spans="1:8" x14ac:dyDescent="0.2">
      <c r="A75" s="146"/>
      <c r="B75" s="107">
        <v>70</v>
      </c>
      <c r="C75" s="145" t="b">
        <v>0</v>
      </c>
      <c r="D75" s="144" t="str">
        <v>Z9</v>
      </c>
      <c r="E75" s="143" t="str">
        <f t="shared" si="2"/>
        <v>EURIMMFRA6MZ9_Quote</v>
      </c>
      <c r="F75" s="142" t="str">
        <f>_xll.qlSimpleQuote(E75,,PriceTickValue,Permanent,Trigger,ObjectOverwrite)</f>
        <v>EURIMMFRA6MZ9_Quote#0000</v>
      </c>
      <c r="G75" s="105" t="str">
        <f>_xll.ohRangeRetrieveError(F75)</f>
        <v/>
      </c>
      <c r="H75" s="141"/>
    </row>
    <row r="76" spans="1:8" x14ac:dyDescent="0.2">
      <c r="A76" s="146"/>
      <c r="B76" s="107">
        <v>71</v>
      </c>
      <c r="C76" s="145" t="b">
        <v>0</v>
      </c>
      <c r="D76" s="144" t="str">
        <v>F0</v>
      </c>
      <c r="E76" s="143" t="str">
        <f t="shared" si="2"/>
        <v>EURIMMFRA6MF0_Quote</v>
      </c>
      <c r="F76" s="142" t="str">
        <f>_xll.qlSimpleQuote(E76,,PriceTickValue,Permanent,Trigger,ObjectOverwrite)</f>
        <v>EURIMMFRA6MF0_Quote#0000</v>
      </c>
      <c r="G76" s="105" t="str">
        <f>_xll.ohRangeRetrieveError(F76)</f>
        <v/>
      </c>
      <c r="H76" s="141"/>
    </row>
    <row r="77" spans="1:8" x14ac:dyDescent="0.2">
      <c r="A77" s="146"/>
      <c r="B77" s="107">
        <v>72</v>
      </c>
      <c r="C77" s="145" t="b">
        <v>0</v>
      </c>
      <c r="D77" s="144" t="str">
        <v>G0</v>
      </c>
      <c r="E77" s="143" t="str">
        <f t="shared" si="2"/>
        <v>EURIMMFRA6MG0_Quote</v>
      </c>
      <c r="F77" s="142" t="str">
        <f>_xll.qlSimpleQuote(E77,,PriceTickValue,Permanent,Trigger,ObjectOverwrite)</f>
        <v>EURIMMFRA6MG0_Quote#0000</v>
      </c>
      <c r="G77" s="105" t="str">
        <f>_xll.ohRangeRetrieveError(F77)</f>
        <v/>
      </c>
      <c r="H77" s="141"/>
    </row>
    <row r="78" spans="1:8" x14ac:dyDescent="0.2">
      <c r="A78" s="146"/>
      <c r="B78" s="107">
        <v>73</v>
      </c>
      <c r="C78" s="145" t="b">
        <v>0</v>
      </c>
      <c r="D78" s="144" t="str">
        <v>H0</v>
      </c>
      <c r="E78" s="143" t="str">
        <f t="shared" si="2"/>
        <v>EURIMMFRA6MH0_Quote</v>
      </c>
      <c r="F78" s="142" t="str">
        <f>_xll.qlSimpleQuote(E78,,PriceTickValue,Permanent,Trigger,ObjectOverwrite)</f>
        <v>EURIMMFRA6MH0_Quote#0000</v>
      </c>
      <c r="G78" s="105" t="str">
        <f>_xll.ohRangeRetrieveError(F78)</f>
        <v/>
      </c>
      <c r="H78" s="141"/>
    </row>
    <row r="79" spans="1:8" x14ac:dyDescent="0.2">
      <c r="A79" s="146"/>
      <c r="B79" s="107">
        <v>74</v>
      </c>
      <c r="C79" s="145" t="b">
        <v>0</v>
      </c>
      <c r="D79" s="144" t="str">
        <v>J0</v>
      </c>
      <c r="E79" s="143" t="str">
        <f t="shared" si="2"/>
        <v>EURIMMFRA6MJ0_Quote</v>
      </c>
      <c r="F79" s="142" t="str">
        <f>_xll.qlSimpleQuote(E79,,PriceTickValue,Permanent,Trigger,ObjectOverwrite)</f>
        <v>EURIMMFRA6MJ0_Quote#0000</v>
      </c>
      <c r="G79" s="105" t="str">
        <f>_xll.ohRangeRetrieveError(F79)</f>
        <v/>
      </c>
      <c r="H79" s="141"/>
    </row>
    <row r="80" spans="1:8" x14ac:dyDescent="0.2">
      <c r="A80" s="146"/>
      <c r="B80" s="107">
        <v>75</v>
      </c>
      <c r="C80" s="145" t="b">
        <v>0</v>
      </c>
      <c r="D80" s="144" t="str">
        <v>K0</v>
      </c>
      <c r="E80" s="143" t="str">
        <f t="shared" si="2"/>
        <v>EURIMMFRA6MK0_Quote</v>
      </c>
      <c r="F80" s="142" t="str">
        <f>_xll.qlSimpleQuote(E80,,PriceTickValue,Permanent,Trigger,ObjectOverwrite)</f>
        <v>EURIMMFRA6MK0_Quote#0000</v>
      </c>
      <c r="G80" s="105" t="str">
        <f>_xll.ohRangeRetrieveError(F80)</f>
        <v/>
      </c>
      <c r="H80" s="141"/>
    </row>
    <row r="81" spans="1:8" x14ac:dyDescent="0.2">
      <c r="A81" s="146"/>
      <c r="B81" s="107">
        <v>76</v>
      </c>
      <c r="C81" s="145" t="b">
        <v>0</v>
      </c>
      <c r="D81" s="144" t="str">
        <v>M0</v>
      </c>
      <c r="E81" s="143" t="str">
        <f t="shared" si="2"/>
        <v>EURIMMFRA6MM0_Quote</v>
      </c>
      <c r="F81" s="142" t="str">
        <f>_xll.qlSimpleQuote(E81,,PriceTickValue,Permanent,Trigger,ObjectOverwrite)</f>
        <v>EURIMMFRA6MM0_Quote#0000</v>
      </c>
      <c r="G81" s="105" t="str">
        <f>_xll.ohRangeRetrieveError(F81)</f>
        <v/>
      </c>
      <c r="H81" s="141"/>
    </row>
    <row r="82" spans="1:8" x14ac:dyDescent="0.2">
      <c r="A82" s="146"/>
      <c r="B82" s="107">
        <v>77</v>
      </c>
      <c r="C82" s="145" t="b">
        <v>0</v>
      </c>
      <c r="D82" s="144" t="str">
        <v>N0</v>
      </c>
      <c r="E82" s="143" t="str">
        <f t="shared" si="2"/>
        <v>EURIMMFRA6MN0_Quote</v>
      </c>
      <c r="F82" s="142" t="str">
        <f>_xll.qlSimpleQuote(E82,,PriceTickValue,Permanent,Trigger,ObjectOverwrite)</f>
        <v>EURIMMFRA6MN0_Quote#0000</v>
      </c>
      <c r="G82" s="105" t="str">
        <f>_xll.ohRangeRetrieveError(F82)</f>
        <v/>
      </c>
      <c r="H82" s="141"/>
    </row>
    <row r="83" spans="1:8" x14ac:dyDescent="0.2">
      <c r="A83" s="146"/>
      <c r="B83" s="107">
        <v>78</v>
      </c>
      <c r="C83" s="145" t="b">
        <v>0</v>
      </c>
      <c r="D83" s="144" t="str">
        <v>Q0</v>
      </c>
      <c r="E83" s="143" t="str">
        <f t="shared" si="2"/>
        <v>EURIMMFRA6MQ0_Quote</v>
      </c>
      <c r="F83" s="142" t="str">
        <f>_xll.qlSimpleQuote(E83,,PriceTickValue,Permanent,Trigger,ObjectOverwrite)</f>
        <v>EURIMMFRA6MQ0_Quote#0000</v>
      </c>
      <c r="G83" s="105" t="str">
        <f>_xll.ohRangeRetrieveError(F83)</f>
        <v/>
      </c>
      <c r="H83" s="141"/>
    </row>
    <row r="84" spans="1:8" x14ac:dyDescent="0.2">
      <c r="A84" s="146"/>
      <c r="B84" s="107">
        <v>79</v>
      </c>
      <c r="C84" s="145" t="b">
        <v>0</v>
      </c>
      <c r="D84" s="144" t="str">
        <v>U0</v>
      </c>
      <c r="E84" s="143" t="str">
        <f t="shared" si="2"/>
        <v>EURIMMFRA6MU0_Quote</v>
      </c>
      <c r="F84" s="142" t="str">
        <f>_xll.qlSimpleQuote(E84,,PriceTickValue,Permanent,Trigger,ObjectOverwrite)</f>
        <v>EURIMMFRA6MU0_Quote#0000</v>
      </c>
      <c r="G84" s="105" t="str">
        <f>_xll.ohRangeRetrieveError(F84)</f>
        <v/>
      </c>
      <c r="H84" s="141"/>
    </row>
    <row r="85" spans="1:8" x14ac:dyDescent="0.2">
      <c r="A85" s="146"/>
      <c r="B85" s="107">
        <v>80</v>
      </c>
      <c r="C85" s="145" t="b">
        <v>0</v>
      </c>
      <c r="D85" s="144" t="str">
        <v>V0</v>
      </c>
      <c r="E85" s="143" t="str">
        <f t="shared" si="2"/>
        <v>EURIMMFRA6MV0_Quote</v>
      </c>
      <c r="F85" s="142" t="str">
        <f>_xll.qlSimpleQuote(E85,,PriceTickValue,Permanent,Trigger,ObjectOverwrite)</f>
        <v>EURIMMFRA6MV0_Quote#0000</v>
      </c>
      <c r="G85" s="105" t="str">
        <f>_xll.ohRangeRetrieveError(F85)</f>
        <v/>
      </c>
      <c r="H85" s="141"/>
    </row>
    <row r="86" spans="1:8" x14ac:dyDescent="0.2">
      <c r="A86" s="146"/>
      <c r="B86" s="107">
        <v>81</v>
      </c>
      <c r="C86" s="145" t="b">
        <v>0</v>
      </c>
      <c r="D86" s="144" t="str">
        <v>X0</v>
      </c>
      <c r="E86" s="143" t="str">
        <f t="shared" si="2"/>
        <v>EURIMMFRA6MX0_Quote</v>
      </c>
      <c r="F86" s="142" t="str">
        <f>_xll.qlSimpleQuote(E86,,PriceTickValue,Permanent,Trigger,ObjectOverwrite)</f>
        <v>EURIMMFRA6MX0_Quote#0000</v>
      </c>
      <c r="G86" s="105" t="str">
        <f>_xll.ohRangeRetrieveError(F86)</f>
        <v/>
      </c>
      <c r="H86" s="141"/>
    </row>
    <row r="87" spans="1:8" x14ac:dyDescent="0.2">
      <c r="A87" s="146"/>
      <c r="B87" s="107">
        <v>82</v>
      </c>
      <c r="C87" s="145" t="b">
        <v>0</v>
      </c>
      <c r="D87" s="144" t="str">
        <v>Z0</v>
      </c>
      <c r="E87" s="143" t="str">
        <f t="shared" si="2"/>
        <v>EURIMMFRA6MZ0_Quote</v>
      </c>
      <c r="F87" s="142" t="str">
        <f>_xll.qlSimpleQuote(E87,,PriceTickValue,Permanent,Trigger,ObjectOverwrite)</f>
        <v>EURIMMFRA6MZ0_Quote#0000</v>
      </c>
      <c r="G87" s="105" t="str">
        <f>_xll.ohRangeRetrieveError(F87)</f>
        <v/>
      </c>
      <c r="H87" s="141"/>
    </row>
    <row r="88" spans="1:8" x14ac:dyDescent="0.2">
      <c r="A88" s="146"/>
      <c r="B88" s="107">
        <v>83</v>
      </c>
      <c r="C88" s="145" t="b">
        <v>0</v>
      </c>
      <c r="D88" s="144" t="str">
        <v>F1</v>
      </c>
      <c r="E88" s="143" t="str">
        <f t="shared" si="2"/>
        <v>EURIMMFRA6MF1_Quote</v>
      </c>
      <c r="F88" s="142" t="str">
        <f>_xll.qlSimpleQuote(E88,,PriceTickValue,Permanent,Trigger,ObjectOverwrite)</f>
        <v>EURIMMFRA6MF1_Quote#0000</v>
      </c>
      <c r="G88" s="105" t="str">
        <f>_xll.ohRangeRetrieveError(F88)</f>
        <v/>
      </c>
      <c r="H88" s="141"/>
    </row>
    <row r="89" spans="1:8" x14ac:dyDescent="0.2">
      <c r="A89" s="146"/>
      <c r="B89" s="107">
        <v>84</v>
      </c>
      <c r="C89" s="145" t="b">
        <v>0</v>
      </c>
      <c r="D89" s="144" t="str">
        <v>G1</v>
      </c>
      <c r="E89" s="143" t="str">
        <f t="shared" si="2"/>
        <v>EURIMMFRA6MG1_Quote</v>
      </c>
      <c r="F89" s="142" t="str">
        <f>_xll.qlSimpleQuote(E89,,PriceTickValue,Permanent,Trigger,ObjectOverwrite)</f>
        <v>EURIMMFRA6MG1_Quote#0000</v>
      </c>
      <c r="G89" s="105" t="str">
        <f>_xll.ohRangeRetrieveError(F89)</f>
        <v/>
      </c>
      <c r="H89" s="141"/>
    </row>
    <row r="90" spans="1:8" x14ac:dyDescent="0.2">
      <c r="A90" s="146"/>
      <c r="B90" s="107">
        <v>85</v>
      </c>
      <c r="C90" s="145" t="b">
        <v>0</v>
      </c>
      <c r="D90" s="144" t="str">
        <v>H1</v>
      </c>
      <c r="E90" s="143" t="str">
        <f t="shared" si="2"/>
        <v>EURIMMFRA6MH1_Quote</v>
      </c>
      <c r="F90" s="142" t="str">
        <f>_xll.qlSimpleQuote(E90,,PriceTickValue,Permanent,Trigger,ObjectOverwrite)</f>
        <v>EURIMMFRA6MH1_Quote#0000</v>
      </c>
      <c r="G90" s="105" t="str">
        <f>_xll.ohRangeRetrieveError(F90)</f>
        <v/>
      </c>
      <c r="H90" s="141"/>
    </row>
    <row r="91" spans="1:8" x14ac:dyDescent="0.2">
      <c r="A91" s="146"/>
      <c r="B91" s="107">
        <v>86</v>
      </c>
      <c r="C91" s="145" t="b">
        <v>0</v>
      </c>
      <c r="D91" s="144" t="str">
        <v>J1</v>
      </c>
      <c r="E91" s="143" t="str">
        <f t="shared" si="2"/>
        <v>EURIMMFRA6MJ1_Quote</v>
      </c>
      <c r="F91" s="142" t="str">
        <f>_xll.qlSimpleQuote(E91,,PriceTickValue,Permanent,Trigger,ObjectOverwrite)</f>
        <v>EURIMMFRA6MJ1_Quote#0000</v>
      </c>
      <c r="G91" s="105" t="str">
        <f>_xll.ohRangeRetrieveError(F91)</f>
        <v/>
      </c>
      <c r="H91" s="141"/>
    </row>
    <row r="92" spans="1:8" x14ac:dyDescent="0.2">
      <c r="A92" s="146"/>
      <c r="B92" s="107">
        <v>87</v>
      </c>
      <c r="C92" s="145" t="b">
        <v>0</v>
      </c>
      <c r="D92" s="144" t="str">
        <v>K1</v>
      </c>
      <c r="E92" s="143" t="str">
        <f t="shared" si="2"/>
        <v>EURIMMFRA6MK1_Quote</v>
      </c>
      <c r="F92" s="142" t="str">
        <f>_xll.qlSimpleQuote(E92,,PriceTickValue,Permanent,Trigger,ObjectOverwrite)</f>
        <v>EURIMMFRA6MK1_Quote#0000</v>
      </c>
      <c r="G92" s="105" t="str">
        <f>_xll.ohRangeRetrieveError(F92)</f>
        <v/>
      </c>
      <c r="H92" s="141"/>
    </row>
    <row r="93" spans="1:8" x14ac:dyDescent="0.2">
      <c r="A93" s="146"/>
      <c r="B93" s="107">
        <v>88</v>
      </c>
      <c r="C93" s="145" t="b">
        <v>0</v>
      </c>
      <c r="D93" s="144" t="str">
        <v>M1</v>
      </c>
      <c r="E93" s="143" t="str">
        <f t="shared" si="2"/>
        <v>EURIMMFRA6MM1_Quote</v>
      </c>
      <c r="F93" s="142" t="str">
        <f>_xll.qlSimpleQuote(E93,,PriceTickValue,Permanent,Trigger,ObjectOverwrite)</f>
        <v>EURIMMFRA6MM1_Quote#0000</v>
      </c>
      <c r="G93" s="105" t="str">
        <f>_xll.ohRangeRetrieveError(F93)</f>
        <v/>
      </c>
      <c r="H93" s="141"/>
    </row>
    <row r="94" spans="1:8" x14ac:dyDescent="0.2">
      <c r="A94" s="146"/>
      <c r="B94" s="107">
        <v>89</v>
      </c>
      <c r="C94" s="145" t="b">
        <v>0</v>
      </c>
      <c r="D94" s="144" t="str">
        <v>N1</v>
      </c>
      <c r="E94" s="143" t="str">
        <f t="shared" si="2"/>
        <v>EURIMMFRA6MN1_Quote</v>
      </c>
      <c r="F94" s="142" t="str">
        <f>_xll.qlSimpleQuote(E94,,PriceTickValue,Permanent,Trigger,ObjectOverwrite)</f>
        <v>EURIMMFRA6MN1_Quote#0000</v>
      </c>
      <c r="G94" s="105" t="str">
        <f>_xll.ohRangeRetrieveError(F94)</f>
        <v/>
      </c>
      <c r="H94" s="141"/>
    </row>
    <row r="95" spans="1:8" x14ac:dyDescent="0.2">
      <c r="A95" s="146"/>
      <c r="B95" s="107">
        <v>90</v>
      </c>
      <c r="C95" s="145" t="b">
        <v>0</v>
      </c>
      <c r="D95" s="144" t="str">
        <v>Q1</v>
      </c>
      <c r="E95" s="143" t="str">
        <f t="shared" si="2"/>
        <v>EURIMMFRA6MQ1_Quote</v>
      </c>
      <c r="F95" s="142" t="str">
        <f>_xll.qlSimpleQuote(E95,,PriceTickValue,Permanent,Trigger,ObjectOverwrite)</f>
        <v>EURIMMFRA6MQ1_Quote#0000</v>
      </c>
      <c r="G95" s="105" t="str">
        <f>_xll.ohRangeRetrieveError(F95)</f>
        <v/>
      </c>
      <c r="H95" s="141"/>
    </row>
    <row r="96" spans="1:8" x14ac:dyDescent="0.2">
      <c r="A96" s="146"/>
      <c r="B96" s="107">
        <v>91</v>
      </c>
      <c r="C96" s="145" t="b">
        <v>0</v>
      </c>
      <c r="D96" s="144" t="str">
        <v>U1</v>
      </c>
      <c r="E96" s="143" t="str">
        <f t="shared" si="2"/>
        <v>EURIMMFRA6MU1_Quote</v>
      </c>
      <c r="F96" s="142" t="str">
        <f>_xll.qlSimpleQuote(E96,,PriceTickValue,Permanent,Trigger,ObjectOverwrite)</f>
        <v>EURIMMFRA6MU1_Quote#0000</v>
      </c>
      <c r="G96" s="105" t="str">
        <f>_xll.ohRangeRetrieveError(F96)</f>
        <v/>
      </c>
      <c r="H96" s="141"/>
    </row>
    <row r="97" spans="1:8" x14ac:dyDescent="0.2">
      <c r="A97" s="146"/>
      <c r="B97" s="107">
        <v>92</v>
      </c>
      <c r="C97" s="145" t="b">
        <v>0</v>
      </c>
      <c r="D97" s="144" t="str">
        <v>V1</v>
      </c>
      <c r="E97" s="143" t="str">
        <f t="shared" si="2"/>
        <v>EURIMMFRA6MV1_Quote</v>
      </c>
      <c r="F97" s="142" t="str">
        <f>_xll.qlSimpleQuote(E97,,PriceTickValue,Permanent,Trigger,ObjectOverwrite)</f>
        <v>EURIMMFRA6MV1_Quote#0000</v>
      </c>
      <c r="G97" s="105" t="str">
        <f>_xll.ohRangeRetrieveError(F97)</f>
        <v/>
      </c>
      <c r="H97" s="141"/>
    </row>
    <row r="98" spans="1:8" x14ac:dyDescent="0.2">
      <c r="A98" s="146"/>
      <c r="B98" s="107">
        <v>93</v>
      </c>
      <c r="C98" s="145" t="b">
        <v>0</v>
      </c>
      <c r="D98" s="144" t="str">
        <v>X1</v>
      </c>
      <c r="E98" s="143" t="str">
        <f t="shared" si="2"/>
        <v>EURIMMFRA6MX1_Quote</v>
      </c>
      <c r="F98" s="142" t="str">
        <f>_xll.qlSimpleQuote(E98,,PriceTickValue,Permanent,Trigger,ObjectOverwrite)</f>
        <v>EURIMMFRA6MX1_Quote#0000</v>
      </c>
      <c r="G98" s="105" t="str">
        <f>_xll.ohRangeRetrieveError(F98)</f>
        <v/>
      </c>
      <c r="H98" s="141"/>
    </row>
    <row r="99" spans="1:8" x14ac:dyDescent="0.2">
      <c r="A99" s="146"/>
      <c r="B99" s="107">
        <v>94</v>
      </c>
      <c r="C99" s="145" t="b">
        <v>0</v>
      </c>
      <c r="D99" s="144" t="str">
        <v>Z1</v>
      </c>
      <c r="E99" s="143" t="str">
        <f t="shared" si="2"/>
        <v>EURIMMFRA6MZ1_Quote</v>
      </c>
      <c r="F99" s="142" t="str">
        <f>_xll.qlSimpleQuote(E99,,PriceTickValue,Permanent,Trigger,ObjectOverwrite)</f>
        <v>EURIMMFRA6MZ1_Quote#0000</v>
      </c>
      <c r="G99" s="105" t="str">
        <f>_xll.ohRangeRetrieveError(F99)</f>
        <v/>
      </c>
      <c r="H99" s="141"/>
    </row>
    <row r="100" spans="1:8" x14ac:dyDescent="0.2">
      <c r="A100" s="146"/>
      <c r="B100" s="107">
        <v>95</v>
      </c>
      <c r="C100" s="145" t="b">
        <v>0</v>
      </c>
      <c r="D100" s="144" t="str">
        <v>F2</v>
      </c>
      <c r="E100" s="143" t="str">
        <f t="shared" si="2"/>
        <v>EURIMMFRA6MF2_Quote</v>
      </c>
      <c r="F100" s="142" t="str">
        <f>_xll.qlSimpleQuote(E100,,PriceTickValue,Permanent,Trigger,ObjectOverwrite)</f>
        <v>EURIMMFRA6MF2_Quote#0000</v>
      </c>
      <c r="G100" s="105" t="str">
        <f>_xll.ohRangeRetrieveError(F100)</f>
        <v/>
      </c>
      <c r="H100" s="141"/>
    </row>
    <row r="101" spans="1:8" x14ac:dyDescent="0.2">
      <c r="A101" s="146"/>
      <c r="B101" s="107">
        <v>96</v>
      </c>
      <c r="C101" s="145" t="b">
        <v>0</v>
      </c>
      <c r="D101" s="144" t="str">
        <v>G2</v>
      </c>
      <c r="E101" s="143" t="str">
        <f t="shared" si="2"/>
        <v>EURIMMFRA6MG2_Quote</v>
      </c>
      <c r="F101" s="142" t="str">
        <f>_xll.qlSimpleQuote(E101,,PriceTickValue,Permanent,Trigger,ObjectOverwrite)</f>
        <v>EURIMMFRA6MG2_Quote#0000</v>
      </c>
      <c r="G101" s="105" t="str">
        <f>_xll.ohRangeRetrieveError(F101)</f>
        <v/>
      </c>
      <c r="H101" s="141"/>
    </row>
    <row r="102" spans="1:8" x14ac:dyDescent="0.2">
      <c r="A102" s="146"/>
      <c r="B102" s="107">
        <v>97</v>
      </c>
      <c r="C102" s="145" t="b">
        <v>0</v>
      </c>
      <c r="D102" s="144" t="str">
        <v>H2</v>
      </c>
      <c r="E102" s="143" t="str">
        <f t="shared" ref="E102:E125" si="3">Currency&amp;$D$4&amp;$E$4&amp;$D102&amp;QuoteSuffix</f>
        <v>EURIMMFRA6MH2_Quote</v>
      </c>
      <c r="F102" s="142" t="str">
        <f>_xll.qlSimpleQuote(E102,,PriceTickValue,Permanent,Trigger,ObjectOverwrite)</f>
        <v>EURIMMFRA6MH2_Quote#0000</v>
      </c>
      <c r="G102" s="105" t="str">
        <f>_xll.ohRangeRetrieveError(F102)</f>
        <v/>
      </c>
      <c r="H102" s="141"/>
    </row>
    <row r="103" spans="1:8" x14ac:dyDescent="0.2">
      <c r="A103" s="146"/>
      <c r="B103" s="107">
        <v>98</v>
      </c>
      <c r="C103" s="145" t="b">
        <v>0</v>
      </c>
      <c r="D103" s="144" t="str">
        <v>J2</v>
      </c>
      <c r="E103" s="143" t="str">
        <f t="shared" si="3"/>
        <v>EURIMMFRA6MJ2_Quote</v>
      </c>
      <c r="F103" s="142" t="str">
        <f>_xll.qlSimpleQuote(E103,,PriceTickValue,Permanent,Trigger,ObjectOverwrite)</f>
        <v>EURIMMFRA6MJ2_Quote#0000</v>
      </c>
      <c r="G103" s="105" t="str">
        <f>_xll.ohRangeRetrieveError(F103)</f>
        <v/>
      </c>
      <c r="H103" s="141"/>
    </row>
    <row r="104" spans="1:8" x14ac:dyDescent="0.2">
      <c r="A104" s="146"/>
      <c r="B104" s="107">
        <v>99</v>
      </c>
      <c r="C104" s="145" t="b">
        <v>0</v>
      </c>
      <c r="D104" s="144" t="str">
        <v>K2</v>
      </c>
      <c r="E104" s="143" t="str">
        <f t="shared" si="3"/>
        <v>EURIMMFRA6MK2_Quote</v>
      </c>
      <c r="F104" s="142" t="str">
        <f>_xll.qlSimpleQuote(E104,,PriceTickValue,Permanent,Trigger,ObjectOverwrite)</f>
        <v>EURIMMFRA6MK2_Quote#0000</v>
      </c>
      <c r="G104" s="105" t="str">
        <f>_xll.ohRangeRetrieveError(F104)</f>
        <v/>
      </c>
      <c r="H104" s="141"/>
    </row>
    <row r="105" spans="1:8" x14ac:dyDescent="0.2">
      <c r="A105" s="146"/>
      <c r="B105" s="107">
        <v>100</v>
      </c>
      <c r="C105" s="145" t="b">
        <v>0</v>
      </c>
      <c r="D105" s="144" t="str">
        <v>M2</v>
      </c>
      <c r="E105" s="143" t="str">
        <f t="shared" si="3"/>
        <v>EURIMMFRA6MM2_Quote</v>
      </c>
      <c r="F105" s="142" t="str">
        <f>_xll.qlSimpleQuote(E105,,PriceTickValue,Permanent,Trigger,ObjectOverwrite)</f>
        <v>EURIMMFRA6MM2_Quote#0000</v>
      </c>
      <c r="G105" s="105" t="str">
        <f>_xll.ohRangeRetrieveError(F105)</f>
        <v/>
      </c>
      <c r="H105" s="141"/>
    </row>
    <row r="106" spans="1:8" x14ac:dyDescent="0.2">
      <c r="A106" s="146"/>
      <c r="B106" s="107">
        <v>101</v>
      </c>
      <c r="C106" s="145" t="b">
        <v>0</v>
      </c>
      <c r="D106" s="144" t="str">
        <v>N2</v>
      </c>
      <c r="E106" s="143" t="str">
        <f t="shared" si="3"/>
        <v>EURIMMFRA6MN2_Quote</v>
      </c>
      <c r="F106" s="142" t="str">
        <f>_xll.qlSimpleQuote(E106,,PriceTickValue,Permanent,Trigger,ObjectOverwrite)</f>
        <v>EURIMMFRA6MN2_Quote#0000</v>
      </c>
      <c r="G106" s="105" t="str">
        <f>_xll.ohRangeRetrieveError(F106)</f>
        <v/>
      </c>
      <c r="H106" s="141"/>
    </row>
    <row r="107" spans="1:8" x14ac:dyDescent="0.2">
      <c r="A107" s="146"/>
      <c r="B107" s="107">
        <v>102</v>
      </c>
      <c r="C107" s="145" t="b">
        <v>0</v>
      </c>
      <c r="D107" s="144" t="str">
        <v>Q2</v>
      </c>
      <c r="E107" s="143" t="str">
        <f t="shared" si="3"/>
        <v>EURIMMFRA6MQ2_Quote</v>
      </c>
      <c r="F107" s="142" t="str">
        <f>_xll.qlSimpleQuote(E107,,PriceTickValue,Permanent,Trigger,ObjectOverwrite)</f>
        <v>EURIMMFRA6MQ2_Quote#0000</v>
      </c>
      <c r="G107" s="105" t="str">
        <f>_xll.ohRangeRetrieveError(F107)</f>
        <v/>
      </c>
      <c r="H107" s="141"/>
    </row>
    <row r="108" spans="1:8" x14ac:dyDescent="0.2">
      <c r="A108" s="146"/>
      <c r="B108" s="107">
        <v>103</v>
      </c>
      <c r="C108" s="145" t="b">
        <v>0</v>
      </c>
      <c r="D108" s="144" t="str">
        <v>U2</v>
      </c>
      <c r="E108" s="143" t="str">
        <f t="shared" si="3"/>
        <v>EURIMMFRA6MU2_Quote</v>
      </c>
      <c r="F108" s="142" t="str">
        <f>_xll.qlSimpleQuote(E108,,PriceTickValue,Permanent,Trigger,ObjectOverwrite)</f>
        <v>EURIMMFRA6MU2_Quote#0000</v>
      </c>
      <c r="G108" s="105" t="str">
        <f>_xll.ohRangeRetrieveError(F108)</f>
        <v/>
      </c>
      <c r="H108" s="141"/>
    </row>
    <row r="109" spans="1:8" x14ac:dyDescent="0.2">
      <c r="A109" s="146"/>
      <c r="B109" s="107">
        <v>104</v>
      </c>
      <c r="C109" s="145" t="b">
        <v>0</v>
      </c>
      <c r="D109" s="144" t="str">
        <v>V2</v>
      </c>
      <c r="E109" s="143" t="str">
        <f t="shared" si="3"/>
        <v>EURIMMFRA6MV2_Quote</v>
      </c>
      <c r="F109" s="142" t="str">
        <f>_xll.qlSimpleQuote(E109,,PriceTickValue,Permanent,Trigger,ObjectOverwrite)</f>
        <v>EURIMMFRA6MV2_Quote#0000</v>
      </c>
      <c r="G109" s="105" t="str">
        <f>_xll.ohRangeRetrieveError(F109)</f>
        <v/>
      </c>
      <c r="H109" s="141"/>
    </row>
    <row r="110" spans="1:8" x14ac:dyDescent="0.2">
      <c r="A110" s="146"/>
      <c r="B110" s="107">
        <v>105</v>
      </c>
      <c r="C110" s="145" t="b">
        <v>0</v>
      </c>
      <c r="D110" s="144" t="str">
        <v>X2</v>
      </c>
      <c r="E110" s="143" t="str">
        <f t="shared" si="3"/>
        <v>EURIMMFRA6MX2_Quote</v>
      </c>
      <c r="F110" s="142" t="str">
        <f>_xll.qlSimpleQuote(E110,,PriceTickValue,Permanent,Trigger,ObjectOverwrite)</f>
        <v>EURIMMFRA6MX2_Quote#0000</v>
      </c>
      <c r="G110" s="105" t="str">
        <f>_xll.ohRangeRetrieveError(F110)</f>
        <v/>
      </c>
      <c r="H110" s="141"/>
    </row>
    <row r="111" spans="1:8" x14ac:dyDescent="0.2">
      <c r="A111" s="146"/>
      <c r="B111" s="107">
        <v>106</v>
      </c>
      <c r="C111" s="145" t="b">
        <v>0</v>
      </c>
      <c r="D111" s="144" t="str">
        <v>Z2</v>
      </c>
      <c r="E111" s="143" t="str">
        <f t="shared" si="3"/>
        <v>EURIMMFRA6MZ2_Quote</v>
      </c>
      <c r="F111" s="142" t="str">
        <f>_xll.qlSimpleQuote(E111,,PriceTickValue,Permanent,Trigger,ObjectOverwrite)</f>
        <v>EURIMMFRA6MZ2_Quote#0000</v>
      </c>
      <c r="G111" s="105" t="str">
        <f>_xll.ohRangeRetrieveError(F111)</f>
        <v/>
      </c>
      <c r="H111" s="141"/>
    </row>
    <row r="112" spans="1:8" x14ac:dyDescent="0.2">
      <c r="A112" s="146"/>
      <c r="B112" s="107">
        <v>107</v>
      </c>
      <c r="C112" s="145" t="b">
        <v>0</v>
      </c>
      <c r="D112" s="144" t="str">
        <v>F3</v>
      </c>
      <c r="E112" s="143" t="str">
        <f t="shared" si="3"/>
        <v>EURIMMFRA6MF3_Quote</v>
      </c>
      <c r="F112" s="142" t="str">
        <f>_xll.qlSimpleQuote(E112,,PriceTickValue,Permanent,Trigger,ObjectOverwrite)</f>
        <v>EURIMMFRA6MF3_Quote#0000</v>
      </c>
      <c r="G112" s="105" t="str">
        <f>_xll.ohRangeRetrieveError(F112)</f>
        <v/>
      </c>
      <c r="H112" s="141"/>
    </row>
    <row r="113" spans="1:8" x14ac:dyDescent="0.2">
      <c r="A113" s="146"/>
      <c r="B113" s="107">
        <v>108</v>
      </c>
      <c r="C113" s="145" t="b">
        <v>0</v>
      </c>
      <c r="D113" s="144" t="str">
        <v>G3</v>
      </c>
      <c r="E113" s="143" t="str">
        <f t="shared" si="3"/>
        <v>EURIMMFRA6MG3_Quote</v>
      </c>
      <c r="F113" s="142" t="str">
        <f>_xll.qlSimpleQuote(E113,,PriceTickValue,Permanent,Trigger,ObjectOverwrite)</f>
        <v>EURIMMFRA6MG3_Quote#0000</v>
      </c>
      <c r="G113" s="105" t="str">
        <f>_xll.ohRangeRetrieveError(F113)</f>
        <v/>
      </c>
      <c r="H113" s="141"/>
    </row>
    <row r="114" spans="1:8" x14ac:dyDescent="0.2">
      <c r="A114" s="146"/>
      <c r="B114" s="107">
        <v>109</v>
      </c>
      <c r="C114" s="145" t="b">
        <v>0</v>
      </c>
      <c r="D114" s="144" t="str">
        <v>H3</v>
      </c>
      <c r="E114" s="143" t="str">
        <f t="shared" si="3"/>
        <v>EURIMMFRA6MH3_Quote</v>
      </c>
      <c r="F114" s="142" t="str">
        <f>_xll.qlSimpleQuote(E114,,PriceTickValue,Permanent,Trigger,ObjectOverwrite)</f>
        <v>EURIMMFRA6MH3_Quote#0000</v>
      </c>
      <c r="G114" s="105" t="str">
        <f>_xll.ohRangeRetrieveError(F114)</f>
        <v/>
      </c>
      <c r="H114" s="141"/>
    </row>
    <row r="115" spans="1:8" x14ac:dyDescent="0.2">
      <c r="A115" s="146"/>
      <c r="B115" s="107">
        <v>110</v>
      </c>
      <c r="C115" s="145" t="b">
        <v>0</v>
      </c>
      <c r="D115" s="144" t="str">
        <v>J3</v>
      </c>
      <c r="E115" s="143" t="str">
        <f t="shared" si="3"/>
        <v>EURIMMFRA6MJ3_Quote</v>
      </c>
      <c r="F115" s="142" t="str">
        <f>_xll.qlSimpleQuote(E115,,PriceTickValue,Permanent,Trigger,ObjectOverwrite)</f>
        <v>EURIMMFRA6MJ3_Quote#0000</v>
      </c>
      <c r="G115" s="105" t="str">
        <f>_xll.ohRangeRetrieveError(F115)</f>
        <v/>
      </c>
      <c r="H115" s="141"/>
    </row>
    <row r="116" spans="1:8" x14ac:dyDescent="0.2">
      <c r="A116" s="146"/>
      <c r="B116" s="107">
        <v>111</v>
      </c>
      <c r="C116" s="145" t="b">
        <v>0</v>
      </c>
      <c r="D116" s="144" t="str">
        <v>K3</v>
      </c>
      <c r="E116" s="143" t="str">
        <f t="shared" si="3"/>
        <v>EURIMMFRA6MK3_Quote</v>
      </c>
      <c r="F116" s="142" t="str">
        <f>_xll.qlSimpleQuote(E116,,PriceTickValue,Permanent,Trigger,ObjectOverwrite)</f>
        <v>EURIMMFRA6MK3_Quote#0000</v>
      </c>
      <c r="G116" s="105" t="str">
        <f>_xll.ohRangeRetrieveError(F116)</f>
        <v/>
      </c>
      <c r="H116" s="141"/>
    </row>
    <row r="117" spans="1:8" x14ac:dyDescent="0.2">
      <c r="A117" s="146"/>
      <c r="B117" s="107">
        <v>112</v>
      </c>
      <c r="C117" s="145" t="b">
        <v>0</v>
      </c>
      <c r="D117" s="144" t="str">
        <v>M3</v>
      </c>
      <c r="E117" s="143" t="str">
        <f t="shared" si="3"/>
        <v>EURIMMFRA6MM3_Quote</v>
      </c>
      <c r="F117" s="142" t="str">
        <f>_xll.qlSimpleQuote(E117,,PriceTickValue,Permanent,Trigger,ObjectOverwrite)</f>
        <v>EURIMMFRA6MM3_Quote#0000</v>
      </c>
      <c r="G117" s="105" t="str">
        <f>_xll.ohRangeRetrieveError(F117)</f>
        <v/>
      </c>
      <c r="H117" s="141"/>
    </row>
    <row r="118" spans="1:8" x14ac:dyDescent="0.2">
      <c r="A118" s="146"/>
      <c r="B118" s="107">
        <v>113</v>
      </c>
      <c r="C118" s="145" t="b">
        <v>0</v>
      </c>
      <c r="D118" s="144" t="str">
        <v>N3</v>
      </c>
      <c r="E118" s="143" t="str">
        <f t="shared" si="3"/>
        <v>EURIMMFRA6MN3_Quote</v>
      </c>
      <c r="F118" s="142" t="str">
        <f>_xll.qlSimpleQuote(E118,,PriceTickValue,Permanent,Trigger,ObjectOverwrite)</f>
        <v>EURIMMFRA6MN3_Quote#0000</v>
      </c>
      <c r="G118" s="105" t="str">
        <f>_xll.ohRangeRetrieveError(F118)</f>
        <v/>
      </c>
      <c r="H118" s="141"/>
    </row>
    <row r="119" spans="1:8" x14ac:dyDescent="0.2">
      <c r="A119" s="146"/>
      <c r="B119" s="107">
        <v>114</v>
      </c>
      <c r="C119" s="145" t="b">
        <v>0</v>
      </c>
      <c r="D119" s="144" t="str">
        <v>Q3</v>
      </c>
      <c r="E119" s="143" t="str">
        <f t="shared" si="3"/>
        <v>EURIMMFRA6MQ3_Quote</v>
      </c>
      <c r="F119" s="142" t="str">
        <f>_xll.qlSimpleQuote(E119,,PriceTickValue,Permanent,Trigger,ObjectOverwrite)</f>
        <v>EURIMMFRA6MQ3_Quote#0000</v>
      </c>
      <c r="G119" s="105" t="str">
        <f>_xll.ohRangeRetrieveError(F119)</f>
        <v/>
      </c>
      <c r="H119" s="141"/>
    </row>
    <row r="120" spans="1:8" x14ac:dyDescent="0.2">
      <c r="A120" s="146"/>
      <c r="B120" s="107">
        <v>115</v>
      </c>
      <c r="C120" s="145" t="b">
        <v>0</v>
      </c>
      <c r="D120" s="144" t="str">
        <v>U3</v>
      </c>
      <c r="E120" s="143" t="str">
        <f t="shared" si="3"/>
        <v>EURIMMFRA6MU3_Quote</v>
      </c>
      <c r="F120" s="142" t="str">
        <f>_xll.qlSimpleQuote(E120,,PriceTickValue,Permanent,Trigger,ObjectOverwrite)</f>
        <v>EURIMMFRA6MU3_Quote#0000</v>
      </c>
      <c r="G120" s="105" t="str">
        <f>_xll.ohRangeRetrieveError(F120)</f>
        <v/>
      </c>
      <c r="H120" s="141"/>
    </row>
    <row r="121" spans="1:8" x14ac:dyDescent="0.2">
      <c r="A121" s="146"/>
      <c r="B121" s="107">
        <v>116</v>
      </c>
      <c r="C121" s="145" t="b">
        <v>0</v>
      </c>
      <c r="D121" s="144" t="str">
        <v>V3</v>
      </c>
      <c r="E121" s="143" t="str">
        <f t="shared" si="3"/>
        <v>EURIMMFRA6MV3_Quote</v>
      </c>
      <c r="F121" s="142" t="str">
        <f>_xll.qlSimpleQuote(E121,,PriceTickValue,Permanent,Trigger,ObjectOverwrite)</f>
        <v>EURIMMFRA6MV3_Quote#0000</v>
      </c>
      <c r="G121" s="105" t="str">
        <f>_xll.ohRangeRetrieveError(F121)</f>
        <v/>
      </c>
      <c r="H121" s="141"/>
    </row>
    <row r="122" spans="1:8" x14ac:dyDescent="0.2">
      <c r="A122" s="146"/>
      <c r="B122" s="107">
        <v>117</v>
      </c>
      <c r="C122" s="145" t="b">
        <v>0</v>
      </c>
      <c r="D122" s="144" t="str">
        <v>X3</v>
      </c>
      <c r="E122" s="143" t="str">
        <f t="shared" si="3"/>
        <v>EURIMMFRA6MX3_Quote</v>
      </c>
      <c r="F122" s="142" t="str">
        <f>_xll.qlSimpleQuote(E122,,PriceTickValue,Permanent,Trigger,ObjectOverwrite)</f>
        <v>EURIMMFRA6MX3_Quote#0000</v>
      </c>
      <c r="G122" s="105" t="str">
        <f>_xll.ohRangeRetrieveError(F122)</f>
        <v/>
      </c>
      <c r="H122" s="141"/>
    </row>
    <row r="123" spans="1:8" x14ac:dyDescent="0.2">
      <c r="A123" s="146"/>
      <c r="B123" s="107">
        <v>118</v>
      </c>
      <c r="C123" s="145" t="b">
        <v>0</v>
      </c>
      <c r="D123" s="144" t="str">
        <v>Z3</v>
      </c>
      <c r="E123" s="143" t="str">
        <f t="shared" si="3"/>
        <v>EURIMMFRA6MZ3_Quote</v>
      </c>
      <c r="F123" s="142" t="str">
        <f>_xll.qlSimpleQuote(E123,,PriceTickValue,Permanent,Trigger,ObjectOverwrite)</f>
        <v>EURIMMFRA6MZ3_Quote#0000</v>
      </c>
      <c r="G123" s="105" t="str">
        <f>_xll.ohRangeRetrieveError(F123)</f>
        <v/>
      </c>
      <c r="H123" s="141"/>
    </row>
    <row r="124" spans="1:8" x14ac:dyDescent="0.2">
      <c r="A124" s="146"/>
      <c r="B124" s="107">
        <v>119</v>
      </c>
      <c r="C124" s="145" t="b">
        <v>0</v>
      </c>
      <c r="D124" s="144" t="str">
        <v>F4</v>
      </c>
      <c r="E124" s="143" t="str">
        <f t="shared" si="3"/>
        <v>EURIMMFRA6MF4_Quote</v>
      </c>
      <c r="F124" s="142" t="str">
        <f>_xll.qlSimpleQuote(E124,,PriceTickValue,Permanent,Trigger,ObjectOverwrite)</f>
        <v>EURIMMFRA6MF4_Quote#0000</v>
      </c>
      <c r="G124" s="105" t="str">
        <f>_xll.ohRangeRetrieveError(F124)</f>
        <v/>
      </c>
      <c r="H124" s="141"/>
    </row>
    <row r="125" spans="1:8" x14ac:dyDescent="0.2">
      <c r="A125" s="146"/>
      <c r="B125" s="107">
        <v>120</v>
      </c>
      <c r="C125" s="145" t="b">
        <v>0</v>
      </c>
      <c r="D125" s="144" t="str">
        <v>G4</v>
      </c>
      <c r="E125" s="143" t="str">
        <f t="shared" si="3"/>
        <v>EURIMMFRA6MG4_Quote</v>
      </c>
      <c r="F125" s="142" t="str">
        <f>_xll.qlSimpleQuote(E125,,PriceTickValue,Permanent,Trigger,ObjectOverwrite)</f>
        <v>EURIMMFRA6MG4_Quote#0000</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88" t="s">
        <v>293</v>
      </c>
      <c r="H1" s="199"/>
      <c r="I1" s="199"/>
      <c r="J1" s="199"/>
      <c r="K1" s="199"/>
      <c r="L1" s="199"/>
      <c r="M1" s="199"/>
      <c r="N1" s="199"/>
      <c r="O1" s="199"/>
      <c r="P1" s="199"/>
      <c r="Q1" s="199"/>
      <c r="R1" s="196"/>
      <c r="S1" s="17"/>
      <c r="T1" s="17"/>
      <c r="U1" s="17"/>
      <c r="V1" s="17"/>
    </row>
    <row r="2" spans="1:22" x14ac:dyDescent="0.2">
      <c r="G2" s="287"/>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7"/>
      <c r="H3" s="137"/>
      <c r="I3" s="137"/>
      <c r="J3" s="137"/>
      <c r="K3" s="137"/>
      <c r="L3" s="137"/>
      <c r="M3" s="137"/>
      <c r="N3" s="137"/>
      <c r="O3" s="137"/>
      <c r="P3" s="137"/>
      <c r="Q3" s="284">
        <f>_xll.ohTrigger(Q5:Q9)</f>
        <v>1</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7"/>
      <c r="H4" s="337" t="e">
        <f ca="1">_xll.RData(H5,I4,,ReutersRtMode,,I5)</f>
        <v>#NAME?</v>
      </c>
      <c r="I4" s="365" t="s">
        <v>243</v>
      </c>
      <c r="J4" s="356"/>
      <c r="K4" s="589" t="s">
        <v>263</v>
      </c>
      <c r="L4" s="590"/>
      <c r="M4" s="356"/>
      <c r="N4" s="281" t="s">
        <v>239</v>
      </c>
      <c r="O4" s="354"/>
      <c r="P4" s="410"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EURHW_Volatility_Quote#0000</v>
      </c>
      <c r="D5" s="105" t="str">
        <f>_xll.ohRangeRetrieveError(C5)</f>
        <v/>
      </c>
      <c r="E5" s="161"/>
      <c r="G5" s="287"/>
      <c r="H5" s="364" t="str">
        <f>VLOOKUP(Currency,$T$5:$V$9,2)&amp;U3&amp;VLOOKUP(Currency,$T$5:$V$9,3)&amp;"ATM="&amp;VLOOKUP(Contributor,ContributorTable,2,FALSE)</f>
        <v>EU4Y6LATM=ICAP</v>
      </c>
      <c r="I5" s="363">
        <v>65.53</v>
      </c>
      <c r="J5" s="356"/>
      <c r="K5" s="275" t="s">
        <v>262</v>
      </c>
      <c r="L5" s="361">
        <f>I5/100*IF(ISNUMBER(Swap3M4Y),Swap3M4Y/100,Swap6M4Y/100)*0</f>
        <v>0</v>
      </c>
      <c r="M5" s="356"/>
      <c r="N5" s="362">
        <v>0</v>
      </c>
      <c r="O5" s="354"/>
      <c r="P5" s="272">
        <f t="array" ref="P5:P6">QuoteStatic</f>
        <v>0</v>
      </c>
      <c r="Q5" s="361" t="e">
        <f>_xll.qlSimpleQuoteSetValue(C5,ROUND(P5,6),Trigger)</f>
        <v>#N/A</v>
      </c>
      <c r="R5" s="49"/>
      <c r="S5" s="17"/>
      <c r="T5" s="89" t="s">
        <v>124</v>
      </c>
      <c r="U5" s="360" t="s">
        <v>261</v>
      </c>
      <c r="V5" s="359" t="s">
        <v>119</v>
      </c>
    </row>
    <row r="6" spans="1:22" x14ac:dyDescent="0.2">
      <c r="A6" s="163"/>
      <c r="B6" s="162" t="str">
        <f>Currency&amp;"HW_MeanReversion"&amp;QuoteSuffix</f>
        <v>EURHW_MeanReversion_Quote</v>
      </c>
      <c r="C6" s="162" t="str">
        <f>_xll.qlSimpleQuote(B6,,,Permanent,Trigger,ObjectOverwrite)</f>
        <v>EURHW_MeanReversion_Quote#0000</v>
      </c>
      <c r="D6" s="105" t="str">
        <f>_xll.ohRangeRetrieveError(C6)</f>
        <v/>
      </c>
      <c r="E6" s="161"/>
      <c r="G6" s="287"/>
      <c r="H6" s="353"/>
      <c r="I6" s="358"/>
      <c r="J6" s="356"/>
      <c r="K6" s="357" t="s">
        <v>260</v>
      </c>
      <c r="L6" s="352">
        <v>0.03</v>
      </c>
      <c r="M6" s="356"/>
      <c r="N6" s="355">
        <v>0.03</v>
      </c>
      <c r="O6" s="354"/>
      <c r="P6" s="411">
        <v>0.03</v>
      </c>
      <c r="Q6" s="352" t="e">
        <f>_xll.qlSimpleQuoteSetValue(C6,ROUND(P6,6),Trigger)</f>
        <v>#N/A</v>
      </c>
      <c r="R6" s="49"/>
      <c r="S6" s="17"/>
      <c r="T6" s="86" t="s">
        <v>110</v>
      </c>
      <c r="U6" s="314" t="s">
        <v>259</v>
      </c>
      <c r="V6" s="351" t="s">
        <v>119</v>
      </c>
    </row>
    <row r="7" spans="1:22" ht="12" thickBot="1" x14ac:dyDescent="0.25">
      <c r="A7" s="160"/>
      <c r="B7" s="159"/>
      <c r="C7" s="159"/>
      <c r="D7" s="159"/>
      <c r="E7" s="158"/>
      <c r="G7" s="48"/>
      <c r="H7" s="47"/>
      <c r="I7" s="47"/>
      <c r="J7" s="47"/>
      <c r="K7" s="47"/>
      <c r="L7" s="47"/>
      <c r="M7" s="47"/>
      <c r="N7" s="47"/>
      <c r="O7" s="47"/>
      <c r="P7" s="47"/>
      <c r="Q7" s="47"/>
      <c r="R7" s="46"/>
      <c r="S7" s="17"/>
      <c r="T7" s="86" t="s">
        <v>121</v>
      </c>
      <c r="U7" s="314" t="s">
        <v>258</v>
      </c>
      <c r="V7" s="351" t="s">
        <v>117</v>
      </c>
    </row>
    <row r="8" spans="1:22" x14ac:dyDescent="0.2">
      <c r="G8" s="17"/>
      <c r="H8" s="17"/>
      <c r="I8" s="17"/>
      <c r="J8" s="17"/>
      <c r="K8" s="17"/>
      <c r="L8" s="17"/>
      <c r="M8" s="17"/>
      <c r="N8" s="17"/>
      <c r="O8" s="17"/>
      <c r="P8" s="17"/>
      <c r="Q8" s="17"/>
      <c r="R8" s="17"/>
      <c r="S8" s="17"/>
      <c r="T8" s="86" t="s">
        <v>120</v>
      </c>
      <c r="U8" s="314" t="s">
        <v>257</v>
      </c>
      <c r="V8" s="351" t="s">
        <v>119</v>
      </c>
    </row>
    <row r="9" spans="1:22" ht="12" thickBot="1" x14ac:dyDescent="0.25">
      <c r="G9" s="17"/>
      <c r="H9" s="17"/>
      <c r="I9" s="17"/>
      <c r="J9" s="17"/>
      <c r="K9" s="17"/>
      <c r="L9" s="17"/>
      <c r="M9" s="17"/>
      <c r="N9" s="17"/>
      <c r="O9" s="17"/>
      <c r="P9" s="17"/>
      <c r="Q9" s="17"/>
      <c r="R9" s="17"/>
      <c r="S9" s="17"/>
      <c r="T9" s="83" t="s">
        <v>118</v>
      </c>
      <c r="U9" s="350" t="s">
        <v>256</v>
      </c>
      <c r="V9" s="349"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AH2000"/>
  <sheetViews>
    <sheetView tabSelected="1" topLeftCell="T4" workbookViewId="0">
      <selection activeCell="Y5" sqref="Y5"/>
    </sheetView>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1" width="3.85546875" style="165" bestFit="1" customWidth="1"/>
    <col min="12" max="12" width="4" style="165" bestFit="1" customWidth="1"/>
    <col min="13"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29" width="9.140625" style="165"/>
    <col min="30" max="30" width="37.28515625" style="165" bestFit="1" customWidth="1"/>
    <col min="31" max="31" width="37.28515625" style="165" customWidth="1"/>
    <col min="32" max="32" width="13.7109375" style="165" bestFit="1" customWidth="1"/>
    <col min="33" max="16384" width="9.140625" style="165"/>
  </cols>
  <sheetData>
    <row r="1" spans="1:34" x14ac:dyDescent="0.25">
      <c r="J1" s="315" t="s">
        <v>321</v>
      </c>
      <c r="K1" s="199"/>
      <c r="L1" s="199"/>
      <c r="M1" s="199"/>
      <c r="N1" s="199"/>
      <c r="O1" s="199"/>
      <c r="P1" s="199"/>
      <c r="Q1" s="199"/>
      <c r="R1" s="199"/>
      <c r="S1" s="199"/>
      <c r="T1" s="199"/>
      <c r="U1" s="199"/>
      <c r="V1" s="199"/>
      <c r="W1" s="199"/>
      <c r="X1" s="199"/>
      <c r="Y1" s="199"/>
      <c r="Z1" s="196"/>
      <c r="AD1" s="165" t="str">
        <f t="array" ref="AD1:AD2000">_xll.ohRepositoryListObjectIDs()</f>
        <v>Eonia</v>
      </c>
      <c r="AE1" s="165" t="s">
        <v>1559</v>
      </c>
      <c r="AF1" s="165">
        <f>_xll.ohObjectCreationTime(AE1)</f>
        <v>41709.40217577546</v>
      </c>
    </row>
    <row r="2" spans="1:34" ht="14.25" thickBot="1" x14ac:dyDescent="0.3">
      <c r="J2" s="287"/>
      <c r="K2" s="137"/>
      <c r="L2" s="137"/>
      <c r="M2" s="137"/>
      <c r="N2" s="137"/>
      <c r="O2" s="144" t="s">
        <v>222</v>
      </c>
      <c r="P2" s="137"/>
      <c r="Q2" s="137"/>
      <c r="R2" s="137"/>
      <c r="S2" s="137"/>
      <c r="T2" s="137"/>
      <c r="U2" s="253"/>
      <c r="V2" s="253"/>
      <c r="W2" s="253"/>
      <c r="X2" s="253"/>
      <c r="Y2" s="253"/>
      <c r="Z2" s="49"/>
      <c r="AD2" s="165" t="str">
        <v>Eonia2</v>
      </c>
      <c r="AE2" s="165" t="s">
        <v>1235</v>
      </c>
      <c r="AF2" s="165">
        <f>_xll.ohObjectCreationTime(AE2)</f>
        <v>41709.402175787036</v>
      </c>
      <c r="AH2" s="165" t="s">
        <v>322</v>
      </c>
    </row>
    <row r="3" spans="1:34"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 ca="1">_xll.ohTrigger(Y5:Y37)</f>
        <v>35</v>
      </c>
      <c r="Z3" s="217"/>
      <c r="AD3" s="165" t="str">
        <v>EoniaLastFixing_Quote</v>
      </c>
      <c r="AE3" s="165" t="s">
        <v>1560</v>
      </c>
      <c r="AF3" s="165">
        <f>_xll.ohObjectCreationTime(AE3)</f>
        <v>41709.402175810188</v>
      </c>
      <c r="AH3" s="165">
        <f>_xll.ohObjectSave(AE1:AE1792,AH2,TRUE)</f>
        <v>1792</v>
      </c>
    </row>
    <row r="4" spans="1:34" x14ac:dyDescent="0.25">
      <c r="A4" s="176"/>
      <c r="B4" s="186"/>
      <c r="C4" s="186"/>
      <c r="D4" s="185"/>
      <c r="E4" s="184" t="str">
        <f>Currency&amp;"_010_"&amp;"OIS.xml"</f>
        <v>EUR_010_OIS.xml</v>
      </c>
      <c r="F4" s="183">
        <f ca="1">IF(Serialize,_xll.ohObjectSave(_xll.ohPack(F5:F77),SerializationPath&amp;E4,FileOverwrite,Serialize),"---")</f>
        <v>46</v>
      </c>
      <c r="G4" s="182" t="str">
        <f ca="1">_xll.ohRangeRetrieveError(F4)</f>
        <v/>
      </c>
      <c r="H4" s="171"/>
      <c r="J4" s="122"/>
      <c r="K4" s="369"/>
      <c r="L4" s="194"/>
      <c r="M4" s="194"/>
      <c r="N4" s="194"/>
      <c r="O4" s="283" t="e">
        <f ca="1">_xll.RData(O5:O40,P4:S4,,ReutersRtMode,,P5)</f>
        <v>#NAME?</v>
      </c>
      <c r="P4" s="313" t="s">
        <v>243</v>
      </c>
      <c r="Q4" s="313" t="s">
        <v>212</v>
      </c>
      <c r="R4" s="313" t="s">
        <v>227</v>
      </c>
      <c r="S4" s="313" t="s">
        <v>242</v>
      </c>
      <c r="T4" s="279" t="s">
        <v>241</v>
      </c>
      <c r="U4" s="253"/>
      <c r="V4" s="281" t="s">
        <v>239</v>
      </c>
      <c r="W4" s="253"/>
      <c r="X4" s="406" t="s">
        <v>237</v>
      </c>
      <c r="Y4" s="94" t="s">
        <v>236</v>
      </c>
      <c r="Z4" s="217"/>
      <c r="AD4" s="165" t="str">
        <v>EUR10MD_Quote</v>
      </c>
      <c r="AE4" s="165" t="s">
        <v>1237</v>
      </c>
      <c r="AF4" s="165">
        <f>_xll.ohObjectCreationTime(AE4)</f>
        <v>41709.402175821757</v>
      </c>
    </row>
    <row r="5" spans="1:34"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EUREONSW_Quote#0000</v>
      </c>
      <c r="G5" s="172" t="str">
        <f>_xll.ohRangeRetrieveError(F5)</f>
        <v/>
      </c>
      <c r="H5" s="171"/>
      <c r="J5" s="122"/>
      <c r="K5" s="384" t="s">
        <v>35</v>
      </c>
      <c r="L5" s="300" t="s">
        <v>180</v>
      </c>
      <c r="M5" s="300"/>
      <c r="N5" s="298" t="str">
        <f>Currency&amp;$L5&amp;$K5&amp;$M5</f>
        <v>EUREONSW</v>
      </c>
      <c r="O5" s="298" t="str">
        <f t="shared" ref="O5:O40" si="1">N5&amp;"="&amp;VLOOKUP(Contributor,ContributorTable,2,FALSE)</f>
        <v>EUREONSW=ICAP</v>
      </c>
      <c r="P5" s="259">
        <v>5.8000000000000003E-2</v>
      </c>
      <c r="Q5" s="259">
        <v>0.158</v>
      </c>
      <c r="R5" s="259">
        <v>0</v>
      </c>
      <c r="S5" s="259">
        <v>0</v>
      </c>
      <c r="T5" s="262">
        <f t="shared" ref="T5:T40" si="2">AVERAGE($P5,$Q5)</f>
        <v>0.108</v>
      </c>
      <c r="U5" s="253"/>
      <c r="V5" s="273">
        <v>0.19900000000000001</v>
      </c>
      <c r="W5" s="253"/>
      <c r="X5" s="331">
        <f t="array" ref="X5:X40">QuoteStatic</f>
        <v>0.19900000000000001</v>
      </c>
      <c r="Y5" s="270">
        <f ca="1">_xll.qlSimpleQuoteSetValue(F5,X5/100+$AB$6)</f>
        <v>-4.4867918434081562E-4</v>
      </c>
      <c r="Z5" s="217"/>
      <c r="AB5" s="259">
        <f ca="1">RAND()</f>
        <v>0.53593477382535104</v>
      </c>
      <c r="AD5" s="165" t="str">
        <v>EUR10MD_SYNTH1Y_Quote</v>
      </c>
      <c r="AE5" s="165" t="s">
        <v>1240</v>
      </c>
      <c r="AF5" s="165">
        <f>_xll.ohObjectCreationTime(AE5)</f>
        <v>41709.402175833333</v>
      </c>
    </row>
    <row r="6" spans="1:34" x14ac:dyDescent="0.25">
      <c r="A6" s="176"/>
      <c r="B6" s="175"/>
      <c r="C6" s="175" t="s">
        <v>180</v>
      </c>
      <c r="D6" s="181" t="s">
        <v>34</v>
      </c>
      <c r="E6" s="173" t="str">
        <f t="shared" si="0"/>
        <v>EUREON2W_Quote</v>
      </c>
      <c r="F6" s="173" t="str">
        <f>_xll.qlSimpleQuote(Currency&amp;$B6&amp;$C6&amp;$D6&amp;QuoteSuffix,,RateTickValue,Permanent,Trigger,ObjectOverwrite)</f>
        <v>EUREON2W_Quote#0000</v>
      </c>
      <c r="G6" s="172" t="str">
        <f>_xll.ohRangeRetrieveError(F6)</f>
        <v/>
      </c>
      <c r="H6" s="171"/>
      <c r="J6" s="122"/>
      <c r="K6" s="384" t="s">
        <v>34</v>
      </c>
      <c r="L6" s="300" t="s">
        <v>180</v>
      </c>
      <c r="M6" s="300"/>
      <c r="N6" s="298" t="str">
        <f t="shared" ref="N6:N40" si="3">Currency&amp;$L6&amp;$M6&amp;$K6</f>
        <v>EUREON2W</v>
      </c>
      <c r="O6" s="298" t="str">
        <f t="shared" si="1"/>
        <v>EUREON2W=ICAP</v>
      </c>
      <c r="P6" s="259">
        <v>5.6000000000000001E-2</v>
      </c>
      <c r="Q6" s="259">
        <v>0.156</v>
      </c>
      <c r="R6" s="259">
        <v>0</v>
      </c>
      <c r="S6" s="259">
        <v>0</v>
      </c>
      <c r="T6" s="262">
        <f t="shared" si="2"/>
        <v>0.106</v>
      </c>
      <c r="U6" s="253"/>
      <c r="V6" s="261">
        <v>0.21</v>
      </c>
      <c r="W6" s="253"/>
      <c r="X6" s="324">
        <v>0.21</v>
      </c>
      <c r="Y6" s="258">
        <f ca="1">_xll.qlSimpleQuoteSetValue(F6,X6/100+$AB$6)</f>
        <v>-4.4867918434081562E-4</v>
      </c>
      <c r="Z6" s="217"/>
      <c r="AB6" s="259">
        <f ca="1">AB5*0.001</f>
        <v>5.3593477382535108E-4</v>
      </c>
      <c r="AD6" s="165" t="str">
        <v>EUR10x16F_Quote</v>
      </c>
      <c r="AE6" s="165" t="s">
        <v>1234</v>
      </c>
      <c r="AF6" s="165">
        <f>_xll.ohObjectCreationTime(AE6)</f>
        <v>41709.402175844909</v>
      </c>
    </row>
    <row r="7" spans="1:34" x14ac:dyDescent="0.25">
      <c r="A7" s="176"/>
      <c r="B7" s="175"/>
      <c r="C7" s="175" t="s">
        <v>180</v>
      </c>
      <c r="D7" s="181" t="s">
        <v>33</v>
      </c>
      <c r="E7" s="173" t="str">
        <f t="shared" si="0"/>
        <v>EUREON3W_Quote</v>
      </c>
      <c r="F7" s="173" t="str">
        <f>_xll.qlSimpleQuote(Currency&amp;$B7&amp;$C7&amp;$D7&amp;QuoteSuffix,,RateTickValue,Permanent,Trigger,ObjectOverwrite)</f>
        <v>EUREON3W_Quote#0000</v>
      </c>
      <c r="G7" s="172" t="str">
        <f>_xll.ohRangeRetrieveError(F7)</f>
        <v/>
      </c>
      <c r="H7" s="171"/>
      <c r="J7" s="122"/>
      <c r="K7" s="384" t="s">
        <v>33</v>
      </c>
      <c r="L7" s="300" t="s">
        <v>180</v>
      </c>
      <c r="M7" s="300"/>
      <c r="N7" s="298" t="str">
        <f t="shared" si="3"/>
        <v>EUREON3W</v>
      </c>
      <c r="O7" s="298" t="str">
        <f t="shared" si="1"/>
        <v>EUREON3W=ICAP</v>
      </c>
      <c r="P7" s="259">
        <v>5.6000000000000001E-2</v>
      </c>
      <c r="Q7" s="259">
        <v>0.156</v>
      </c>
      <c r="R7" s="259">
        <v>0</v>
      </c>
      <c r="S7" s="259">
        <v>0</v>
      </c>
      <c r="T7" s="262">
        <f t="shared" si="2"/>
        <v>0.106</v>
      </c>
      <c r="U7" s="253"/>
      <c r="V7" s="261">
        <v>0.20399999999999999</v>
      </c>
      <c r="W7" s="253"/>
      <c r="X7" s="324">
        <v>0.20399999999999999</v>
      </c>
      <c r="Y7" s="258">
        <f ca="1">_xll.qlSimpleQuoteSetValue(F7,X7/100+$AB$6)</f>
        <v>-4.4867918434081562E-4</v>
      </c>
      <c r="Z7" s="217"/>
      <c r="AD7" s="165" t="str">
        <v>EUR10X1S_Quote</v>
      </c>
      <c r="AE7" s="165" t="s">
        <v>1233</v>
      </c>
      <c r="AF7" s="165">
        <f>_xll.ohObjectCreationTime(AE7)</f>
        <v>41709.402175868054</v>
      </c>
    </row>
    <row r="8" spans="1:34" x14ac:dyDescent="0.25">
      <c r="A8" s="176"/>
      <c r="B8" s="175"/>
      <c r="C8" s="175" t="s">
        <v>180</v>
      </c>
      <c r="D8" s="181" t="s">
        <v>32</v>
      </c>
      <c r="E8" s="173" t="str">
        <f t="shared" si="0"/>
        <v>EUREON1M_Quote</v>
      </c>
      <c r="F8" s="173" t="str">
        <f>_xll.qlSimpleQuote(Currency&amp;$B8&amp;$C8&amp;$D8&amp;QuoteSuffix,,RateTickValue,Permanent,Trigger,ObjectOverwrite)</f>
        <v>EUREON1M_Quote#0000</v>
      </c>
      <c r="G8" s="172" t="str">
        <f>_xll.ohRangeRetrieveError(F8)</f>
        <v/>
      </c>
      <c r="H8" s="171"/>
      <c r="J8" s="122"/>
      <c r="K8" s="384" t="s">
        <v>32</v>
      </c>
      <c r="L8" s="300" t="s">
        <v>180</v>
      </c>
      <c r="M8" s="300"/>
      <c r="N8" s="298" t="str">
        <f t="shared" si="3"/>
        <v>EUREON1M</v>
      </c>
      <c r="O8" s="298" t="str">
        <f t="shared" si="1"/>
        <v>EUREON1M=ICAP</v>
      </c>
      <c r="P8" s="259">
        <v>8.1000000000000003E-2</v>
      </c>
      <c r="Q8" s="259">
        <v>0.13100000000000001</v>
      </c>
      <c r="R8" s="259">
        <v>0</v>
      </c>
      <c r="S8" s="259">
        <v>0</v>
      </c>
      <c r="T8" s="262">
        <f t="shared" si="2"/>
        <v>0.10600000000000001</v>
      </c>
      <c r="U8" s="253"/>
      <c r="V8" s="261">
        <v>0.19600000000000001</v>
      </c>
      <c r="W8" s="253"/>
      <c r="X8" s="324">
        <v>0.19600000000000001</v>
      </c>
      <c r="Y8" s="258">
        <f ca="1">_xll.qlSimpleQuoteSetValue(F8,X8/100+$AB$6)</f>
        <v>-4.4867918434081562E-4</v>
      </c>
      <c r="Z8" s="217"/>
      <c r="AB8" s="165" t="b">
        <f ca="1">_xll.ohLogWriteMessage("************ CALC " &amp; AB6,,AB6)</f>
        <v>1</v>
      </c>
      <c r="AD8" s="165" t="str">
        <v>EUR10x22F_SYNTH1Y_Quote</v>
      </c>
      <c r="AE8" s="165" t="s">
        <v>1597</v>
      </c>
      <c r="AF8" s="165">
        <f>_xll.ohObjectCreationTime(AE8)</f>
        <v>41709.40217587963</v>
      </c>
    </row>
    <row r="9" spans="1:34" x14ac:dyDescent="0.25">
      <c r="A9" s="176"/>
      <c r="B9" s="175"/>
      <c r="C9" s="175" t="s">
        <v>180</v>
      </c>
      <c r="D9" s="181" t="s">
        <v>31</v>
      </c>
      <c r="E9" s="173" t="str">
        <f t="shared" si="0"/>
        <v>EUREON2M_Quote</v>
      </c>
      <c r="F9" s="173" t="str">
        <f>_xll.qlSimpleQuote(Currency&amp;$B9&amp;$C9&amp;$D9&amp;QuoteSuffix,,RateTickValue,Permanent,Trigger,ObjectOverwrite)</f>
        <v>EUREON2M_Quote#0000</v>
      </c>
      <c r="G9" s="172" t="str">
        <f>_xll.ohRangeRetrieveError(F9)</f>
        <v/>
      </c>
      <c r="H9" s="171"/>
      <c r="J9" s="122"/>
      <c r="K9" s="384" t="s">
        <v>31</v>
      </c>
      <c r="L9" s="300" t="s">
        <v>180</v>
      </c>
      <c r="M9" s="300"/>
      <c r="N9" s="298" t="str">
        <f t="shared" si="3"/>
        <v>EUREON2M</v>
      </c>
      <c r="O9" s="298" t="str">
        <f t="shared" si="1"/>
        <v>EUREON2M=ICAP</v>
      </c>
      <c r="P9" s="259">
        <v>8.5999999999999993E-2</v>
      </c>
      <c r="Q9" s="259">
        <v>0.13600000000000001</v>
      </c>
      <c r="R9" s="259">
        <v>0</v>
      </c>
      <c r="S9" s="259">
        <v>0</v>
      </c>
      <c r="T9" s="262">
        <f t="shared" si="2"/>
        <v>0.111</v>
      </c>
      <c r="U9" s="253"/>
      <c r="V9" s="261">
        <v>0.193</v>
      </c>
      <c r="W9" s="253"/>
      <c r="X9" s="324">
        <v>0.193</v>
      </c>
      <c r="Y9" s="258">
        <f ca="1">_xll.qlSimpleQuoteSetValue(F9,X9/100+$AB$6)</f>
        <v>-4.4867918434081562E-4</v>
      </c>
      <c r="Z9" s="217"/>
      <c r="AD9" s="165" t="str">
        <v>EUR11MD_Quote</v>
      </c>
      <c r="AE9" s="165" t="s">
        <v>1558</v>
      </c>
      <c r="AF9" s="165">
        <f>_xll.ohObjectCreationTime(AE9)</f>
        <v>41709.402175891206</v>
      </c>
    </row>
    <row r="10" spans="1:34" x14ac:dyDescent="0.25">
      <c r="A10" s="176"/>
      <c r="B10" s="175"/>
      <c r="C10" s="175" t="s">
        <v>180</v>
      </c>
      <c r="D10" s="181" t="s">
        <v>30</v>
      </c>
      <c r="E10" s="173" t="str">
        <f t="shared" si="0"/>
        <v>EUREON3M_Quote</v>
      </c>
      <c r="F10" s="173" t="str">
        <f>_xll.qlSimpleQuote(Currency&amp;$B10&amp;$C10&amp;$D10&amp;QuoteSuffix,,RateTickValue,Permanent,Trigger,ObjectOverwrite)</f>
        <v>EUREON3M_Quote#0000</v>
      </c>
      <c r="G10" s="172" t="str">
        <f>_xll.ohRangeRetrieveError(F10)</f>
        <v/>
      </c>
      <c r="H10" s="171"/>
      <c r="J10" s="122"/>
      <c r="K10" s="384" t="s">
        <v>30</v>
      </c>
      <c r="L10" s="300" t="s">
        <v>180</v>
      </c>
      <c r="M10" s="300"/>
      <c r="N10" s="298" t="str">
        <f t="shared" si="3"/>
        <v>EUREON3M</v>
      </c>
      <c r="O10" s="298" t="str">
        <f t="shared" si="1"/>
        <v>EUREON3M=ICAP</v>
      </c>
      <c r="P10" s="259">
        <v>0.09</v>
      </c>
      <c r="Q10" s="259">
        <v>0.14000000000000001</v>
      </c>
      <c r="R10" s="259">
        <v>0</v>
      </c>
      <c r="S10" s="259">
        <v>0</v>
      </c>
      <c r="T10" s="262">
        <f t="shared" si="2"/>
        <v>0.115</v>
      </c>
      <c r="U10" s="253"/>
      <c r="V10" s="261">
        <v>0.19</v>
      </c>
      <c r="W10" s="253"/>
      <c r="X10" s="324">
        <v>0.19</v>
      </c>
      <c r="Y10" s="258">
        <f ca="1">_xll.qlSimpleQuoteSetValue(F10,X10/100+$AB$6)</f>
        <v>-4.4867918434081562E-4</v>
      </c>
      <c r="Z10" s="217"/>
      <c r="AB10" s="165">
        <f>_xll.ohRepositoryObjectCount()</f>
        <v>1792</v>
      </c>
      <c r="AD10" s="165" t="str">
        <v>EUR11MD_SYNTH1Y_Quote</v>
      </c>
      <c r="AE10" s="165" t="s">
        <v>1556</v>
      </c>
      <c r="AF10" s="165">
        <f>_xll.ohObjectCreationTime(AE10)</f>
        <v>41709.402175902775</v>
      </c>
    </row>
    <row r="11" spans="1:34" x14ac:dyDescent="0.25">
      <c r="A11" s="176"/>
      <c r="B11" s="175"/>
      <c r="C11" s="175" t="s">
        <v>180</v>
      </c>
      <c r="D11" s="181" t="s">
        <v>29</v>
      </c>
      <c r="E11" s="173" t="str">
        <f t="shared" si="0"/>
        <v>EUREON4M_Quote</v>
      </c>
      <c r="F11" s="173" t="str">
        <f>_xll.qlSimpleQuote(Currency&amp;$B11&amp;$C11&amp;$D11&amp;QuoteSuffix,,RateTickValue,Permanent,Trigger,ObjectOverwrite)</f>
        <v>EUREON4M_Quote#0000</v>
      </c>
      <c r="G11" s="172" t="str">
        <f>_xll.ohRangeRetrieveError(F11)</f>
        <v/>
      </c>
      <c r="H11" s="171"/>
      <c r="J11" s="122"/>
      <c r="K11" s="384" t="s">
        <v>29</v>
      </c>
      <c r="L11" s="300" t="s">
        <v>180</v>
      </c>
      <c r="M11" s="300"/>
      <c r="N11" s="298" t="str">
        <f t="shared" si="3"/>
        <v>EUREON4M</v>
      </c>
      <c r="O11" s="298" t="str">
        <f t="shared" si="1"/>
        <v>EUREON4M=ICAP</v>
      </c>
      <c r="P11" s="259">
        <v>9.1999999999999998E-2</v>
      </c>
      <c r="Q11" s="259">
        <v>0.14199999999999999</v>
      </c>
      <c r="R11" s="259">
        <v>0</v>
      </c>
      <c r="S11" s="259">
        <v>0</v>
      </c>
      <c r="T11" s="262">
        <f t="shared" si="2"/>
        <v>0.11699999999999999</v>
      </c>
      <c r="U11" s="253"/>
      <c r="V11" s="261">
        <v>0.184</v>
      </c>
      <c r="W11" s="253"/>
      <c r="X11" s="324">
        <v>0.184</v>
      </c>
      <c r="Y11" s="258">
        <f ca="1">_xll.qlSimpleQuoteSetValue(F11,X11/100+$AB$6)</f>
        <v>-4.4867918434081562E-4</v>
      </c>
      <c r="Z11" s="217"/>
      <c r="AD11" s="165" t="str">
        <v>EUR11x17F_Quote</v>
      </c>
      <c r="AE11" s="165" t="s">
        <v>1239</v>
      </c>
      <c r="AF11" s="165">
        <f>_xll.ohObjectCreationTime(AE11)</f>
        <v>41709.402175925927</v>
      </c>
    </row>
    <row r="12" spans="1:34" x14ac:dyDescent="0.25">
      <c r="A12" s="176"/>
      <c r="B12" s="175"/>
      <c r="C12" s="175" t="s">
        <v>180</v>
      </c>
      <c r="D12" s="181" t="s">
        <v>28</v>
      </c>
      <c r="E12" s="173" t="str">
        <f t="shared" si="0"/>
        <v>EUREON5M_Quote</v>
      </c>
      <c r="F12" s="173" t="str">
        <f>_xll.qlSimpleQuote(Currency&amp;$B12&amp;$C12&amp;$D12&amp;QuoteSuffix,,RateTickValue,Permanent,Trigger,ObjectOverwrite)</f>
        <v>EUREON5M_Quote#0000</v>
      </c>
      <c r="G12" s="172" t="str">
        <f>_xll.ohRangeRetrieveError(F12)</f>
        <v/>
      </c>
      <c r="H12" s="171"/>
      <c r="J12" s="122"/>
      <c r="K12" s="384" t="s">
        <v>28</v>
      </c>
      <c r="L12" s="300" t="s">
        <v>180</v>
      </c>
      <c r="M12" s="300"/>
      <c r="N12" s="298" t="str">
        <f t="shared" si="3"/>
        <v>EUREON5M</v>
      </c>
      <c r="O12" s="298" t="str">
        <f t="shared" si="1"/>
        <v>EUREON5M=ICAP</v>
      </c>
      <c r="P12" s="259">
        <v>9.4E-2</v>
      </c>
      <c r="Q12" s="259">
        <v>0.14399999999999999</v>
      </c>
      <c r="R12" s="259">
        <v>0</v>
      </c>
      <c r="S12" s="259">
        <v>0</v>
      </c>
      <c r="T12" s="262">
        <f t="shared" si="2"/>
        <v>0.11899999999999999</v>
      </c>
      <c r="U12" s="253"/>
      <c r="V12" s="261">
        <v>0.17899999999999999</v>
      </c>
      <c r="W12" s="253"/>
      <c r="X12" s="324">
        <v>0.17899999999999999</v>
      </c>
      <c r="Y12" s="258">
        <f ca="1">_xll.qlSimpleQuoteSetValue(F12,X12/100+$AB$6)</f>
        <v>-4.4867918434081562E-4</v>
      </c>
      <c r="Z12" s="217"/>
      <c r="AD12" s="165" t="str">
        <v>EUR11X1S_Quote</v>
      </c>
      <c r="AE12" s="165" t="s">
        <v>1236</v>
      </c>
      <c r="AF12" s="165">
        <f>_xll.ohObjectCreationTime(AE12)</f>
        <v>41709.402175937503</v>
      </c>
    </row>
    <row r="13" spans="1:34" x14ac:dyDescent="0.25">
      <c r="A13" s="176"/>
      <c r="B13" s="175"/>
      <c r="C13" s="175" t="s">
        <v>180</v>
      </c>
      <c r="D13" s="181" t="s">
        <v>27</v>
      </c>
      <c r="E13" s="173" t="str">
        <f t="shared" si="0"/>
        <v>EUREON6M_Quote</v>
      </c>
      <c r="F13" s="173" t="str">
        <f>_xll.qlSimpleQuote(Currency&amp;$B13&amp;$C13&amp;$D13&amp;QuoteSuffix,,RateTickValue,Permanent,Trigger,ObjectOverwrite)</f>
        <v>EUREON6M_Quote#0000</v>
      </c>
      <c r="G13" s="172" t="str">
        <f>_xll.ohRangeRetrieveError(F13)</f>
        <v/>
      </c>
      <c r="H13" s="171"/>
      <c r="J13" s="122"/>
      <c r="K13" s="384" t="s">
        <v>27</v>
      </c>
      <c r="L13" s="300" t="s">
        <v>180</v>
      </c>
      <c r="M13" s="300"/>
      <c r="N13" s="298" t="str">
        <f t="shared" si="3"/>
        <v>EUREON6M</v>
      </c>
      <c r="O13" s="298" t="str">
        <f t="shared" si="1"/>
        <v>EUREON6M=ICAP</v>
      </c>
      <c r="P13" s="259">
        <v>9.9000000000000005E-2</v>
      </c>
      <c r="Q13" s="259">
        <v>0.14899999999999999</v>
      </c>
      <c r="R13" s="259">
        <v>0</v>
      </c>
      <c r="S13" s="259">
        <v>0</v>
      </c>
      <c r="T13" s="262">
        <f t="shared" si="2"/>
        <v>0.124</v>
      </c>
      <c r="U13" s="253"/>
      <c r="V13" s="261">
        <v>0.17499999999999999</v>
      </c>
      <c r="W13" s="253"/>
      <c r="X13" s="324">
        <v>0.17499999999999999</v>
      </c>
      <c r="Y13" s="258">
        <f ca="1">_xll.qlSimpleQuoteSetValue(F13,X13/100+$AB$6)</f>
        <v>-4.4867918434081562E-4</v>
      </c>
      <c r="Z13" s="217"/>
      <c r="AD13" s="165" t="str">
        <v>EUR11x23F_SYNTH1Y_Quote</v>
      </c>
      <c r="AE13" s="165" t="s">
        <v>1238</v>
      </c>
      <c r="AF13" s="165">
        <f>_xll.ohObjectCreationTime(AE13)</f>
        <v>41709.402175949072</v>
      </c>
    </row>
    <row r="14" spans="1:34" x14ac:dyDescent="0.25">
      <c r="A14" s="176"/>
      <c r="B14" s="175"/>
      <c r="C14" s="175" t="s">
        <v>180</v>
      </c>
      <c r="D14" s="181" t="s">
        <v>26</v>
      </c>
      <c r="E14" s="173" t="str">
        <f t="shared" si="0"/>
        <v>EUREON7M_Quote</v>
      </c>
      <c r="F14" s="173" t="str">
        <f>_xll.qlSimpleQuote(Currency&amp;$B14&amp;$C14&amp;$D14&amp;QuoteSuffix,,RateTickValue,Permanent,Trigger,ObjectOverwrite)</f>
        <v>EUREON7M_Quote#0000</v>
      </c>
      <c r="G14" s="172" t="str">
        <f>_xll.ohRangeRetrieveError(F14)</f>
        <v/>
      </c>
      <c r="H14" s="171"/>
      <c r="J14" s="122"/>
      <c r="K14" s="384" t="s">
        <v>26</v>
      </c>
      <c r="L14" s="300" t="s">
        <v>180</v>
      </c>
      <c r="M14" s="300"/>
      <c r="N14" s="298" t="str">
        <f t="shared" si="3"/>
        <v>EUREON7M</v>
      </c>
      <c r="O14" s="298" t="str">
        <f t="shared" si="1"/>
        <v>EUREON7M=ICAP</v>
      </c>
      <c r="P14" s="259">
        <v>0.10299999999999999</v>
      </c>
      <c r="Q14" s="259">
        <v>0.153</v>
      </c>
      <c r="R14" s="259">
        <v>0</v>
      </c>
      <c r="S14" s="259">
        <v>0</v>
      </c>
      <c r="T14" s="262">
        <f t="shared" si="2"/>
        <v>0.128</v>
      </c>
      <c r="U14" s="253"/>
      <c r="V14" s="261">
        <v>0.17199999999999999</v>
      </c>
      <c r="W14" s="253"/>
      <c r="X14" s="324">
        <v>0.17199999999999999</v>
      </c>
      <c r="Y14" s="258">
        <f ca="1">_xll.qlSimpleQuoteSetValue(F14,X14/100+$AB$6)</f>
        <v>-4.4867918434081562E-4</v>
      </c>
      <c r="Z14" s="217"/>
      <c r="AD14" s="165" t="str">
        <v>EUR12x18F_Quote</v>
      </c>
      <c r="AE14" s="165" t="s">
        <v>1557</v>
      </c>
      <c r="AF14" s="165">
        <f>_xll.ohObjectCreationTime(AE14)</f>
        <v>41709.402175972224</v>
      </c>
    </row>
    <row r="15" spans="1:34" x14ac:dyDescent="0.25">
      <c r="A15" s="176"/>
      <c r="B15" s="175"/>
      <c r="C15" s="175" t="s">
        <v>180</v>
      </c>
      <c r="D15" s="181" t="s">
        <v>25</v>
      </c>
      <c r="E15" s="173" t="str">
        <f t="shared" si="0"/>
        <v>EUREON8M_Quote</v>
      </c>
      <c r="F15" s="173" t="str">
        <f>_xll.qlSimpleQuote(Currency&amp;$B15&amp;$C15&amp;$D15&amp;QuoteSuffix,,RateTickValue,Permanent,Trigger,ObjectOverwrite)</f>
        <v>EUREON8M_Quote#0000</v>
      </c>
      <c r="G15" s="172" t="str">
        <f>_xll.ohRangeRetrieveError(F15)</f>
        <v/>
      </c>
      <c r="H15" s="171"/>
      <c r="J15" s="122"/>
      <c r="K15" s="384" t="s">
        <v>25</v>
      </c>
      <c r="L15" s="300" t="s">
        <v>180</v>
      </c>
      <c r="M15" s="300"/>
      <c r="N15" s="298" t="str">
        <f t="shared" si="3"/>
        <v>EUREON8M</v>
      </c>
      <c r="O15" s="298" t="str">
        <f t="shared" si="1"/>
        <v>EUREON8M=ICAP</v>
      </c>
      <c r="P15" s="259">
        <v>0.108</v>
      </c>
      <c r="Q15" s="259">
        <v>0.158</v>
      </c>
      <c r="R15" s="259">
        <v>0</v>
      </c>
      <c r="S15" s="259">
        <v>0</v>
      </c>
      <c r="T15" s="262">
        <f t="shared" si="2"/>
        <v>0.13300000000000001</v>
      </c>
      <c r="U15" s="253"/>
      <c r="V15" s="261">
        <v>0.16900000000000001</v>
      </c>
      <c r="W15" s="253"/>
      <c r="X15" s="324">
        <v>0.16900000000000001</v>
      </c>
      <c r="Y15" s="258">
        <f ca="1">_xll.qlSimpleQuoteSetValue(F15,X15/100+$AB$6)</f>
        <v>-4.4867918434081562E-4</v>
      </c>
      <c r="Z15" s="217"/>
      <c r="AD15" s="165" t="str">
        <v>EUR12X1S_Quote</v>
      </c>
      <c r="AE15" s="165" t="s">
        <v>1231</v>
      </c>
      <c r="AF15" s="165">
        <f>_xll.ohObjectCreationTime(AE15)</f>
        <v>41709.4021759838</v>
      </c>
    </row>
    <row r="16" spans="1:34" x14ac:dyDescent="0.25">
      <c r="A16" s="176"/>
      <c r="B16" s="175"/>
      <c r="C16" s="175" t="s">
        <v>180</v>
      </c>
      <c r="D16" s="181" t="s">
        <v>24</v>
      </c>
      <c r="E16" s="173" t="str">
        <f t="shared" si="0"/>
        <v>EUREON9M_Quote</v>
      </c>
      <c r="F16" s="173" t="str">
        <f>_xll.qlSimpleQuote(Currency&amp;$B16&amp;$C16&amp;$D16&amp;QuoteSuffix,,RateTickValue,Permanent,Trigger,ObjectOverwrite)</f>
        <v>EUREON9M_Quote#0000</v>
      </c>
      <c r="G16" s="172" t="str">
        <f>_xll.ohRangeRetrieveError(F16)</f>
        <v/>
      </c>
      <c r="H16" s="171"/>
      <c r="J16" s="122"/>
      <c r="K16" s="384" t="s">
        <v>24</v>
      </c>
      <c r="L16" s="300" t="s">
        <v>180</v>
      </c>
      <c r="M16" s="300"/>
      <c r="N16" s="298" t="str">
        <f t="shared" si="3"/>
        <v>EUREON9M</v>
      </c>
      <c r="O16" s="298" t="str">
        <f t="shared" si="1"/>
        <v>EUREON9M=ICAP</v>
      </c>
      <c r="P16" s="259">
        <v>0.11600000000000001</v>
      </c>
      <c r="Q16" s="259">
        <v>0.16600000000000001</v>
      </c>
      <c r="R16" s="259">
        <v>0</v>
      </c>
      <c r="S16" s="259">
        <v>0</v>
      </c>
      <c r="T16" s="262">
        <f t="shared" si="2"/>
        <v>0.14100000000000001</v>
      </c>
      <c r="U16" s="253"/>
      <c r="V16" s="261">
        <v>0.16600000000000001</v>
      </c>
      <c r="W16" s="253"/>
      <c r="X16" s="324">
        <v>0.16600000000000001</v>
      </c>
      <c r="Y16" s="258">
        <f ca="1">_xll.qlSimpleQuoteSetValue(F16,X16/100+$AB$6)</f>
        <v>-4.4867918434081562E-4</v>
      </c>
      <c r="Z16" s="217"/>
      <c r="AD16" s="165" t="str">
        <v>EUR12x24F_Quote</v>
      </c>
      <c r="AE16" s="165" t="s">
        <v>1598</v>
      </c>
      <c r="AF16" s="165">
        <f>_xll.ohObjectCreationTime(AE16)</f>
        <v>41709.402175995368</v>
      </c>
    </row>
    <row r="17" spans="1:32" x14ac:dyDescent="0.25">
      <c r="A17" s="176"/>
      <c r="B17" s="175"/>
      <c r="C17" s="175" t="s">
        <v>180</v>
      </c>
      <c r="D17" s="181" t="s">
        <v>23</v>
      </c>
      <c r="E17" s="173" t="str">
        <f t="shared" si="0"/>
        <v>EUREON10M_Quote</v>
      </c>
      <c r="F17" s="173" t="str">
        <f>_xll.qlSimpleQuote(Currency&amp;$B17&amp;$C17&amp;$D17&amp;QuoteSuffix,,RateTickValue,Permanent,Trigger,ObjectOverwrite)</f>
        <v>EUREON10M_Quote#0000</v>
      </c>
      <c r="G17" s="172" t="str">
        <f>_xll.ohRangeRetrieveError(F17)</f>
        <v/>
      </c>
      <c r="H17" s="171"/>
      <c r="J17" s="122"/>
      <c r="K17" s="384" t="s">
        <v>23</v>
      </c>
      <c r="L17" s="300" t="s">
        <v>180</v>
      </c>
      <c r="M17" s="300"/>
      <c r="N17" s="298" t="str">
        <f t="shared" si="3"/>
        <v>EUREON10M</v>
      </c>
      <c r="O17" s="298" t="str">
        <f t="shared" si="1"/>
        <v>EUREON10M=ICAP</v>
      </c>
      <c r="P17" s="259">
        <v>0.122</v>
      </c>
      <c r="Q17" s="259">
        <v>0.17199999999999999</v>
      </c>
      <c r="R17" s="259">
        <v>0</v>
      </c>
      <c r="S17" s="259">
        <v>0</v>
      </c>
      <c r="T17" s="262">
        <f t="shared" si="2"/>
        <v>0.14699999999999999</v>
      </c>
      <c r="U17" s="253"/>
      <c r="V17" s="261">
        <v>0.16400000000000001</v>
      </c>
      <c r="W17" s="253"/>
      <c r="X17" s="324">
        <v>0.16400000000000001</v>
      </c>
      <c r="Y17" s="258">
        <f ca="1">_xll.qlSimpleQuoteSetValue(F17,X17/100+$AB$6)</f>
        <v>-4.4867918434081562E-4</v>
      </c>
      <c r="Z17" s="217"/>
      <c r="AD17" s="165" t="str">
        <v>EUR13x19F_Quote</v>
      </c>
      <c r="AE17" s="165" t="s">
        <v>1232</v>
      </c>
      <c r="AF17" s="165">
        <f>_xll.ohObjectCreationTime(AE17)</f>
        <v>41709.402176018521</v>
      </c>
    </row>
    <row r="18" spans="1:32" x14ac:dyDescent="0.25">
      <c r="A18" s="176"/>
      <c r="B18" s="175"/>
      <c r="C18" s="175" t="s">
        <v>180</v>
      </c>
      <c r="D18" s="181" t="s">
        <v>22</v>
      </c>
      <c r="E18" s="173" t="str">
        <f t="shared" si="0"/>
        <v>EUREON11M_Quote</v>
      </c>
      <c r="F18" s="173" t="str">
        <f>_xll.qlSimpleQuote(Currency&amp;$B18&amp;$C18&amp;$D18&amp;QuoteSuffix,,RateTickValue,Permanent,Trigger,ObjectOverwrite)</f>
        <v>EUREON11M_Quote#0000</v>
      </c>
      <c r="G18" s="172" t="str">
        <f>_xll.ohRangeRetrieveError(F18)</f>
        <v/>
      </c>
      <c r="H18" s="171"/>
      <c r="J18" s="122"/>
      <c r="K18" s="384" t="s">
        <v>22</v>
      </c>
      <c r="L18" s="300" t="s">
        <v>180</v>
      </c>
      <c r="M18" s="300"/>
      <c r="N18" s="298" t="str">
        <f t="shared" si="3"/>
        <v>EUREON11M</v>
      </c>
      <c r="O18" s="298" t="str">
        <f t="shared" si="1"/>
        <v>EUREON11M=ICAP</v>
      </c>
      <c r="P18" s="259">
        <v>0.13</v>
      </c>
      <c r="Q18" s="259">
        <v>0.18</v>
      </c>
      <c r="R18" s="259">
        <v>0</v>
      </c>
      <c r="S18" s="259">
        <v>0</v>
      </c>
      <c r="T18" s="262">
        <f t="shared" si="2"/>
        <v>0.155</v>
      </c>
      <c r="U18" s="253"/>
      <c r="V18" s="261">
        <v>0.16200000000000001</v>
      </c>
      <c r="W18" s="253"/>
      <c r="X18" s="324">
        <v>0.16200000000000001</v>
      </c>
      <c r="Y18" s="258">
        <f ca="1">_xll.qlSimpleQuoteSetValue(F18,X18/100+$AB$6)</f>
        <v>-4.4867918434081562E-4</v>
      </c>
      <c r="Z18" s="217"/>
      <c r="AD18" s="165" t="str">
        <v>EUR13x25F_SYNTH1Y_Quote</v>
      </c>
      <c r="AE18" s="165" t="s">
        <v>37</v>
      </c>
      <c r="AF18" s="165">
        <f>_xll.ohObjectCreationTime(AE18)</f>
        <v>41709.402176053241</v>
      </c>
    </row>
    <row r="19" spans="1:32" x14ac:dyDescent="0.25">
      <c r="A19" s="176"/>
      <c r="B19" s="175"/>
      <c r="C19" s="175" t="s">
        <v>180</v>
      </c>
      <c r="D19" s="181" t="s">
        <v>21</v>
      </c>
      <c r="E19" s="173" t="str">
        <f t="shared" si="0"/>
        <v>EUREON1Y_Quote</v>
      </c>
      <c r="F19" s="173" t="str">
        <f>_xll.qlSimpleQuote(Currency&amp;$B19&amp;$C19&amp;$D19&amp;QuoteSuffix,,RateTickValue,Permanent,Trigger,ObjectOverwrite)</f>
        <v>EUREON1Y_Quote#0000</v>
      </c>
      <c r="G19" s="172" t="str">
        <f>_xll.ohRangeRetrieveError(F19)</f>
        <v/>
      </c>
      <c r="H19" s="171"/>
      <c r="J19" s="122"/>
      <c r="K19" s="384" t="s">
        <v>21</v>
      </c>
      <c r="L19" s="300" t="s">
        <v>180</v>
      </c>
      <c r="M19" s="300"/>
      <c r="N19" s="298" t="str">
        <f t="shared" si="3"/>
        <v>EUREON1Y</v>
      </c>
      <c r="O19" s="298" t="str">
        <f t="shared" si="1"/>
        <v>EUREON1Y=ICAP</v>
      </c>
      <c r="P19" s="259">
        <v>0.127</v>
      </c>
      <c r="Q19" s="259">
        <v>0.19700000000000001</v>
      </c>
      <c r="R19" s="259">
        <v>0</v>
      </c>
      <c r="S19" s="259">
        <v>0</v>
      </c>
      <c r="T19" s="262">
        <f t="shared" si="2"/>
        <v>0.16200000000000001</v>
      </c>
      <c r="U19" s="253"/>
      <c r="V19" s="261">
        <v>0.161</v>
      </c>
      <c r="W19" s="253"/>
      <c r="X19" s="324">
        <v>0.161</v>
      </c>
      <c r="Y19" s="258">
        <f ca="1">_xll.qlSimpleQuoteSetValue(F19,X19/100+$AB$6)</f>
        <v>-4.4867918434081562E-4</v>
      </c>
      <c r="Z19" s="217"/>
      <c r="AD19" s="165" t="str">
        <v>EUR14x20F_Quote</v>
      </c>
      <c r="AE19" s="165" t="s">
        <v>36</v>
      </c>
      <c r="AF19" s="165">
        <f>_xll.ohObjectCreationTime(AE19)</f>
        <v>41709.402176076386</v>
      </c>
    </row>
    <row r="20" spans="1:32"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EUREON15M_Quote#0000</v>
      </c>
      <c r="G20" s="172" t="str">
        <f>_xll.ohRangeRetrieveError(F20)</f>
        <v/>
      </c>
      <c r="H20" s="171"/>
      <c r="J20" s="122"/>
      <c r="K20" s="384" t="s">
        <v>127</v>
      </c>
      <c r="L20" s="300" t="s">
        <v>180</v>
      </c>
      <c r="M20" s="300"/>
      <c r="N20" s="298" t="str">
        <f t="shared" si="3"/>
        <v>EUREON15M</v>
      </c>
      <c r="O20" s="298" t="str">
        <f t="shared" si="1"/>
        <v>EUREON15M=ICAP</v>
      </c>
      <c r="P20" s="259">
        <v>0.16</v>
      </c>
      <c r="Q20" s="259">
        <v>0.21</v>
      </c>
      <c r="R20" s="259">
        <v>0</v>
      </c>
      <c r="S20" s="259">
        <v>0</v>
      </c>
      <c r="T20" s="262">
        <f t="shared" si="2"/>
        <v>0.185</v>
      </c>
      <c r="U20" s="253"/>
      <c r="V20" s="261">
        <v>0.161</v>
      </c>
      <c r="W20" s="253"/>
      <c r="X20" s="324">
        <v>0.161</v>
      </c>
      <c r="Y20" s="258">
        <f ca="1">_xll.qlSimpleQuoteSetValue(F20,X20/100+$AB$6)</f>
        <v>-4.4867918434081562E-4</v>
      </c>
      <c r="Z20" s="217"/>
      <c r="AD20" s="165" t="str">
        <v>EUR14x26F_SYNTH1Y_Quote</v>
      </c>
      <c r="AE20" s="165" t="s">
        <v>429</v>
      </c>
      <c r="AF20" s="165">
        <f>_xll.ohObjectCreationTime(AE20)</f>
        <v>41709.402181550926</v>
      </c>
    </row>
    <row r="21" spans="1:32"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EUREON18M_Quote#0000</v>
      </c>
      <c r="G21" s="172" t="str">
        <f>_xll.ohRangeRetrieveError(F21)</f>
        <v/>
      </c>
      <c r="H21" s="171"/>
      <c r="J21" s="122"/>
      <c r="K21" s="384" t="s">
        <v>126</v>
      </c>
      <c r="L21" s="300" t="s">
        <v>180</v>
      </c>
      <c r="M21" s="300"/>
      <c r="N21" s="298" t="str">
        <f t="shared" si="3"/>
        <v>EUREON18M</v>
      </c>
      <c r="O21" s="298" t="str">
        <f t="shared" si="1"/>
        <v>EUREON18M=ICAP</v>
      </c>
      <c r="P21" s="259">
        <v>0.184</v>
      </c>
      <c r="Q21" s="259">
        <v>0.23400000000000001</v>
      </c>
      <c r="R21" s="259">
        <v>0</v>
      </c>
      <c r="S21" s="259">
        <v>0</v>
      </c>
      <c r="T21" s="262">
        <f t="shared" si="2"/>
        <v>0.20900000000000002</v>
      </c>
      <c r="U21" s="253"/>
      <c r="V21" s="261">
        <v>0.16600000000000001</v>
      </c>
      <c r="W21" s="253"/>
      <c r="X21" s="324">
        <v>0.16600000000000001</v>
      </c>
      <c r="Y21" s="258">
        <f ca="1">_xll.qlSimpleQuoteSetValue(F21,X21/100+$AB$6)</f>
        <v>-4.4867918434081562E-4</v>
      </c>
      <c r="Z21" s="217"/>
      <c r="AD21" s="165" t="str">
        <v>EUR15x21F_Quote</v>
      </c>
      <c r="AE21" s="165" t="s">
        <v>487</v>
      </c>
      <c r="AF21" s="165">
        <f>_xll.ohObjectCreationTime(AE21)</f>
        <v>41709.402181562502</v>
      </c>
    </row>
    <row r="22" spans="1:32"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EUREON21M_Quote#0000</v>
      </c>
      <c r="G22" s="172" t="str">
        <f>_xll.ohRangeRetrieveError(F22)</f>
        <v/>
      </c>
      <c r="H22" s="171"/>
      <c r="J22" s="122"/>
      <c r="K22" s="384" t="s">
        <v>125</v>
      </c>
      <c r="L22" s="300" t="s">
        <v>180</v>
      </c>
      <c r="M22" s="300"/>
      <c r="N22" s="298" t="str">
        <f t="shared" si="3"/>
        <v>EUREON21M</v>
      </c>
      <c r="O22" s="298" t="str">
        <f t="shared" si="1"/>
        <v>EUREON21M=ICAP</v>
      </c>
      <c r="P22" s="259">
        <v>0.21</v>
      </c>
      <c r="Q22" s="259">
        <v>0.26</v>
      </c>
      <c r="R22" s="259">
        <v>0</v>
      </c>
      <c r="S22" s="259">
        <v>0</v>
      </c>
      <c r="T22" s="262">
        <f t="shared" si="2"/>
        <v>0.23499999999999999</v>
      </c>
      <c r="U22" s="253"/>
      <c r="V22" s="261">
        <v>0.17699999999999999</v>
      </c>
      <c r="W22" s="253"/>
      <c r="X22" s="324">
        <v>0.17699999999999999</v>
      </c>
      <c r="Y22" s="258">
        <f ca="1">_xll.qlSimpleQuoteSetValue(F22,X22/100+$AB$6)</f>
        <v>-4.4867918434081562E-4</v>
      </c>
      <c r="Z22" s="217"/>
      <c r="AD22" s="165" t="str">
        <v>EUR15x27F_SYNTH1Y_Quote</v>
      </c>
      <c r="AE22" s="165" t="s">
        <v>333</v>
      </c>
      <c r="AF22" s="165">
        <f>_xll.ohObjectCreationTime(AE22)</f>
        <v>41709.402181574071</v>
      </c>
    </row>
    <row r="23" spans="1:32" x14ac:dyDescent="0.25">
      <c r="A23" s="176"/>
      <c r="B23" s="175"/>
      <c r="C23" s="175" t="s">
        <v>180</v>
      </c>
      <c r="D23" s="181" t="s">
        <v>102</v>
      </c>
      <c r="E23" s="173" t="str">
        <f t="shared" si="0"/>
        <v>EUREON2Y_Quote</v>
      </c>
      <c r="F23" s="173" t="str">
        <f>_xll.qlSimpleQuote(Currency&amp;$B23&amp;$C23&amp;$D23&amp;QuoteSuffix,,RateTickValue,Permanent,Trigger,ObjectOverwrite)</f>
        <v>EUREON2Y_Quote#0000</v>
      </c>
      <c r="G23" s="172" t="str">
        <f>_xll.ohRangeRetrieveError(F23)</f>
        <v/>
      </c>
      <c r="H23" s="171"/>
      <c r="J23" s="122"/>
      <c r="K23" s="384" t="s">
        <v>102</v>
      </c>
      <c r="L23" s="300" t="s">
        <v>180</v>
      </c>
      <c r="M23" s="300"/>
      <c r="N23" s="298" t="str">
        <f t="shared" si="3"/>
        <v>EUREON2Y</v>
      </c>
      <c r="O23" s="298" t="str">
        <f t="shared" si="1"/>
        <v>EUREON2Y=ICAP</v>
      </c>
      <c r="P23" s="259">
        <v>0.22800000000000001</v>
      </c>
      <c r="Q23" s="259">
        <v>0.29799999999999999</v>
      </c>
      <c r="R23" s="259">
        <v>0</v>
      </c>
      <c r="S23" s="259">
        <v>0</v>
      </c>
      <c r="T23" s="262">
        <f t="shared" si="2"/>
        <v>0.26300000000000001</v>
      </c>
      <c r="U23" s="253"/>
      <c r="V23" s="261">
        <v>0.19500000000000001</v>
      </c>
      <c r="W23" s="253"/>
      <c r="X23" s="324">
        <v>0.19500000000000001</v>
      </c>
      <c r="Y23" s="258">
        <f ca="1">_xll.qlSimpleQuoteSetValue(F23,X23/100+$AB$6)</f>
        <v>-4.4867918434081562E-4</v>
      </c>
      <c r="Z23" s="217"/>
      <c r="AD23" s="165" t="str">
        <v>EUR16x22F_Quote</v>
      </c>
      <c r="AE23" s="165" t="s">
        <v>411</v>
      </c>
      <c r="AF23" s="165">
        <f>_xll.ohObjectCreationTime(AE23)</f>
        <v>41709.402181597223</v>
      </c>
    </row>
    <row r="24" spans="1:32" x14ac:dyDescent="0.25">
      <c r="A24" s="176"/>
      <c r="B24" s="175"/>
      <c r="C24" s="175" t="s">
        <v>180</v>
      </c>
      <c r="D24" s="181" t="s">
        <v>101</v>
      </c>
      <c r="E24" s="173" t="str">
        <f t="shared" si="0"/>
        <v>EUREON3Y_Quote</v>
      </c>
      <c r="F24" s="173" t="str">
        <f>_xll.qlSimpleQuote(Currency&amp;$B24&amp;$C24&amp;$D24&amp;QuoteSuffix,,RateTickValue,Permanent,Trigger,ObjectOverwrite)</f>
        <v>EUREON3Y_Quote#0000</v>
      </c>
      <c r="G24" s="172" t="str">
        <f>_xll.ohRangeRetrieveError(F24)</f>
        <v/>
      </c>
      <c r="H24" s="171"/>
      <c r="J24" s="122"/>
      <c r="K24" s="384" t="s">
        <v>101</v>
      </c>
      <c r="L24" s="300" t="s">
        <v>180</v>
      </c>
      <c r="M24" s="300"/>
      <c r="N24" s="298" t="str">
        <f t="shared" si="3"/>
        <v>EUREON3Y</v>
      </c>
      <c r="O24" s="298" t="str">
        <f t="shared" si="1"/>
        <v>EUREON3Y=ICAP</v>
      </c>
      <c r="P24" s="259">
        <v>0.38</v>
      </c>
      <c r="Q24" s="259">
        <v>0.45</v>
      </c>
      <c r="R24" s="259">
        <v>0</v>
      </c>
      <c r="S24" s="259">
        <v>0</v>
      </c>
      <c r="T24" s="262">
        <f t="shared" si="2"/>
        <v>0.41500000000000004</v>
      </c>
      <c r="U24" s="253"/>
      <c r="V24" s="261">
        <v>0.33200000000000002</v>
      </c>
      <c r="W24" s="253"/>
      <c r="X24" s="324">
        <v>0.33200000000000002</v>
      </c>
      <c r="Y24" s="258">
        <f ca="1">_xll.qlSimpleQuoteSetValue(F24,X24/100+$AB$6)</f>
        <v>-4.4867918434081562E-4</v>
      </c>
      <c r="Z24" s="217"/>
      <c r="AD24" s="165" t="str">
        <v>EUR16x28F_SYNTH1Y_Quote</v>
      </c>
      <c r="AE24" s="165" t="s">
        <v>328</v>
      </c>
      <c r="AF24" s="165">
        <f>_xll.ohObjectCreationTime(AE24)</f>
        <v>41709.402181608799</v>
      </c>
    </row>
    <row r="25" spans="1:32" x14ac:dyDescent="0.25">
      <c r="A25" s="176"/>
      <c r="B25" s="175"/>
      <c r="C25" s="175" t="s">
        <v>180</v>
      </c>
      <c r="D25" s="181" t="s">
        <v>100</v>
      </c>
      <c r="E25" s="173" t="str">
        <f t="shared" si="0"/>
        <v>EUREON4Y_Quote</v>
      </c>
      <c r="F25" s="173" t="str">
        <f>_xll.qlSimpleQuote(Currency&amp;$B25&amp;$C25&amp;$D25&amp;QuoteSuffix,,RateTickValue,Permanent,Trigger,ObjectOverwrite)</f>
        <v>EUREON4Y_Quote#0000</v>
      </c>
      <c r="G25" s="172" t="str">
        <f>_xll.ohRangeRetrieveError(F25)</f>
        <v/>
      </c>
      <c r="H25" s="171"/>
      <c r="J25" s="122"/>
      <c r="K25" s="384" t="s">
        <v>100</v>
      </c>
      <c r="L25" s="300" t="s">
        <v>180</v>
      </c>
      <c r="M25" s="300"/>
      <c r="N25" s="298" t="str">
        <f t="shared" si="3"/>
        <v>EUREON4Y</v>
      </c>
      <c r="O25" s="298" t="str">
        <f t="shared" si="1"/>
        <v>EUREON4Y=ICAP</v>
      </c>
      <c r="P25" s="259">
        <v>0.58899999999999997</v>
      </c>
      <c r="Q25" s="259">
        <v>0.65900000000000003</v>
      </c>
      <c r="R25" s="259">
        <v>0</v>
      </c>
      <c r="S25" s="259">
        <v>0</v>
      </c>
      <c r="T25" s="262">
        <f t="shared" si="2"/>
        <v>0.624</v>
      </c>
      <c r="U25" s="253"/>
      <c r="V25" s="261">
        <v>0.53900000000000003</v>
      </c>
      <c r="W25" s="253"/>
      <c r="X25" s="324">
        <v>0.53900000000000003</v>
      </c>
      <c r="Y25" s="258">
        <f ca="1">_xll.qlSimpleQuoteSetValue(F25,X25/100+$AB$6)</f>
        <v>-4.4867918434081562E-4</v>
      </c>
      <c r="Z25" s="217"/>
      <c r="AD25" s="165" t="str">
        <v>EUR17x23F_Quote</v>
      </c>
      <c r="AE25" s="165" t="s">
        <v>421</v>
      </c>
      <c r="AF25" s="165">
        <f>_xll.ohObjectCreationTime(AE25)</f>
        <v>41709.402181620368</v>
      </c>
    </row>
    <row r="26" spans="1:32" x14ac:dyDescent="0.25">
      <c r="A26" s="176"/>
      <c r="B26" s="175"/>
      <c r="C26" s="175" t="s">
        <v>180</v>
      </c>
      <c r="D26" s="181" t="s">
        <v>99</v>
      </c>
      <c r="E26" s="173" t="str">
        <f t="shared" si="0"/>
        <v>EUREON5Y_Quote</v>
      </c>
      <c r="F26" s="173" t="str">
        <f>_xll.qlSimpleQuote(Currency&amp;$B26&amp;$C26&amp;$D26&amp;QuoteSuffix,,RateTickValue,Permanent,Trigger,ObjectOverwrite)</f>
        <v>EUREON5Y_Quote#0000</v>
      </c>
      <c r="G26" s="172" t="str">
        <f>_xll.ohRangeRetrieveError(F26)</f>
        <v/>
      </c>
      <c r="H26" s="171"/>
      <c r="J26" s="122"/>
      <c r="K26" s="384" t="s">
        <v>99</v>
      </c>
      <c r="L26" s="300" t="s">
        <v>180</v>
      </c>
      <c r="M26" s="300"/>
      <c r="N26" s="298" t="str">
        <f t="shared" si="3"/>
        <v>EUREON5Y</v>
      </c>
      <c r="O26" s="298" t="str">
        <f t="shared" si="1"/>
        <v>EUREON5Y=ICAP</v>
      </c>
      <c r="P26" s="259">
        <v>0.81399999999999995</v>
      </c>
      <c r="Q26" s="259">
        <v>0.88400000000000001</v>
      </c>
      <c r="R26" s="259">
        <v>0</v>
      </c>
      <c r="S26" s="259">
        <v>0</v>
      </c>
      <c r="T26" s="262">
        <f t="shared" si="2"/>
        <v>0.84899999999999998</v>
      </c>
      <c r="U26" s="253"/>
      <c r="V26" s="261">
        <v>0.75900000000000001</v>
      </c>
      <c r="W26" s="253"/>
      <c r="X26" s="324">
        <v>0.75900000000000001</v>
      </c>
      <c r="Y26" s="258">
        <f ca="1">_xll.qlSimpleQuoteSetValue(F26,X26/100+$AB$6)</f>
        <v>-4.4867918434081389E-4</v>
      </c>
      <c r="Z26" s="217"/>
      <c r="AD26" s="165" t="str">
        <v>EUR17x29F_SYNTH1Y_Quote</v>
      </c>
      <c r="AE26" s="165" t="s">
        <v>418</v>
      </c>
      <c r="AF26" s="165">
        <f>_xll.ohObjectCreationTime(AE26)</f>
        <v>41709.40218164352</v>
      </c>
    </row>
    <row r="27" spans="1:32" x14ac:dyDescent="0.25">
      <c r="A27" s="176"/>
      <c r="B27" s="175"/>
      <c r="C27" s="175" t="s">
        <v>180</v>
      </c>
      <c r="D27" s="181" t="s">
        <v>98</v>
      </c>
      <c r="E27" s="173" t="str">
        <f t="shared" si="0"/>
        <v>EUREON6Y_Quote</v>
      </c>
      <c r="F27" s="173" t="str">
        <f>_xll.qlSimpleQuote(Currency&amp;$B27&amp;$C27&amp;$D27&amp;QuoteSuffix,,RateTickValue,Permanent,Trigger,ObjectOverwrite)</f>
        <v>EUREON6Y_Quote#0000</v>
      </c>
      <c r="G27" s="172" t="str">
        <f>_xll.ohRangeRetrieveError(F27)</f>
        <v/>
      </c>
      <c r="H27" s="171"/>
      <c r="J27" s="122"/>
      <c r="K27" s="384" t="s">
        <v>98</v>
      </c>
      <c r="L27" s="300" t="s">
        <v>180</v>
      </c>
      <c r="M27" s="300"/>
      <c r="N27" s="298" t="str">
        <f t="shared" si="3"/>
        <v>EUREON6Y</v>
      </c>
      <c r="O27" s="298" t="str">
        <f t="shared" si="1"/>
        <v>EUREON6Y=ICAP</v>
      </c>
      <c r="P27" s="259">
        <v>1.0109999999999999</v>
      </c>
      <c r="Q27" s="259">
        <v>1.081</v>
      </c>
      <c r="R27" s="259">
        <v>0</v>
      </c>
      <c r="S27" s="259">
        <v>0</v>
      </c>
      <c r="T27" s="262">
        <f t="shared" si="2"/>
        <v>1.0459999999999998</v>
      </c>
      <c r="U27" s="253"/>
      <c r="V27" s="261">
        <v>0.97499999999999998</v>
      </c>
      <c r="W27" s="253"/>
      <c r="X27" s="324">
        <v>0.97499999999999998</v>
      </c>
      <c r="Y27" s="258">
        <f ca="1">_xll.qlSimpleQuoteSetValue(F27,X27/100+$AB$6)</f>
        <v>-4.4867918434081562E-4</v>
      </c>
      <c r="Z27" s="217"/>
      <c r="AD27" s="165" t="str">
        <v>EUR18x24F_Quote</v>
      </c>
      <c r="AE27" s="165" t="s">
        <v>409</v>
      </c>
      <c r="AF27" s="165">
        <f>_xll.ohObjectCreationTime(AE27)</f>
        <v>41709.402181655096</v>
      </c>
    </row>
    <row r="28" spans="1:32" x14ac:dyDescent="0.25">
      <c r="A28" s="176"/>
      <c r="B28" s="175"/>
      <c r="C28" s="175" t="s">
        <v>180</v>
      </c>
      <c r="D28" s="181" t="s">
        <v>97</v>
      </c>
      <c r="E28" s="173" t="str">
        <f t="shared" si="0"/>
        <v>EUREON7Y_Quote</v>
      </c>
      <c r="F28" s="173" t="str">
        <f>_xll.qlSimpleQuote(Currency&amp;$B28&amp;$C28&amp;$D28&amp;QuoteSuffix,,RateTickValue,Permanent,Trigger,ObjectOverwrite)</f>
        <v>EUREON7Y_Quote#0000</v>
      </c>
      <c r="G28" s="172" t="str">
        <f>_xll.ohRangeRetrieveError(F28)</f>
        <v/>
      </c>
      <c r="H28" s="171"/>
      <c r="J28" s="122"/>
      <c r="K28" s="384" t="s">
        <v>97</v>
      </c>
      <c r="L28" s="300" t="s">
        <v>180</v>
      </c>
      <c r="M28" s="300"/>
      <c r="N28" s="298" t="str">
        <f t="shared" si="3"/>
        <v>EUREON7Y</v>
      </c>
      <c r="O28" s="298" t="str">
        <f t="shared" si="1"/>
        <v>EUREON7Y=ICAP</v>
      </c>
      <c r="P28" s="259">
        <v>1.1879999999999999</v>
      </c>
      <c r="Q28" s="259">
        <v>1.258</v>
      </c>
      <c r="R28" s="259">
        <v>0</v>
      </c>
      <c r="S28" s="259">
        <v>0</v>
      </c>
      <c r="T28" s="262">
        <f t="shared" si="2"/>
        <v>1.2229999999999999</v>
      </c>
      <c r="U28" s="253"/>
      <c r="V28" s="261">
        <v>1.1779999999999999</v>
      </c>
      <c r="W28" s="253"/>
      <c r="X28" s="324">
        <v>1.1779999999999999</v>
      </c>
      <c r="Y28" s="258">
        <f ca="1">_xll.qlSimpleQuoteSetValue(F28,X28/100+$AB$6)</f>
        <v>-4.4867918434081562E-4</v>
      </c>
      <c r="Z28" s="217"/>
      <c r="AD28" s="165" t="str">
        <v>EUR18x30F_SYNTH1Y_Quote</v>
      </c>
      <c r="AE28" s="165" t="s">
        <v>486</v>
      </c>
      <c r="AF28" s="165">
        <f>_xll.ohObjectCreationTime(AE28)</f>
        <v>41709.402181666665</v>
      </c>
    </row>
    <row r="29" spans="1:32" x14ac:dyDescent="0.25">
      <c r="A29" s="176"/>
      <c r="B29" s="175"/>
      <c r="C29" s="175" t="s">
        <v>180</v>
      </c>
      <c r="D29" s="181" t="s">
        <v>96</v>
      </c>
      <c r="E29" s="173" t="str">
        <f t="shared" si="0"/>
        <v>EUREON8Y_Quote</v>
      </c>
      <c r="F29" s="173" t="str">
        <f>_xll.qlSimpleQuote(Currency&amp;$B29&amp;$C29&amp;$D29&amp;QuoteSuffix,,RateTickValue,Permanent,Trigger,ObjectOverwrite)</f>
        <v>EUREON8Y_Quote#0000</v>
      </c>
      <c r="G29" s="172" t="str">
        <f>_xll.ohRangeRetrieveError(F29)</f>
        <v/>
      </c>
      <c r="H29" s="171"/>
      <c r="J29" s="122"/>
      <c r="K29" s="384" t="s">
        <v>96</v>
      </c>
      <c r="L29" s="300" t="s">
        <v>180</v>
      </c>
      <c r="M29" s="300"/>
      <c r="N29" s="298" t="str">
        <f t="shared" si="3"/>
        <v>EUREON8Y</v>
      </c>
      <c r="O29" s="298" t="str">
        <f t="shared" si="1"/>
        <v>EUREON8Y=ICAP</v>
      </c>
      <c r="P29" s="259">
        <v>1.3460000000000001</v>
      </c>
      <c r="Q29" s="259">
        <v>1.4159999999999999</v>
      </c>
      <c r="R29" s="259">
        <v>0</v>
      </c>
      <c r="S29" s="259">
        <v>0</v>
      </c>
      <c r="T29" s="262">
        <f t="shared" si="2"/>
        <v>1.381</v>
      </c>
      <c r="U29" s="253"/>
      <c r="V29" s="261">
        <v>1.3640000000000001</v>
      </c>
      <c r="W29" s="253"/>
      <c r="X29" s="324">
        <v>1.3640000000000001</v>
      </c>
      <c r="Y29" s="258">
        <f ca="1">_xll.qlSimpleQuoteSetValue(F29,X29/100+$AB$6)</f>
        <v>-4.4867918434081562E-4</v>
      </c>
      <c r="Z29" s="217"/>
      <c r="AD29" s="165" t="str">
        <v>EUR19x31F_SYNTH1Y_Quote</v>
      </c>
      <c r="AE29" s="165" t="s">
        <v>407</v>
      </c>
      <c r="AF29" s="165">
        <f>_xll.ohObjectCreationTime(AE29)</f>
        <v>41709.402181689817</v>
      </c>
    </row>
    <row r="30" spans="1:32" x14ac:dyDescent="0.25">
      <c r="A30" s="176"/>
      <c r="B30" s="175"/>
      <c r="C30" s="175" t="s">
        <v>180</v>
      </c>
      <c r="D30" s="181" t="s">
        <v>95</v>
      </c>
      <c r="E30" s="173" t="str">
        <f t="shared" si="0"/>
        <v>EUREON9Y_Quote</v>
      </c>
      <c r="F30" s="173" t="str">
        <f>_xll.qlSimpleQuote(Currency&amp;$B30&amp;$C30&amp;$D30&amp;QuoteSuffix,,RateTickValue,Permanent,Trigger,ObjectOverwrite)</f>
        <v>EUREON9Y_Quote#0000</v>
      </c>
      <c r="G30" s="172" t="str">
        <f>_xll.ohRangeRetrieveError(F30)</f>
        <v/>
      </c>
      <c r="H30" s="171"/>
      <c r="J30" s="122"/>
      <c r="K30" s="384" t="s">
        <v>95</v>
      </c>
      <c r="L30" s="300" t="s">
        <v>180</v>
      </c>
      <c r="M30" s="300"/>
      <c r="N30" s="298" t="str">
        <f t="shared" si="3"/>
        <v>EUREON9Y</v>
      </c>
      <c r="O30" s="298" t="str">
        <f t="shared" si="1"/>
        <v>EUREON9Y=ICAP</v>
      </c>
      <c r="P30" s="259">
        <v>1.494</v>
      </c>
      <c r="Q30" s="259">
        <v>1.5640000000000001</v>
      </c>
      <c r="R30" s="259">
        <v>0</v>
      </c>
      <c r="S30" s="259">
        <v>0</v>
      </c>
      <c r="T30" s="262">
        <f t="shared" si="2"/>
        <v>1.5289999999999999</v>
      </c>
      <c r="U30" s="253"/>
      <c r="V30" s="261">
        <v>1.5309999999999999</v>
      </c>
      <c r="W30" s="253"/>
      <c r="X30" s="324">
        <v>1.5309999999999999</v>
      </c>
      <c r="Y30" s="258">
        <f ca="1">_xll.qlSimpleQuoteSetValue(F30,X30/100+$AB$6)</f>
        <v>-4.4867918434081389E-4</v>
      </c>
      <c r="Z30" s="217"/>
      <c r="AD30" s="165" t="str">
        <v>EUR1E6E10Y_Quote</v>
      </c>
      <c r="AE30" s="165" t="s">
        <v>404</v>
      </c>
      <c r="AF30" s="165">
        <f>_xll.ohObjectCreationTime(AE30)</f>
        <v>41709.402181701385</v>
      </c>
    </row>
    <row r="31" spans="1:32" x14ac:dyDescent="0.25">
      <c r="A31" s="176"/>
      <c r="B31" s="175"/>
      <c r="C31" s="175" t="s">
        <v>180</v>
      </c>
      <c r="D31" s="181" t="s">
        <v>94</v>
      </c>
      <c r="E31" s="173" t="str">
        <f t="shared" si="0"/>
        <v>EUREON10Y_Quote</v>
      </c>
      <c r="F31" s="173" t="str">
        <f>_xll.qlSimpleQuote(Currency&amp;$B31&amp;$C31&amp;$D31&amp;QuoteSuffix,,RateTickValue,Permanent,Trigger,ObjectOverwrite)</f>
        <v>EUREON10Y_Quote#0000</v>
      </c>
      <c r="G31" s="172" t="str">
        <f>_xll.ohRangeRetrieveError(F31)</f>
        <v/>
      </c>
      <c r="H31" s="171"/>
      <c r="J31" s="122"/>
      <c r="K31" s="384" t="s">
        <v>94</v>
      </c>
      <c r="L31" s="300" t="s">
        <v>180</v>
      </c>
      <c r="M31" s="300"/>
      <c r="N31" s="298" t="str">
        <f t="shared" si="3"/>
        <v>EUREON10Y</v>
      </c>
      <c r="O31" s="298" t="str">
        <f t="shared" si="1"/>
        <v>EUREON10Y=ICAP</v>
      </c>
      <c r="P31" s="259">
        <v>1.629</v>
      </c>
      <c r="Q31" s="259">
        <v>1.6990000000000001</v>
      </c>
      <c r="R31" s="259">
        <v>0</v>
      </c>
      <c r="S31" s="259">
        <v>0</v>
      </c>
      <c r="T31" s="262">
        <f t="shared" si="2"/>
        <v>1.6640000000000001</v>
      </c>
      <c r="U31" s="253"/>
      <c r="V31" s="261">
        <v>1.68</v>
      </c>
      <c r="W31" s="253"/>
      <c r="X31" s="324">
        <v>1.68</v>
      </c>
      <c r="Y31" s="258">
        <f ca="1">_xll.qlSimpleQuoteSetValue(F31,X31/100+$AB$6)</f>
        <v>-4.4867918434081736E-4</v>
      </c>
      <c r="Z31" s="217"/>
      <c r="AD31" s="165" t="str">
        <v>EUR1E6E11Y_Quote</v>
      </c>
      <c r="AE31" s="165" t="s">
        <v>560</v>
      </c>
      <c r="AF31" s="165">
        <f>_xll.ohObjectCreationTime(AE31)</f>
        <v>41709.402181712961</v>
      </c>
    </row>
    <row r="32" spans="1:32" x14ac:dyDescent="0.25">
      <c r="A32" s="176"/>
      <c r="B32" s="175"/>
      <c r="C32" s="175" t="s">
        <v>180</v>
      </c>
      <c r="D32" s="181" t="s">
        <v>93</v>
      </c>
      <c r="E32" s="173" t="str">
        <f t="shared" si="0"/>
        <v>EUREON11Y_Quote</v>
      </c>
      <c r="F32" s="173" t="str">
        <f>_xll.qlSimpleQuote(Currency&amp;$B32&amp;$C32&amp;$D32&amp;QuoteSuffix,,RateTickValue,Permanent,Trigger,ObjectOverwrite)</f>
        <v>EUREON11Y_Quote#0000</v>
      </c>
      <c r="G32" s="172" t="str">
        <f>_xll.ohRangeRetrieveError(F32)</f>
        <v/>
      </c>
      <c r="H32" s="171"/>
      <c r="J32" s="122"/>
      <c r="K32" s="384" t="s">
        <v>93</v>
      </c>
      <c r="L32" s="300" t="s">
        <v>180</v>
      </c>
      <c r="M32" s="300"/>
      <c r="N32" s="298" t="str">
        <f t="shared" si="3"/>
        <v>EUREON11Y</v>
      </c>
      <c r="O32" s="298" t="str">
        <f t="shared" si="1"/>
        <v>EUREON11Y=ICAP</v>
      </c>
      <c r="P32" s="259">
        <v>1.7470000000000001</v>
      </c>
      <c r="Q32" s="259">
        <v>1.8169999999999999</v>
      </c>
      <c r="R32" s="259">
        <v>0</v>
      </c>
      <c r="S32" s="259">
        <v>0</v>
      </c>
      <c r="T32" s="262">
        <f t="shared" si="2"/>
        <v>1.782</v>
      </c>
      <c r="U32" s="253"/>
      <c r="V32" s="261">
        <v>1.81</v>
      </c>
      <c r="W32" s="253"/>
      <c r="X32" s="324">
        <v>1.81</v>
      </c>
      <c r="Y32" s="258">
        <f ca="1">_xll.qlSimpleQuoteSetValue(F32,X32/100+$AB$6)</f>
        <v>-4.4867918434081736E-4</v>
      </c>
      <c r="Z32" s="217"/>
      <c r="AD32" s="165" t="str">
        <v>EUR1E6E12Y_Quote</v>
      </c>
      <c r="AE32" s="165" t="s">
        <v>390</v>
      </c>
      <c r="AF32" s="165">
        <f>_xll.ohObjectCreationTime(AE32)</f>
        <v>41709.402181736114</v>
      </c>
    </row>
    <row r="33" spans="1:32" x14ac:dyDescent="0.25">
      <c r="A33" s="176"/>
      <c r="B33" s="175"/>
      <c r="C33" s="175" t="s">
        <v>180</v>
      </c>
      <c r="D33" s="181" t="s">
        <v>92</v>
      </c>
      <c r="E33" s="173" t="str">
        <f t="shared" si="0"/>
        <v>EUREON12Y_Quote</v>
      </c>
      <c r="F33" s="173" t="str">
        <f>_xll.qlSimpleQuote(Currency&amp;$B33&amp;$C33&amp;$D33&amp;QuoteSuffix,,RateTickValue,Permanent,Trigger,ObjectOverwrite)</f>
        <v>EUREON12Y_Quote#0000</v>
      </c>
      <c r="G33" s="172" t="str">
        <f>_xll.ohRangeRetrieveError(F33)</f>
        <v/>
      </c>
      <c r="H33" s="171"/>
      <c r="J33" s="122"/>
      <c r="K33" s="384" t="s">
        <v>92</v>
      </c>
      <c r="L33" s="300" t="s">
        <v>180</v>
      </c>
      <c r="M33" s="300"/>
      <c r="N33" s="298" t="str">
        <f t="shared" si="3"/>
        <v>EUREON12Y</v>
      </c>
      <c r="O33" s="298" t="str">
        <f t="shared" si="1"/>
        <v>EUREON12Y=ICAP</v>
      </c>
      <c r="P33" s="259">
        <v>1.849</v>
      </c>
      <c r="Q33" s="259">
        <v>1.919</v>
      </c>
      <c r="R33" s="259">
        <v>0</v>
      </c>
      <c r="S33" s="259">
        <v>0</v>
      </c>
      <c r="T33" s="262">
        <f t="shared" si="2"/>
        <v>1.8839999999999999</v>
      </c>
      <c r="U33" s="253"/>
      <c r="V33" s="261">
        <v>1.925</v>
      </c>
      <c r="W33" s="253"/>
      <c r="X33" s="324">
        <v>1.925</v>
      </c>
      <c r="Y33" s="258">
        <f ca="1">_xll.qlSimpleQuoteSetValue(F33,X33/100+$AB$6)</f>
        <v>-4.4867918434081736E-4</v>
      </c>
      <c r="Z33" s="217"/>
      <c r="AD33" s="165" t="str">
        <v>EUR1E6E13Y_Quote</v>
      </c>
      <c r="AE33" s="165" t="s">
        <v>499</v>
      </c>
      <c r="AF33" s="165">
        <f>_xll.ohObjectCreationTime(AE33)</f>
        <v>41709.402181747682</v>
      </c>
    </row>
    <row r="34" spans="1:32" x14ac:dyDescent="0.25">
      <c r="A34" s="176"/>
      <c r="B34" s="175"/>
      <c r="C34" s="175" t="s">
        <v>180</v>
      </c>
      <c r="D34" s="181" t="s">
        <v>89</v>
      </c>
      <c r="E34" s="173" t="str">
        <f t="shared" si="0"/>
        <v>EUREON15Y_Quote</v>
      </c>
      <c r="F34" s="173" t="str">
        <f>_xll.qlSimpleQuote(Currency&amp;$B34&amp;$C34&amp;$D34&amp;QuoteSuffix,,RateTickValue,Permanent,Trigger,ObjectOverwrite)</f>
        <v>EUREON15Y_Quote#0000</v>
      </c>
      <c r="G34" s="172" t="str">
        <f>_xll.ohRangeRetrieveError(F34)</f>
        <v/>
      </c>
      <c r="H34" s="171"/>
      <c r="J34" s="122"/>
      <c r="K34" s="384" t="s">
        <v>89</v>
      </c>
      <c r="L34" s="300" t="s">
        <v>180</v>
      </c>
      <c r="M34" s="300"/>
      <c r="N34" s="298" t="str">
        <f t="shared" si="3"/>
        <v>EUREON15Y</v>
      </c>
      <c r="O34" s="298" t="str">
        <f t="shared" si="1"/>
        <v>EUREON15Y=ICAP</v>
      </c>
      <c r="P34" s="259">
        <v>2.0699999999999998</v>
      </c>
      <c r="Q34" s="259">
        <v>2.14</v>
      </c>
      <c r="R34" s="259">
        <v>0</v>
      </c>
      <c r="S34" s="259">
        <v>0</v>
      </c>
      <c r="T34" s="262">
        <f t="shared" si="2"/>
        <v>2.105</v>
      </c>
      <c r="U34" s="253"/>
      <c r="V34" s="261">
        <v>2.1789999999999998</v>
      </c>
      <c r="W34" s="253"/>
      <c r="X34" s="324">
        <v>2.1789999999999998</v>
      </c>
      <c r="Y34" s="258">
        <f ca="1">_xll.qlSimpleQuoteSetValue(F34,X34/100+$AB$6)</f>
        <v>-4.4867918434081389E-4</v>
      </c>
      <c r="Z34" s="217"/>
      <c r="AD34" s="165" t="str">
        <v>EUR1E6E14Y_Quote</v>
      </c>
      <c r="AE34" s="165" t="s">
        <v>1582</v>
      </c>
      <c r="AF34" s="165">
        <f>_xll.ohObjectCreationTime(AE34)</f>
        <v>41709.402181759258</v>
      </c>
    </row>
    <row r="35" spans="1:32" x14ac:dyDescent="0.25">
      <c r="A35" s="176"/>
      <c r="B35" s="175"/>
      <c r="C35" s="175" t="s">
        <v>180</v>
      </c>
      <c r="D35" s="181" t="s">
        <v>84</v>
      </c>
      <c r="E35" s="173" t="str">
        <f t="shared" si="0"/>
        <v>EUREON20Y_Quote</v>
      </c>
      <c r="F35" s="173" t="str">
        <f>_xll.qlSimpleQuote(Currency&amp;$B35&amp;$C35&amp;$D35&amp;QuoteSuffix,,RateTickValue,Permanent,Trigger,ObjectOverwrite)</f>
        <v>EUREON20Y_Quote#0000</v>
      </c>
      <c r="G35" s="172" t="str">
        <f>_xll.ohRangeRetrieveError(F35)</f>
        <v/>
      </c>
      <c r="H35" s="171"/>
      <c r="J35" s="122"/>
      <c r="K35" s="384" t="s">
        <v>84</v>
      </c>
      <c r="L35" s="300" t="s">
        <v>180</v>
      </c>
      <c r="M35" s="300"/>
      <c r="N35" s="298" t="str">
        <f t="shared" si="3"/>
        <v>EUREON20Y</v>
      </c>
      <c r="O35" s="298" t="str">
        <f t="shared" si="1"/>
        <v>EUREON20Y=ICAP</v>
      </c>
      <c r="P35" s="259">
        <v>2.21</v>
      </c>
      <c r="Q35" s="259">
        <v>2.2799999999999998</v>
      </c>
      <c r="R35" s="259">
        <v>0</v>
      </c>
      <c r="S35" s="259">
        <v>0</v>
      </c>
      <c r="T35" s="262">
        <f t="shared" si="2"/>
        <v>2.2450000000000001</v>
      </c>
      <c r="U35" s="253"/>
      <c r="V35" s="261">
        <v>2.367</v>
      </c>
      <c r="W35" s="253"/>
      <c r="X35" s="324">
        <v>2.367</v>
      </c>
      <c r="Y35" s="258">
        <f ca="1">_xll.qlSimpleQuoteSetValue(F35,X35/100+$AB$6)</f>
        <v>-4.4867918434081736E-4</v>
      </c>
      <c r="Z35" s="217"/>
      <c r="AD35" s="165" t="str">
        <v>EUR1E6E15M_Quote</v>
      </c>
      <c r="AE35" s="165" t="s">
        <v>473</v>
      </c>
      <c r="AF35" s="165">
        <f>_xll.ohObjectCreationTime(AE35)</f>
        <v>41709.40218178241</v>
      </c>
    </row>
    <row r="36" spans="1:32" x14ac:dyDescent="0.25">
      <c r="A36" s="176"/>
      <c r="B36" s="175"/>
      <c r="C36" s="175" t="s">
        <v>180</v>
      </c>
      <c r="D36" s="181" t="s">
        <v>79</v>
      </c>
      <c r="E36" s="173" t="str">
        <f t="shared" si="0"/>
        <v>EUREON25Y_Quote</v>
      </c>
      <c r="F36" s="173" t="str">
        <f>_xll.qlSimpleQuote(Currency&amp;$B36&amp;$C36&amp;$D36&amp;QuoteSuffix,,RateTickValue,Permanent,Trigger,ObjectOverwrite)</f>
        <v>EUREON25Y_Quote#0000</v>
      </c>
      <c r="G36" s="172" t="str">
        <f>_xll.ohRangeRetrieveError(F36)</f>
        <v/>
      </c>
      <c r="H36" s="171"/>
      <c r="J36" s="122"/>
      <c r="K36" s="384" t="s">
        <v>79</v>
      </c>
      <c r="L36" s="300" t="s">
        <v>180</v>
      </c>
      <c r="M36" s="300"/>
      <c r="N36" s="298" t="str">
        <f t="shared" si="3"/>
        <v>EUREON25Y</v>
      </c>
      <c r="O36" s="298" t="str">
        <f t="shared" si="1"/>
        <v>EUREON25Y=ICAP</v>
      </c>
      <c r="P36" s="259">
        <v>2.246</v>
      </c>
      <c r="Q36" s="259">
        <v>2.3159999999999998</v>
      </c>
      <c r="R36" s="259">
        <v>0</v>
      </c>
      <c r="S36" s="259">
        <v>0</v>
      </c>
      <c r="T36" s="262">
        <f t="shared" si="2"/>
        <v>2.2809999999999997</v>
      </c>
      <c r="U36" s="253"/>
      <c r="V36" s="261">
        <v>2.431</v>
      </c>
      <c r="W36" s="253"/>
      <c r="X36" s="324">
        <v>2.431</v>
      </c>
      <c r="Y36" s="258">
        <f ca="1">_xll.qlSimpleQuoteSetValue(F36,X36/100+$AB$6)</f>
        <v>-4.4867918434081736E-4</v>
      </c>
      <c r="Z36" s="217"/>
      <c r="AD36" s="165" t="str">
        <v>EUR1E6E15Y_Quote</v>
      </c>
      <c r="AE36" s="165" t="s">
        <v>492</v>
      </c>
      <c r="AF36" s="165">
        <f>_xll.ohObjectCreationTime(AE36)</f>
        <v>41709.402181793979</v>
      </c>
    </row>
    <row r="37" spans="1:32" x14ac:dyDescent="0.25">
      <c r="A37" s="176"/>
      <c r="B37" s="175"/>
      <c r="C37" s="175" t="s">
        <v>180</v>
      </c>
      <c r="D37" s="181" t="s">
        <v>74</v>
      </c>
      <c r="E37" s="173" t="str">
        <f t="shared" si="0"/>
        <v>EUREON30Y_Quote</v>
      </c>
      <c r="F37" s="173" t="str">
        <f>_xll.qlSimpleQuote(Currency&amp;$B37&amp;$C37&amp;$D37&amp;QuoteSuffix,,RateTickValue,Permanent,Trigger,ObjectOverwrite)</f>
        <v>EUREON30Y_Quote#0000</v>
      </c>
      <c r="G37" s="172" t="str">
        <f>_xll.ohRangeRetrieveError(F37)</f>
        <v/>
      </c>
      <c r="H37" s="171"/>
      <c r="J37" s="122"/>
      <c r="K37" s="384" t="s">
        <v>74</v>
      </c>
      <c r="L37" s="300" t="s">
        <v>180</v>
      </c>
      <c r="M37" s="300"/>
      <c r="N37" s="298" t="str">
        <f t="shared" si="3"/>
        <v>EUREON30Y</v>
      </c>
      <c r="O37" s="298" t="str">
        <f t="shared" si="1"/>
        <v>EUREON30Y=ICAP</v>
      </c>
      <c r="P37" s="259">
        <v>2.254</v>
      </c>
      <c r="Q37" s="259">
        <v>2.3239999999999998</v>
      </c>
      <c r="R37" s="259">
        <v>0</v>
      </c>
      <c r="S37" s="259">
        <v>0</v>
      </c>
      <c r="T37" s="262">
        <f t="shared" si="2"/>
        <v>2.2889999999999997</v>
      </c>
      <c r="U37" s="253"/>
      <c r="V37" s="261">
        <v>2.448</v>
      </c>
      <c r="W37" s="253"/>
      <c r="X37" s="324">
        <v>2.448</v>
      </c>
      <c r="Y37" s="258">
        <f ca="1">_xll.qlSimpleQuoteSetValue(F37,X37/100+$AB$6)</f>
        <v>-4.4867918434081736E-4</v>
      </c>
      <c r="Z37" s="217"/>
      <c r="AD37" s="165" t="str">
        <v>EUR1E6E16Y_Quote</v>
      </c>
      <c r="AE37" s="165" t="s">
        <v>491</v>
      </c>
      <c r="AF37" s="165">
        <f>_xll.ohObjectCreationTime(AE37)</f>
        <v>41709.402181805555</v>
      </c>
    </row>
    <row r="38" spans="1:32" x14ac:dyDescent="0.25">
      <c r="A38" s="176"/>
      <c r="B38" s="175"/>
      <c r="C38" s="175" t="s">
        <v>180</v>
      </c>
      <c r="D38" s="181" t="s">
        <v>64</v>
      </c>
      <c r="E38" s="173" t="str">
        <f t="shared" si="0"/>
        <v>EUREON40Y_Quote</v>
      </c>
      <c r="F38" s="173" t="str">
        <f>_xll.qlSimpleQuote(Currency&amp;$B38&amp;$C38&amp;$D38&amp;QuoteSuffix,,RateTickValue,Permanent,Trigger,ObjectOverwrite)</f>
        <v>EUREON40Y_Quote#0000</v>
      </c>
      <c r="G38" s="172" t="str">
        <f>_xll.ohRangeRetrieveError(F38)</f>
        <v/>
      </c>
      <c r="H38" s="171"/>
      <c r="J38" s="122"/>
      <c r="K38" s="384" t="s">
        <v>64</v>
      </c>
      <c r="L38" s="300" t="s">
        <v>180</v>
      </c>
      <c r="M38" s="300"/>
      <c r="N38" s="298" t="str">
        <f t="shared" si="3"/>
        <v>EUREON40Y</v>
      </c>
      <c r="O38" s="298" t="str">
        <f t="shared" si="1"/>
        <v>EUREON40Y=ICAP</v>
      </c>
      <c r="P38" s="259">
        <v>2.3170000000000002</v>
      </c>
      <c r="Q38" s="259">
        <v>2.387</v>
      </c>
      <c r="R38" s="259">
        <v>0</v>
      </c>
      <c r="S38" s="259">
        <v>0</v>
      </c>
      <c r="T38" s="262">
        <f t="shared" si="2"/>
        <v>2.3520000000000003</v>
      </c>
      <c r="U38" s="253"/>
      <c r="V38" s="261">
        <v>2.4950000000000001</v>
      </c>
      <c r="W38" s="253"/>
      <c r="X38" s="324">
        <v>2.4950000000000001</v>
      </c>
      <c r="Y38" s="258">
        <f ca="1">_xll.qlSimpleQuoteSetValue(F38,X38/100+$AB$6)</f>
        <v>-4.4867918434081389E-4</v>
      </c>
      <c r="Z38" s="217"/>
      <c r="AD38" s="165" t="str">
        <v>EUR1E6E17Y_Quote</v>
      </c>
      <c r="AE38" s="165" t="s">
        <v>488</v>
      </c>
      <c r="AF38" s="165">
        <f>_xll.ohObjectCreationTime(AE38)</f>
        <v>41709.402181817131</v>
      </c>
    </row>
    <row r="39" spans="1:32" x14ac:dyDescent="0.25">
      <c r="A39" s="176"/>
      <c r="B39" s="175"/>
      <c r="C39" s="175" t="s">
        <v>180</v>
      </c>
      <c r="D39" s="181" t="s">
        <v>54</v>
      </c>
      <c r="E39" s="173" t="str">
        <f t="shared" si="0"/>
        <v>EUREON50Y_Quote</v>
      </c>
      <c r="F39" s="173" t="str">
        <f>_xll.qlSimpleQuote(Currency&amp;$B39&amp;$C39&amp;$D39&amp;QuoteSuffix,,RateTickValue,Permanent,Trigger,ObjectOverwrite)</f>
        <v>EUREON50Y_Quote#0000</v>
      </c>
      <c r="G39" s="172" t="str">
        <f>_xll.ohRangeRetrieveError(F39)</f>
        <v/>
      </c>
      <c r="H39" s="171"/>
      <c r="J39" s="122"/>
      <c r="K39" s="384" t="s">
        <v>54</v>
      </c>
      <c r="L39" s="300" t="s">
        <v>180</v>
      </c>
      <c r="M39" s="300"/>
      <c r="N39" s="298" t="str">
        <f t="shared" si="3"/>
        <v>EUREON50Y</v>
      </c>
      <c r="O39" s="298" t="str">
        <f t="shared" si="1"/>
        <v>EUREON50Y=ICAP</v>
      </c>
      <c r="P39" s="259">
        <v>2.3730000000000002</v>
      </c>
      <c r="Q39" s="259">
        <v>2.4430000000000001</v>
      </c>
      <c r="R39" s="259">
        <v>0</v>
      </c>
      <c r="S39" s="259">
        <v>0</v>
      </c>
      <c r="T39" s="262">
        <f t="shared" si="2"/>
        <v>2.4080000000000004</v>
      </c>
      <c r="U39" s="253"/>
      <c r="V39" s="261">
        <v>2.528</v>
      </c>
      <c r="W39" s="253"/>
      <c r="X39" s="324">
        <v>2.528</v>
      </c>
      <c r="Y39" s="258">
        <f ca="1">_xll.qlSimpleQuoteSetValue(F39,X39/100+$AB$6)</f>
        <v>-4.4867918434081736E-4</v>
      </c>
      <c r="Z39" s="217"/>
      <c r="AD39" s="165" t="str">
        <v>EUR1E6E18M_Quote</v>
      </c>
      <c r="AE39" s="165" t="s">
        <v>551</v>
      </c>
      <c r="AF39" s="165">
        <f>_xll.ohObjectCreationTime(AE39)</f>
        <v>41709.402181840276</v>
      </c>
    </row>
    <row r="40" spans="1:32" x14ac:dyDescent="0.25">
      <c r="A40" s="176"/>
      <c r="B40" s="175"/>
      <c r="C40" s="175" t="s">
        <v>180</v>
      </c>
      <c r="D40" s="181" t="s">
        <v>44</v>
      </c>
      <c r="E40" s="173" t="str">
        <f t="shared" si="0"/>
        <v>EUREON60Y_Quote</v>
      </c>
      <c r="F40" s="173" t="str">
        <f>_xll.qlSimpleQuote(Currency&amp;$B40&amp;$C40&amp;$D40&amp;QuoteSuffix,,RateTickValue,Permanent,Trigger,ObjectOverwrite)</f>
        <v>EUREON60Y_Quote#0000</v>
      </c>
      <c r="G40" s="172" t="str">
        <f>_xll.ohRangeRetrieveError(F40)</f>
        <v/>
      </c>
      <c r="H40" s="171"/>
      <c r="J40" s="122"/>
      <c r="K40" s="384" t="s">
        <v>44</v>
      </c>
      <c r="L40" s="300" t="s">
        <v>180</v>
      </c>
      <c r="M40" s="300"/>
      <c r="N40" s="298" t="str">
        <f t="shared" si="3"/>
        <v>EUREON60Y</v>
      </c>
      <c r="O40" s="298" t="str">
        <f t="shared" si="1"/>
        <v>EUREON60Y=ICAP</v>
      </c>
      <c r="P40" s="259">
        <v>2.4119999999999999</v>
      </c>
      <c r="Q40" s="259">
        <v>2.4820000000000002</v>
      </c>
      <c r="R40" s="259">
        <v>0</v>
      </c>
      <c r="S40" s="259">
        <v>0</v>
      </c>
      <c r="T40" s="262">
        <f t="shared" si="2"/>
        <v>2.4470000000000001</v>
      </c>
      <c r="U40" s="253"/>
      <c r="V40" s="261">
        <v>2.5510000000000002</v>
      </c>
      <c r="W40" s="253"/>
      <c r="X40" s="317">
        <v>2.5510000000000002</v>
      </c>
      <c r="Y40" s="250">
        <f ca="1">_xll.qlSimpleQuoteSetValue(F40,X40/100+$AB$6)</f>
        <v>-4.4867918434081736E-4</v>
      </c>
      <c r="Z40" s="217"/>
      <c r="AD40" s="165" t="str">
        <v>EUR1E6E18Y_Quote</v>
      </c>
      <c r="AE40" s="165" t="s">
        <v>1573</v>
      </c>
      <c r="AF40" s="165">
        <f>_xll.ohObjectCreationTime(AE40)</f>
        <v>41709.402181851852</v>
      </c>
    </row>
    <row r="41" spans="1:32" ht="14.25" thickBot="1" x14ac:dyDescent="0.3">
      <c r="A41" s="176"/>
      <c r="B41" s="180"/>
      <c r="C41" s="180"/>
      <c r="D41" s="179"/>
      <c r="E41" s="178"/>
      <c r="F41" s="178"/>
      <c r="G41" s="177"/>
      <c r="H41" s="171"/>
      <c r="J41" s="48"/>
      <c r="K41" s="289"/>
      <c r="L41" s="289"/>
      <c r="M41" s="289"/>
      <c r="N41" s="289"/>
      <c r="O41" s="289"/>
      <c r="P41" s="289"/>
      <c r="Q41" s="289"/>
      <c r="R41" s="289"/>
      <c r="S41" s="289"/>
      <c r="T41" s="289"/>
      <c r="U41" s="47"/>
      <c r="V41" s="289"/>
      <c r="W41" s="47"/>
      <c r="X41" s="289"/>
      <c r="Y41" s="289"/>
      <c r="Z41" s="366"/>
      <c r="AD41" s="165" t="str">
        <v>EUR1E6E19Y_Quote</v>
      </c>
      <c r="AE41" s="165" t="s">
        <v>495</v>
      </c>
      <c r="AF41" s="165">
        <f>_xll.ohObjectCreationTime(AE41)</f>
        <v>41709.402181863428</v>
      </c>
    </row>
    <row r="42" spans="1:32" x14ac:dyDescent="0.25">
      <c r="A42" s="176"/>
      <c r="B42" s="175" t="s">
        <v>179</v>
      </c>
      <c r="C42" s="175" t="s">
        <v>178</v>
      </c>
      <c r="D42" s="174" t="str">
        <f>_xll.qlECBNextCode(_xll.qlSettingsEvaluationDate(Trigger)-365)</f>
        <v>MAR13</v>
      </c>
      <c r="E42" s="173" t="str">
        <f t="shared" ref="E42:E77" si="4">Currency&amp;$B42&amp;$C42&amp;$D42&amp;QuoteSuffix</f>
        <v>EURECBOISMAR13_Quote</v>
      </c>
      <c r="F42" s="173" t="str">
        <f>_xll.qlSimpleQuote(Currency&amp;$B42&amp;$C42&amp;$D42&amp;QuoteSuffix,,RateTickValue,Permanent,Trigger,ObjectOverwrite)</f>
        <v>EURECBOISMAR13_Quote#0000</v>
      </c>
      <c r="G42" s="172" t="str">
        <f>_xll.ohRangeRetrieveError(F42)</f>
        <v/>
      </c>
      <c r="H42" s="171"/>
      <c r="AD42" s="165" t="str">
        <v>EUR1E6E1Y_Quote</v>
      </c>
      <c r="AE42" s="165" t="s">
        <v>406</v>
      </c>
      <c r="AF42" s="165">
        <f>_xll.ohObjectCreationTime(AE42)</f>
        <v>41709.402181886573</v>
      </c>
    </row>
    <row r="43" spans="1:32" x14ac:dyDescent="0.25">
      <c r="A43" s="176"/>
      <c r="B43" s="175" t="s">
        <v>179</v>
      </c>
      <c r="C43" s="175" t="s">
        <v>178</v>
      </c>
      <c r="D43" s="174" t="str">
        <f>_xll.qlECBNextCode(_xll.qlECBdate(D42))</f>
        <v>APR13</v>
      </c>
      <c r="E43" s="173" t="str">
        <f t="shared" si="4"/>
        <v>EURECBOISAPR13_Quote</v>
      </c>
      <c r="F43" s="173" t="str">
        <f>_xll.qlSimpleQuote(Currency&amp;$B43&amp;$C43&amp;$D43&amp;QuoteSuffix,,RateTickValue,Permanent,Trigger,ObjectOverwrite)</f>
        <v>EURECBOISAPR13_Quote#0000</v>
      </c>
      <c r="G43" s="172" t="str">
        <f>_xll.ohRangeRetrieveError(F43)</f>
        <v/>
      </c>
      <c r="H43" s="171"/>
      <c r="AD43" s="165" t="str">
        <v>EUR1E6E20Y_Quote</v>
      </c>
      <c r="AE43" s="165" t="s">
        <v>338</v>
      </c>
      <c r="AF43" s="165">
        <f>_xll.ohObjectCreationTime(AE43)</f>
        <v>41709.402181898149</v>
      </c>
    </row>
    <row r="44" spans="1:32" x14ac:dyDescent="0.25">
      <c r="A44" s="176"/>
      <c r="B44" s="175" t="s">
        <v>179</v>
      </c>
      <c r="C44" s="175" t="s">
        <v>178</v>
      </c>
      <c r="D44" s="174" t="str">
        <f>_xll.qlECBNextCode(_xll.qlECBdate(D43))</f>
        <v>MAY13</v>
      </c>
      <c r="E44" s="173" t="str">
        <f t="shared" si="4"/>
        <v>EURECBOISMAY13_Quote</v>
      </c>
      <c r="F44" s="173" t="str">
        <f>_xll.qlSimpleQuote(Currency&amp;$B44&amp;$C44&amp;$D44&amp;QuoteSuffix,,RateTickValue,Permanent,Trigger,ObjectOverwrite)</f>
        <v>EURECBOISMAY13_Quote#0000</v>
      </c>
      <c r="G44" s="172" t="str">
        <f>_xll.ohRangeRetrieveError(F44)</f>
        <v/>
      </c>
      <c r="H44" s="171"/>
      <c r="AD44" s="165" t="str">
        <v>EUR1E6E21M_Quote</v>
      </c>
      <c r="AE44" s="165" t="s">
        <v>1563</v>
      </c>
      <c r="AF44" s="165">
        <f>_xll.ohObjectCreationTime(AE44)</f>
        <v>41709.402181921294</v>
      </c>
    </row>
    <row r="45" spans="1:32" ht="14.25" thickBot="1" x14ac:dyDescent="0.3">
      <c r="A45" s="176"/>
      <c r="B45" s="175" t="s">
        <v>179</v>
      </c>
      <c r="C45" s="175" t="s">
        <v>178</v>
      </c>
      <c r="D45" s="174" t="str">
        <f>_xll.qlECBNextCode(_xll.qlECBdate(D44))</f>
        <v>JUN13</v>
      </c>
      <c r="E45" s="173" t="str">
        <f t="shared" si="4"/>
        <v>EURECBOISJUN13_Quote</v>
      </c>
      <c r="F45" s="173" t="str">
        <f>_xll.qlSimpleQuote(Currency&amp;$B45&amp;$C45&amp;$D45&amp;QuoteSuffix,,RateTickValue,Permanent,Trigger,ObjectOverwrite)</f>
        <v>EURECBOISJUN13_Quote#0000</v>
      </c>
      <c r="G45" s="172" t="str">
        <f>_xll.ohRangeRetrieveError(F45)</f>
        <v/>
      </c>
      <c r="H45" s="171"/>
      <c r="AD45" s="165" t="str">
        <v>EUR1E6E21Y_Quote</v>
      </c>
      <c r="AE45" s="165" t="s">
        <v>557</v>
      </c>
      <c r="AF45" s="165">
        <f>_xll.ohObjectCreationTime(AE45)</f>
        <v>41709.40218193287</v>
      </c>
    </row>
    <row r="46" spans="1:32" x14ac:dyDescent="0.25">
      <c r="A46" s="176"/>
      <c r="B46" s="175" t="s">
        <v>179</v>
      </c>
      <c r="C46" s="175" t="s">
        <v>178</v>
      </c>
      <c r="D46" s="174" t="str">
        <f>_xll.qlECBNextCode(_xll.qlECBdate(D45))</f>
        <v>JUL13</v>
      </c>
      <c r="E46" s="173" t="str">
        <f t="shared" si="4"/>
        <v>EURECBOISJUL13_Quote</v>
      </c>
      <c r="F46" s="173" t="str">
        <f>_xll.qlSimpleQuote(Currency&amp;$B46&amp;$C46&amp;$D46&amp;QuoteSuffix,,RateTickValue,Permanent,Trigger,ObjectOverwrite)</f>
        <v>EURECBOISJUL13_Quote#0000</v>
      </c>
      <c r="G46" s="172" t="str">
        <f>_xll.ohRangeRetrieveError(F46)</f>
        <v/>
      </c>
      <c r="H46" s="171"/>
      <c r="J46" s="315" t="s">
        <v>293</v>
      </c>
      <c r="K46" s="199"/>
      <c r="L46" s="199"/>
      <c r="M46" s="199"/>
      <c r="N46" s="199"/>
      <c r="O46" s="199"/>
      <c r="P46" s="199"/>
      <c r="Q46" s="199"/>
      <c r="R46" s="199"/>
      <c r="S46" s="199"/>
      <c r="T46" s="199"/>
      <c r="U46" s="199"/>
      <c r="V46" s="199"/>
      <c r="W46" s="199"/>
      <c r="X46" s="199"/>
      <c r="Y46" s="199"/>
      <c r="Z46" s="196"/>
      <c r="AD46" s="165" t="str">
        <v>EUR1E6E22Y_Quote</v>
      </c>
      <c r="AE46" s="165" t="s">
        <v>402</v>
      </c>
      <c r="AF46" s="165">
        <f>_xll.ohObjectCreationTime(AE46)</f>
        <v>41709.402181944446</v>
      </c>
    </row>
    <row r="47" spans="1:32" x14ac:dyDescent="0.25">
      <c r="A47" s="176"/>
      <c r="B47" s="175" t="s">
        <v>179</v>
      </c>
      <c r="C47" s="175" t="s">
        <v>178</v>
      </c>
      <c r="D47" s="174" t="str">
        <f>_xll.qlECBNextCode(_xll.qlECBdate(D46))</f>
        <v>AUG13</v>
      </c>
      <c r="E47" s="173" t="str">
        <f t="shared" si="4"/>
        <v>EURECBOISAUG13_Quote</v>
      </c>
      <c r="F47" s="173" t="str">
        <f>_xll.qlSimpleQuote(Currency&amp;$B47&amp;$C47&amp;$D47&amp;QuoteSuffix,,RateTickValue,Permanent,Trigger,ObjectOverwrite)</f>
        <v>EURECBOISAUG13_Quote#0000</v>
      </c>
      <c r="G47" s="172" t="str">
        <f>_xll.ohRangeRetrieveError(F47)</f>
        <v/>
      </c>
      <c r="H47" s="171"/>
      <c r="J47" s="287"/>
      <c r="K47" s="137"/>
      <c r="L47" s="137"/>
      <c r="M47" s="137"/>
      <c r="N47" s="137"/>
      <c r="O47" s="144" t="s">
        <v>222</v>
      </c>
      <c r="P47" s="137"/>
      <c r="Q47" s="137"/>
      <c r="R47" s="137"/>
      <c r="S47" s="137"/>
      <c r="T47" s="137"/>
      <c r="U47" s="253"/>
      <c r="V47" s="253"/>
      <c r="W47" s="253"/>
      <c r="X47" s="144" t="s">
        <v>134</v>
      </c>
      <c r="Y47" s="137"/>
      <c r="Z47" s="49"/>
      <c r="AD47" s="165" t="str">
        <v>EUR1E6E23Y_Quote</v>
      </c>
      <c r="AE47" s="165" t="s">
        <v>432</v>
      </c>
      <c r="AF47" s="165">
        <f>_xll.ohObjectCreationTime(AE47)</f>
        <v>41709.402181967591</v>
      </c>
    </row>
    <row r="48" spans="1:32" x14ac:dyDescent="0.25">
      <c r="A48" s="176"/>
      <c r="B48" s="175" t="s">
        <v>179</v>
      </c>
      <c r="C48" s="175" t="s">
        <v>178</v>
      </c>
      <c r="D48" s="174" t="str">
        <f>_xll.qlECBNextCode(_xll.qlECBdate(D47))</f>
        <v>SEP13</v>
      </c>
      <c r="E48" s="173" t="str">
        <f t="shared" si="4"/>
        <v>EURECBOISSEP13_Quote</v>
      </c>
      <c r="F48" s="173" t="str">
        <f>_xll.qlSimpleQuote(Currency&amp;$B48&amp;$C48&amp;$D48&amp;QuoteSuffix,,RateTickValue,Permanent,Trigger,ObjectOverwrite)</f>
        <v>EURECBOISSEP13_Quote#0000</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0</v>
      </c>
      <c r="Z48" s="217"/>
      <c r="AD48" s="165" t="str">
        <v>EUR1E6E24Y_Quote</v>
      </c>
      <c r="AE48" s="165" t="s">
        <v>565</v>
      </c>
      <c r="AF48" s="165">
        <f>_xll.ohObjectCreationTime(AE48)</f>
        <v>41709.402181979167</v>
      </c>
    </row>
    <row r="49" spans="1:32" x14ac:dyDescent="0.25">
      <c r="A49" s="176"/>
      <c r="B49" s="175" t="s">
        <v>179</v>
      </c>
      <c r="C49" s="175" t="s">
        <v>178</v>
      </c>
      <c r="D49" s="174" t="str">
        <f>_xll.qlECBNextCode(_xll.qlECBdate(D48))</f>
        <v>OCT13</v>
      </c>
      <c r="E49" s="173" t="str">
        <f t="shared" si="4"/>
        <v>EURECBOISOCT13_Quote</v>
      </c>
      <c r="F49" s="173" t="str">
        <f>_xll.qlSimpleQuote(Currency&amp;$B49&amp;$C49&amp;$D49&amp;QuoteSuffix,,RateTickValue,Permanent,Trigger,ObjectOverwrite)</f>
        <v>EURECBOISOCT13_Quote#0000</v>
      </c>
      <c r="G49" s="172" t="str">
        <f>_xll.ohRangeRetrieveError(F49)</f>
        <v/>
      </c>
      <c r="H49" s="171"/>
      <c r="J49" s="122"/>
      <c r="K49" s="369"/>
      <c r="L49" s="202"/>
      <c r="M49" s="194"/>
      <c r="N49" s="194"/>
      <c r="O49" s="283" t="e">
        <f ca="1">_xll.RData(O50:O55,P49:S49,,ReutersRtMode,,P50)</f>
        <v>#NAME?</v>
      </c>
      <c r="P49" s="313" t="s">
        <v>243</v>
      </c>
      <c r="Q49" s="313" t="s">
        <v>212</v>
      </c>
      <c r="R49" s="313"/>
      <c r="S49" s="313" t="s">
        <v>283</v>
      </c>
      <c r="T49" s="279" t="s">
        <v>241</v>
      </c>
      <c r="U49" s="253"/>
      <c r="V49" s="281" t="s">
        <v>239</v>
      </c>
      <c r="W49" s="253"/>
      <c r="X49" s="406" t="s">
        <v>237</v>
      </c>
      <c r="Y49" s="94" t="s">
        <v>236</v>
      </c>
      <c r="Z49" s="217"/>
      <c r="AD49" s="165" t="str">
        <v>EUR1E6E25Y_Quote</v>
      </c>
      <c r="AE49" s="165" t="s">
        <v>346</v>
      </c>
      <c r="AF49" s="165">
        <f>_xll.ohObjectCreationTime(AE49)</f>
        <v>41709.402181990743</v>
      </c>
    </row>
    <row r="50" spans="1:32" x14ac:dyDescent="0.25">
      <c r="A50" s="176"/>
      <c r="B50" s="175" t="s">
        <v>179</v>
      </c>
      <c r="C50" s="175" t="s">
        <v>178</v>
      </c>
      <c r="D50" s="174" t="str">
        <f>_xll.qlECBNextCode(_xll.qlECBdate(D49))</f>
        <v>NOV13</v>
      </c>
      <c r="E50" s="173" t="str">
        <f t="shared" si="4"/>
        <v>EURECBOISNOV13_Quote</v>
      </c>
      <c r="F50" s="173" t="str">
        <f>_xll.qlSimpleQuote(Currency&amp;$B50&amp;$C50&amp;$D50&amp;QuoteSuffix,,RateTickValue,Permanent,Trigger,ObjectOverwrite)</f>
        <v>EURECBOISNOV13_Quote#0000</v>
      </c>
      <c r="G50" s="172" t="str">
        <f>_xll.ohRangeRetrieveError(F50)</f>
        <v/>
      </c>
      <c r="H50" s="171"/>
      <c r="J50" s="122"/>
      <c r="K50" s="311" t="s">
        <v>282</v>
      </c>
      <c r="L50" s="300" t="s">
        <v>179</v>
      </c>
      <c r="M50" s="300" t="s">
        <v>178</v>
      </c>
      <c r="N50" s="298" t="str">
        <f t="shared" ref="N50:N55" si="5">Currency&amp;$L50&amp;$M50&amp;$K50</f>
        <v>EURECBOISM1</v>
      </c>
      <c r="O50" s="298" t="str">
        <f t="array" ref="O50:O55">Instruments&amp;"="&amp;VLOOKUP(Contributor,ContributorTable,2,FALSE)</f>
        <v>EURECBOISM1=ICAP</v>
      </c>
      <c r="P50" s="259">
        <v>8.5000000000000006E-2</v>
      </c>
      <c r="Q50" s="259">
        <v>0.13500000000000001</v>
      </c>
      <c r="R50" s="259" t="s">
        <v>271</v>
      </c>
      <c r="S50" s="386" t="s">
        <v>281</v>
      </c>
      <c r="T50" s="262">
        <f t="shared" ref="T50:T55" si="6">AVERAGE($P50,$Q50)</f>
        <v>0.11000000000000001</v>
      </c>
      <c r="U50" s="253"/>
      <c r="V50" s="273">
        <v>0.11000000000000001</v>
      </c>
      <c r="W50" s="253"/>
      <c r="X50" s="331">
        <f t="array" ref="X50:X55">QuoteLive</f>
        <v>0.108</v>
      </c>
      <c r="Y50" s="407" t="e">
        <f>_xll.qlSimpleQuoteSetValue(#REF!,$X50/100,Trigger)</f>
        <v>#VALUE!</v>
      </c>
      <c r="Z50" s="217"/>
      <c r="AD50" s="165" t="str">
        <v>EUR1E6E26Y_Quote</v>
      </c>
      <c r="AE50" s="165" t="s">
        <v>490</v>
      </c>
      <c r="AF50" s="165">
        <f>_xll.ohObjectCreationTime(AE50)</f>
        <v>41709.402182013888</v>
      </c>
    </row>
    <row r="51" spans="1:32" x14ac:dyDescent="0.25">
      <c r="A51" s="176"/>
      <c r="B51" s="175" t="s">
        <v>179</v>
      </c>
      <c r="C51" s="175" t="s">
        <v>178</v>
      </c>
      <c r="D51" s="174" t="str">
        <f>_xll.qlECBNextCode(_xll.qlECBdate(D50))</f>
        <v>DEC13</v>
      </c>
      <c r="E51" s="173" t="str">
        <f t="shared" si="4"/>
        <v>EURECBOISDEC13_Quote</v>
      </c>
      <c r="F51" s="173" t="str">
        <f>_xll.qlSimpleQuote(Currency&amp;$B51&amp;$C51&amp;$D51&amp;QuoteSuffix,,RateTickValue,Permanent,Trigger,ObjectOverwrite)</f>
        <v>EURECBOISDEC13_Quote#0000</v>
      </c>
      <c r="G51" s="172" t="str">
        <f>_xll.ohRangeRetrieveError(F51)</f>
        <v/>
      </c>
      <c r="H51" s="171"/>
      <c r="J51" s="122"/>
      <c r="K51" s="301" t="s">
        <v>280</v>
      </c>
      <c r="L51" s="300" t="s">
        <v>179</v>
      </c>
      <c r="M51" s="300" t="s">
        <v>178</v>
      </c>
      <c r="N51" s="298" t="str">
        <f t="shared" si="5"/>
        <v>EURECBOISM2</v>
      </c>
      <c r="O51" s="298" t="str">
        <v>EURECBOISM2=ICAP</v>
      </c>
      <c r="P51" s="259">
        <v>9.7000000000000003E-2</v>
      </c>
      <c r="Q51" s="259">
        <v>0.14699999999999999</v>
      </c>
      <c r="R51" s="259" t="s">
        <v>271</v>
      </c>
      <c r="S51" s="386" t="s">
        <v>279</v>
      </c>
      <c r="T51" s="262">
        <f t="shared" si="6"/>
        <v>0.122</v>
      </c>
      <c r="U51" s="253"/>
      <c r="V51" s="261">
        <v>0.122</v>
      </c>
      <c r="W51" s="253"/>
      <c r="X51" s="324">
        <v>0.106</v>
      </c>
      <c r="Y51" s="408" t="e">
        <f>_xll.qlSimpleQuoteSetValue(#REF!,$X51/100,Trigger)</f>
        <v>#VALUE!</v>
      </c>
      <c r="Z51" s="217"/>
      <c r="AD51" s="165" t="str">
        <v>EUR1E6E27Y_Quote</v>
      </c>
      <c r="AE51" s="165" t="s">
        <v>482</v>
      </c>
      <c r="AF51" s="165">
        <f>_xll.ohObjectCreationTime(AE51)</f>
        <v>41709.402182025464</v>
      </c>
    </row>
    <row r="52" spans="1:32" x14ac:dyDescent="0.25">
      <c r="A52" s="176"/>
      <c r="B52" s="175" t="s">
        <v>179</v>
      </c>
      <c r="C52" s="175" t="s">
        <v>178</v>
      </c>
      <c r="D52" s="174" t="e">
        <f>_xll.qlECBNextCode(_xll.qlECBdate(D51))</f>
        <v>#NUM!</v>
      </c>
      <c r="E52" s="173" t="e">
        <f t="shared" si="4"/>
        <v>#NUM!</v>
      </c>
      <c r="F52" s="173" t="e">
        <f>_xll.qlSimpleQuote(Currency&amp;$B52&amp;$C52&amp;$D52&amp;QuoteSuffix,,RateTickValue,Permanent,Trigger,ObjectOverwrite)</f>
        <v>#VALUE!</v>
      </c>
      <c r="G52" s="172" t="str">
        <f ca="1">_xll.ohRangeRetrieveError(F52)</f>
        <v/>
      </c>
      <c r="H52" s="171"/>
      <c r="J52" s="122"/>
      <c r="K52" s="301" t="s">
        <v>278</v>
      </c>
      <c r="L52" s="300" t="s">
        <v>179</v>
      </c>
      <c r="M52" s="300" t="s">
        <v>178</v>
      </c>
      <c r="N52" s="298" t="str">
        <f t="shared" si="5"/>
        <v>EURECBOISM3</v>
      </c>
      <c r="O52" s="298" t="str">
        <v>EURECBOISM3=ICAP</v>
      </c>
      <c r="P52" s="259">
        <v>9.5000000000000001E-2</v>
      </c>
      <c r="Q52" s="259">
        <v>0.14499999999999999</v>
      </c>
      <c r="R52" s="259" t="s">
        <v>271</v>
      </c>
      <c r="S52" s="386" t="s">
        <v>277</v>
      </c>
      <c r="T52" s="262">
        <f t="shared" si="6"/>
        <v>0.12</v>
      </c>
      <c r="U52" s="253"/>
      <c r="V52" s="261">
        <v>0.12</v>
      </c>
      <c r="W52" s="253"/>
      <c r="X52" s="324">
        <v>0.106</v>
      </c>
      <c r="Y52" s="408" t="e">
        <f>_xll.qlSimpleQuoteSetValue(#REF!,$X52/100,Trigger)</f>
        <v>#VALUE!</v>
      </c>
      <c r="Z52" s="217"/>
      <c r="AD52" s="165" t="str">
        <v>EUR1E6E28Y_Quote</v>
      </c>
      <c r="AE52" s="165" t="s">
        <v>403</v>
      </c>
      <c r="AF52" s="165">
        <f>_xll.ohObjectCreationTime(AE52)</f>
        <v>41709.402182048609</v>
      </c>
    </row>
    <row r="53" spans="1:32" x14ac:dyDescent="0.25">
      <c r="A53" s="176"/>
      <c r="B53" s="175" t="s">
        <v>179</v>
      </c>
      <c r="C53" s="175" t="s">
        <v>178</v>
      </c>
      <c r="D53" s="174" t="e">
        <f>_xll.qlECBNextCode(_xll.qlECBdate(D52))</f>
        <v>#NUM!</v>
      </c>
      <c r="E53" s="173" t="e">
        <f t="shared" si="4"/>
        <v>#NUM!</v>
      </c>
      <c r="F53" s="173" t="e">
        <f>_xll.qlSimpleQuote(Currency&amp;$B53&amp;$C53&amp;$D53&amp;QuoteSuffix,,RateTickValue,Permanent,Trigger,ObjectOverwrite)</f>
        <v>#VALUE!</v>
      </c>
      <c r="G53" s="172" t="str">
        <f ca="1">_xll.ohRangeRetrieveError(F53)</f>
        <v/>
      </c>
      <c r="H53" s="171"/>
      <c r="J53" s="122"/>
      <c r="K53" s="301" t="s">
        <v>276</v>
      </c>
      <c r="L53" s="300" t="s">
        <v>179</v>
      </c>
      <c r="M53" s="300" t="s">
        <v>178</v>
      </c>
      <c r="N53" s="298" t="str">
        <f t="shared" si="5"/>
        <v>EURECBOISM4</v>
      </c>
      <c r="O53" s="298" t="str">
        <v>EURECBOISM4=ICAP</v>
      </c>
      <c r="P53" s="259">
        <v>9.8000000000000004E-2</v>
      </c>
      <c r="Q53" s="259">
        <v>0.14799999999999999</v>
      </c>
      <c r="R53" s="259" t="s">
        <v>271</v>
      </c>
      <c r="S53" s="386" t="s">
        <v>275</v>
      </c>
      <c r="T53" s="262">
        <f t="shared" si="6"/>
        <v>0.123</v>
      </c>
      <c r="U53" s="253"/>
      <c r="V53" s="261">
        <v>0.123</v>
      </c>
      <c r="W53" s="253"/>
      <c r="X53" s="324">
        <v>0.10600000000000001</v>
      </c>
      <c r="Y53" s="408" t="e">
        <f>_xll.qlSimpleQuoteSetValue(#REF!,$X53/100,Trigger)</f>
        <v>#VALUE!</v>
      </c>
      <c r="Z53" s="217"/>
      <c r="AD53" s="165" t="str">
        <v>EUR1E6E29Y_Quote</v>
      </c>
      <c r="AE53" s="165" t="s">
        <v>400</v>
      </c>
      <c r="AF53" s="165">
        <f>_xll.ohObjectCreationTime(AE53)</f>
        <v>41709.402182060185</v>
      </c>
    </row>
    <row r="54" spans="1:32"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1" t="s">
        <v>274</v>
      </c>
      <c r="L54" s="300" t="s">
        <v>179</v>
      </c>
      <c r="M54" s="300" t="s">
        <v>178</v>
      </c>
      <c r="N54" s="298" t="str">
        <f t="shared" si="5"/>
        <v>EURECBOISM5</v>
      </c>
      <c r="O54" s="298" t="str">
        <v>EURECBOISM5=ICAP</v>
      </c>
      <c r="P54" s="259">
        <v>0.12</v>
      </c>
      <c r="Q54" s="259">
        <v>0.17</v>
      </c>
      <c r="R54" s="259" t="s">
        <v>271</v>
      </c>
      <c r="S54" s="386" t="s">
        <v>273</v>
      </c>
      <c r="T54" s="262">
        <f t="shared" si="6"/>
        <v>0.14500000000000002</v>
      </c>
      <c r="U54" s="253"/>
      <c r="V54" s="261">
        <v>0.14500000000000002</v>
      </c>
      <c r="W54" s="253"/>
      <c r="X54" s="324">
        <v>0.111</v>
      </c>
      <c r="Y54" s="408" t="e">
        <f>_xll.qlSimpleQuoteSetValue(#REF!,$X54/100,Trigger)</f>
        <v>#VALUE!</v>
      </c>
      <c r="Z54" s="217"/>
      <c r="AD54" s="165" t="str">
        <v>EUR1E6E2Y_Quote</v>
      </c>
      <c r="AE54" s="165" t="s">
        <v>405</v>
      </c>
      <c r="AF54" s="165">
        <f>_xll.ohObjectCreationTime(AE54)</f>
        <v>41709.402182083337</v>
      </c>
    </row>
    <row r="55" spans="1:32"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06" t="s">
        <v>272</v>
      </c>
      <c r="L55" s="305" t="s">
        <v>179</v>
      </c>
      <c r="M55" s="305" t="s">
        <v>178</v>
      </c>
      <c r="N55" s="303" t="str">
        <f t="shared" si="5"/>
        <v>EURECBOISM6</v>
      </c>
      <c r="O55" s="303" t="str">
        <v>EURECBOISM6=ICAP</v>
      </c>
      <c r="P55" s="251">
        <v>0.11799999999999999</v>
      </c>
      <c r="Q55" s="251">
        <v>0.16800000000000001</v>
      </c>
      <c r="R55" s="251" t="s">
        <v>271</v>
      </c>
      <c r="S55" s="385" t="s">
        <v>270</v>
      </c>
      <c r="T55" s="255">
        <f t="shared" si="6"/>
        <v>0.14300000000000002</v>
      </c>
      <c r="U55" s="253"/>
      <c r="V55" s="254">
        <v>0.14300000000000002</v>
      </c>
      <c r="W55" s="253"/>
      <c r="X55" s="317">
        <v>0.115</v>
      </c>
      <c r="Y55" s="409" t="e">
        <f>_xll.qlSimpleQuoteSetValue(#REF!,$X55/100,Trigger)</f>
        <v>#VALUE!</v>
      </c>
      <c r="Z55" s="217"/>
      <c r="AD55" s="165" t="str">
        <v>EUR1E6E30Y_Quote</v>
      </c>
      <c r="AE55" s="165" t="s">
        <v>433</v>
      </c>
      <c r="AF55" s="165">
        <f>_xll.ohObjectCreationTime(AE55)</f>
        <v>41709.402182094906</v>
      </c>
    </row>
    <row r="56" spans="1:32"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89"/>
      <c r="L56" s="289"/>
      <c r="M56" s="289"/>
      <c r="N56" s="289"/>
      <c r="O56" s="289"/>
      <c r="P56" s="289"/>
      <c r="Q56" s="289"/>
      <c r="R56" s="289"/>
      <c r="S56" s="289"/>
      <c r="T56" s="289"/>
      <c r="U56" s="47"/>
      <c r="V56" s="47"/>
      <c r="W56" s="47"/>
      <c r="X56" s="47"/>
      <c r="Y56" s="47"/>
      <c r="Z56" s="366"/>
      <c r="AD56" s="165" t="str">
        <v>EUR1E6E35Y_Quote</v>
      </c>
      <c r="AE56" s="165" t="s">
        <v>1568</v>
      </c>
      <c r="AF56" s="165">
        <f>_xll.ohObjectCreationTime(AE56)</f>
        <v>41709.402182106482</v>
      </c>
    </row>
    <row r="57" spans="1:32"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c r="AD57" s="165" t="str">
        <v>EUR1E6E3Y_Quote</v>
      </c>
      <c r="AE57" s="165" t="s">
        <v>503</v>
      </c>
      <c r="AF57" s="165">
        <f>_xll.ohObjectCreationTime(AE57)</f>
        <v>41709.402182129626</v>
      </c>
    </row>
    <row r="58" spans="1:32"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c r="AD58" s="165" t="str">
        <v>EUR1E6E40Y_Quote</v>
      </c>
      <c r="AE58" s="165" t="s">
        <v>330</v>
      </c>
      <c r="AF58" s="165">
        <f>_xll.ohObjectCreationTime(AE58)</f>
        <v>41709.402182141203</v>
      </c>
    </row>
    <row r="59" spans="1:32"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c r="AD59" s="165" t="str">
        <v>EUR1E6E4Y_Quote</v>
      </c>
      <c r="AE59" s="165" t="s">
        <v>340</v>
      </c>
      <c r="AF59" s="165">
        <f>_xll.ohObjectCreationTime(AE59)</f>
        <v>41709.402182164355</v>
      </c>
    </row>
    <row r="60" spans="1:32"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c r="AD60" s="165" t="str">
        <v>EUR1E6E50Y_Quote</v>
      </c>
      <c r="AE60" s="165" t="s">
        <v>428</v>
      </c>
      <c r="AF60" s="165">
        <f>_xll.ohObjectCreationTime(AE60)</f>
        <v>41709.402182175923</v>
      </c>
    </row>
    <row r="61" spans="1:32"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c r="AD61" s="165" t="str">
        <v>EUR1E6E5Y_Quote</v>
      </c>
      <c r="AE61" s="165" t="s">
        <v>349</v>
      </c>
      <c r="AF61" s="165">
        <f>_xll.ohObjectCreationTime(AE61)</f>
        <v>41709.402182187499</v>
      </c>
    </row>
    <row r="62" spans="1:32"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c r="AD62" s="165" t="str">
        <v>EUR1E6E60Y_Quote</v>
      </c>
      <c r="AE62" s="165" t="s">
        <v>489</v>
      </c>
      <c r="AF62" s="165">
        <f>_xll.ohObjectCreationTime(AE62)</f>
        <v>41709.402182210652</v>
      </c>
    </row>
    <row r="63" spans="1:32"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c r="AD63" s="165" t="str">
        <v>EUR1E6E6M_Quote</v>
      </c>
      <c r="AE63" s="165" t="s">
        <v>342</v>
      </c>
      <c r="AF63" s="165">
        <f>_xll.ohObjectCreationTime(AE63)</f>
        <v>41709.40218222222</v>
      </c>
    </row>
    <row r="64" spans="1:32"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c r="AD64" s="165" t="str">
        <v>EUR1E6E6Y_Quote</v>
      </c>
      <c r="AE64" s="165" t="s">
        <v>479</v>
      </c>
      <c r="AF64" s="165">
        <f>_xll.ohObjectCreationTime(AE64)</f>
        <v>41709.402182245372</v>
      </c>
    </row>
    <row r="65" spans="1:32"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c r="AD65" s="165" t="str">
        <v>EUR1E6E7Y_Quote</v>
      </c>
      <c r="AE65" s="165" t="s">
        <v>493</v>
      </c>
      <c r="AF65" s="165">
        <f>_xll.ohObjectCreationTime(AE65)</f>
        <v>41709.402182256941</v>
      </c>
    </row>
    <row r="66" spans="1:32"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c r="AD66" s="165" t="str">
        <v>EUR1E6E8Y_Quote</v>
      </c>
      <c r="AE66" s="165" t="s">
        <v>408</v>
      </c>
      <c r="AF66" s="165">
        <f>_xll.ohObjectCreationTime(AE66)</f>
        <v>41709.402182268517</v>
      </c>
    </row>
    <row r="67" spans="1:32"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c r="AD67" s="165" t="str">
        <v>EUR1E6E9Y_Quote</v>
      </c>
      <c r="AE67" s="165" t="s">
        <v>344</v>
      </c>
      <c r="AF67" s="165">
        <f>_xll.ohObjectCreationTime(AE67)</f>
        <v>41709.402182291669</v>
      </c>
    </row>
    <row r="68" spans="1:32"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c r="AD68" s="165" t="str">
        <v>EUR1MD_Quote</v>
      </c>
      <c r="AE68" s="165" t="s">
        <v>548</v>
      </c>
      <c r="AF68" s="165">
        <f>_xll.ohObjectCreationTime(AE68)</f>
        <v>41709.402182303238</v>
      </c>
    </row>
    <row r="69" spans="1:32"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c r="AD69" s="165" t="str">
        <v>EUR1MD_SYNTH1M_Quote</v>
      </c>
      <c r="AE69" s="165" t="s">
        <v>348</v>
      </c>
      <c r="AF69" s="165">
        <f>_xll.ohObjectCreationTime(AE69)</f>
        <v>41709.40218232639</v>
      </c>
    </row>
    <row r="70" spans="1:32"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c r="AD70" s="165" t="str">
        <v>EUR1MD_SYNTH1Y_Quote</v>
      </c>
      <c r="AE70" s="165" t="s">
        <v>431</v>
      </c>
      <c r="AF70" s="165">
        <f>_xll.ohObjectCreationTime(AE70)</f>
        <v>41709.402182337966</v>
      </c>
    </row>
    <row r="71" spans="1:32"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c r="AD71" s="165" t="str">
        <v>EUR1MD_SYNTH3M_Quote</v>
      </c>
      <c r="AE71" s="165" t="s">
        <v>427</v>
      </c>
      <c r="AF71" s="165">
        <f>_xll.ohObjectCreationTime(AE71)</f>
        <v>41709.402182349535</v>
      </c>
    </row>
    <row r="72" spans="1:32"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c r="AD72" s="165" t="str">
        <v>EUR1MD_SYNTH6M_Quote</v>
      </c>
      <c r="AE72" s="165" t="s">
        <v>396</v>
      </c>
      <c r="AF72" s="165">
        <f>_xll.ohObjectCreationTime(AE72)</f>
        <v>41709.402182372687</v>
      </c>
    </row>
    <row r="73" spans="1:32"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c r="AD73" s="165" t="str">
        <v>EUR1S12_Quote</v>
      </c>
      <c r="AE73" s="165" t="s">
        <v>555</v>
      </c>
      <c r="AF73" s="165">
        <f>_xll.ohObjectCreationTime(AE73)</f>
        <v>41709.402182384256</v>
      </c>
    </row>
    <row r="74" spans="1:32"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c r="AD74" s="165" t="str">
        <v>EUR1S24_Quote</v>
      </c>
      <c r="AE74" s="165" t="s">
        <v>430</v>
      </c>
      <c r="AF74" s="165">
        <f>_xll.ohObjectCreationTime(AE74)</f>
        <v>41709.402182407408</v>
      </c>
    </row>
    <row r="75" spans="1:32"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c r="AD75" s="165" t="str">
        <v>EUR1S36_Quote</v>
      </c>
      <c r="AE75" s="165" t="s">
        <v>325</v>
      </c>
      <c r="AF75" s="165">
        <f>_xll.ohObjectCreationTime(AE75)</f>
        <v>41709.402182418984</v>
      </c>
    </row>
    <row r="76" spans="1:32"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c r="AD76" s="165" t="str">
        <v>EUR1x13F_SYNTH1Y_Quote</v>
      </c>
      <c r="AE76" s="165" t="s">
        <v>568</v>
      </c>
      <c r="AF76" s="165">
        <f>_xll.ohObjectCreationTime(AE76)</f>
        <v>41709.402182430553</v>
      </c>
    </row>
    <row r="77" spans="1:32"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c r="AD77" s="165" t="str">
        <v>EUR1x4F_Quote</v>
      </c>
      <c r="AE77" s="165" t="s">
        <v>425</v>
      </c>
      <c r="AF77" s="165">
        <f>_xll.ohObjectCreationTime(AE77)</f>
        <v>41709.402182453705</v>
      </c>
    </row>
    <row r="78" spans="1:32" ht="14.25" thickBot="1" x14ac:dyDescent="0.3">
      <c r="A78" s="170"/>
      <c r="B78" s="169"/>
      <c r="C78" s="169"/>
      <c r="D78" s="169"/>
      <c r="E78" s="169"/>
      <c r="F78" s="168"/>
      <c r="G78" s="168"/>
      <c r="H78" s="167"/>
      <c r="AD78" s="165" t="str">
        <v>EUR1x7F_Quote</v>
      </c>
      <c r="AE78" s="165" t="s">
        <v>426</v>
      </c>
      <c r="AF78" s="165">
        <f>_xll.ohObjectCreationTime(AE78)</f>
        <v>41709.402182465281</v>
      </c>
    </row>
    <row r="79" spans="1:32" x14ac:dyDescent="0.25">
      <c r="AD79" s="165" t="str">
        <v>EUR1YD_Quote</v>
      </c>
      <c r="AE79" s="165" t="s">
        <v>506</v>
      </c>
      <c r="AF79" s="165">
        <f>_xll.ohObjectCreationTime(AE79)</f>
        <v>41709.402182488426</v>
      </c>
    </row>
    <row r="80" spans="1:32" x14ac:dyDescent="0.25">
      <c r="AD80" s="165" t="str">
        <v>EUR1YD_SYNTH1Y_Quote</v>
      </c>
      <c r="AE80" s="165" t="s">
        <v>401</v>
      </c>
      <c r="AF80" s="165">
        <f>_xll.ohObjectCreationTime(AE80)</f>
        <v>41709.402182500002</v>
      </c>
    </row>
    <row r="81" spans="30:32" x14ac:dyDescent="0.25">
      <c r="AD81" s="165" t="str">
        <v>EUR20x32F_SYNTH1Y_Quote</v>
      </c>
      <c r="AE81" s="165" t="s">
        <v>563</v>
      </c>
      <c r="AF81" s="165">
        <f>_xll.ohObjectCreationTime(AE81)</f>
        <v>41709.402182523147</v>
      </c>
    </row>
    <row r="82" spans="30:32" x14ac:dyDescent="0.25">
      <c r="AD82" s="165" t="str">
        <v>EUR21x33F_SYNTH1Y_Quote</v>
      </c>
      <c r="AE82" s="165" t="s">
        <v>1591</v>
      </c>
      <c r="AF82" s="165">
        <f>_xll.ohObjectCreationTime(AE82)</f>
        <v>41709.40218258102</v>
      </c>
    </row>
    <row r="83" spans="30:32" x14ac:dyDescent="0.25">
      <c r="AD83" s="165" t="str">
        <v>EUR22x34F_SYNTH1Y_Quote</v>
      </c>
      <c r="AE83" s="165" t="s">
        <v>413</v>
      </c>
      <c r="AF83" s="165">
        <f>_xll.ohObjectCreationTime(AE83)</f>
        <v>41709.402182638885</v>
      </c>
    </row>
    <row r="84" spans="30:32" x14ac:dyDescent="0.25">
      <c r="AD84" s="165" t="str">
        <v>EUR23x35F_SYNTH1Y_Quote</v>
      </c>
      <c r="AE84" s="165" t="s">
        <v>504</v>
      </c>
      <c r="AF84" s="165">
        <f>_xll.ohObjectCreationTime(AE84)</f>
        <v>41709.402182673613</v>
      </c>
    </row>
    <row r="85" spans="30:32" x14ac:dyDescent="0.25">
      <c r="AD85" s="165" t="str">
        <v>EUR25x37F_SYNTH1Y_Quote</v>
      </c>
      <c r="AE85" s="165" t="s">
        <v>475</v>
      </c>
      <c r="AF85" s="165">
        <f>_xll.ohObjectCreationTime(AE85)</f>
        <v>41709.40218271991</v>
      </c>
    </row>
    <row r="86" spans="30:32" x14ac:dyDescent="0.25">
      <c r="AD86" s="165" t="str">
        <v>EUR26x38F_SYNTH1Y_Quote</v>
      </c>
      <c r="AE86" s="165" t="s">
        <v>549</v>
      </c>
      <c r="AF86" s="165">
        <f>_xll.ohObjectCreationTime(AE86)</f>
        <v>41709.402182731479</v>
      </c>
    </row>
    <row r="87" spans="30:32" x14ac:dyDescent="0.25">
      <c r="AD87" s="165" t="str">
        <v>EUR27x39F_SYNTH1Y_Quote</v>
      </c>
      <c r="AE87" s="165" t="s">
        <v>392</v>
      </c>
      <c r="AF87" s="165">
        <f>_xll.ohObjectCreationTime(AE87)</f>
        <v>41709.402182800928</v>
      </c>
    </row>
    <row r="88" spans="30:32" x14ac:dyDescent="0.25">
      <c r="AD88" s="165" t="str">
        <v>EUR28x40F_SYNTH1Y_Quote</v>
      </c>
      <c r="AE88" s="165" t="s">
        <v>1584</v>
      </c>
      <c r="AF88" s="165">
        <f>_xll.ohObjectCreationTime(AE88)</f>
        <v>41709.402182812497</v>
      </c>
    </row>
    <row r="89" spans="30:32" x14ac:dyDescent="0.25">
      <c r="AD89" s="165" t="str">
        <v>EUR29x41F_SYNTH1Y_Quote</v>
      </c>
      <c r="AE89" s="165" t="s">
        <v>1575</v>
      </c>
      <c r="AF89" s="165">
        <f>_xll.ohObjectCreationTime(AE89)</f>
        <v>41709.402182858794</v>
      </c>
    </row>
    <row r="90" spans="30:32" x14ac:dyDescent="0.25">
      <c r="AD90" s="165" t="str">
        <v>EUR2MD_Quote</v>
      </c>
      <c r="AE90" s="165" t="s">
        <v>420</v>
      </c>
      <c r="AF90" s="165">
        <f>_xll.ohObjectCreationTime(AE90)</f>
        <v>41709.402182905091</v>
      </c>
    </row>
    <row r="91" spans="30:32" x14ac:dyDescent="0.25">
      <c r="AD91" s="165" t="str">
        <v>EUR2MD_SYNTH1Y_Quote</v>
      </c>
      <c r="AE91" s="165" t="s">
        <v>1570</v>
      </c>
      <c r="AF91" s="165">
        <f>_xll.ohObjectCreationTime(AE91)</f>
        <v>41709.402182939812</v>
      </c>
    </row>
    <row r="92" spans="30:32" x14ac:dyDescent="0.25">
      <c r="AD92" s="165" t="str">
        <v>EUR2MD_SYNTH3M_Quote</v>
      </c>
      <c r="AE92" s="165" t="s">
        <v>1595</v>
      </c>
      <c r="AF92" s="165">
        <f>_xll.ohObjectCreationTime(AE92)</f>
        <v>41709.402182986109</v>
      </c>
    </row>
    <row r="93" spans="30:32" x14ac:dyDescent="0.25">
      <c r="AD93" s="165" t="str">
        <v>EUR2MD_SYNTH6M_Quote</v>
      </c>
      <c r="AE93" s="165" t="s">
        <v>481</v>
      </c>
      <c r="AF93" s="165">
        <f>_xll.ohObjectCreationTime(AE93)</f>
        <v>41709.402183020837</v>
      </c>
    </row>
    <row r="94" spans="30:32" x14ac:dyDescent="0.25">
      <c r="AD94" s="165" t="str">
        <v>EUR2S12_Quote</v>
      </c>
      <c r="AE94" s="165" t="s">
        <v>1565</v>
      </c>
      <c r="AF94" s="165">
        <f>_xll.ohObjectCreationTime(AE94)</f>
        <v>41709.402183067126</v>
      </c>
    </row>
    <row r="95" spans="30:32" x14ac:dyDescent="0.25">
      <c r="AD95" s="165" t="str">
        <v>EUR2S24_Quote</v>
      </c>
      <c r="AE95" s="165" t="s">
        <v>496</v>
      </c>
      <c r="AF95" s="165">
        <f>_xll.ohObjectCreationTime(AE95)</f>
        <v>41709.402183090278</v>
      </c>
    </row>
    <row r="96" spans="30:32" x14ac:dyDescent="0.25">
      <c r="AD96" s="165" t="str">
        <v>EUR2WD_Quote</v>
      </c>
      <c r="AE96" s="165" t="s">
        <v>419</v>
      </c>
      <c r="AF96" s="165">
        <f>_xll.ohObjectCreationTime(AE96)</f>
        <v>41709.402183182872</v>
      </c>
    </row>
    <row r="97" spans="30:32" x14ac:dyDescent="0.25">
      <c r="AD97" s="165" t="str">
        <v>EUR2WD_SYNTH1M_Quote</v>
      </c>
      <c r="AE97" s="165" t="s">
        <v>1574</v>
      </c>
      <c r="AF97" s="165">
        <f>_xll.ohObjectCreationTime(AE97)</f>
        <v>41709.402183206017</v>
      </c>
    </row>
    <row r="98" spans="30:32" x14ac:dyDescent="0.25">
      <c r="AD98" s="165" t="str">
        <v>EUR2WD_SYNTH1Y_Quote</v>
      </c>
      <c r="AE98" s="165" t="s">
        <v>1594</v>
      </c>
      <c r="AF98" s="165">
        <f>_xll.ohObjectCreationTime(AE98)</f>
        <v>41709.402183229169</v>
      </c>
    </row>
    <row r="99" spans="30:32" x14ac:dyDescent="0.25">
      <c r="AD99" s="165" t="str">
        <v>EUR2WD_SYNTH3M_Quote</v>
      </c>
      <c r="AE99" s="165" t="s">
        <v>1583</v>
      </c>
      <c r="AF99" s="165">
        <f>_xll.ohObjectCreationTime(AE99)</f>
        <v>41709.402183240738</v>
      </c>
    </row>
    <row r="100" spans="30:32" x14ac:dyDescent="0.25">
      <c r="AD100" s="165" t="str">
        <v>EUR2WD_SYNTH6M_Quote</v>
      </c>
      <c r="AE100" s="165" t="s">
        <v>1590</v>
      </c>
      <c r="AF100" s="165">
        <f>_xll.ohObjectCreationTime(AE100)</f>
        <v>41709.40218326389</v>
      </c>
    </row>
    <row r="101" spans="30:32" x14ac:dyDescent="0.25">
      <c r="AD101" s="165" t="str">
        <v>EUR2x14F_SYNTH1Y_Quote</v>
      </c>
      <c r="AE101" s="165" t="s">
        <v>391</v>
      </c>
      <c r="AF101" s="165">
        <f>_xll.ohObjectCreationTime(AE101)</f>
        <v>41709.402183287035</v>
      </c>
    </row>
    <row r="102" spans="30:32" x14ac:dyDescent="0.25">
      <c r="AD102" s="165" t="str">
        <v>EUR2X1S_Quote</v>
      </c>
      <c r="AE102" s="165" t="s">
        <v>1569</v>
      </c>
      <c r="AF102" s="165">
        <f>_xll.ohObjectCreationTime(AE102)</f>
        <v>41709.402183298611</v>
      </c>
    </row>
    <row r="103" spans="30:32" x14ac:dyDescent="0.25">
      <c r="AD103" s="165" t="str">
        <v>EUR2x5F_Quote</v>
      </c>
      <c r="AE103" s="165" t="s">
        <v>412</v>
      </c>
      <c r="AF103" s="165">
        <f>_xll.ohObjectCreationTime(AE103)</f>
        <v>41709.402183321756</v>
      </c>
    </row>
    <row r="104" spans="30:32" x14ac:dyDescent="0.25">
      <c r="AD104" s="165" t="str">
        <v>EUR2x8F_Quote</v>
      </c>
      <c r="AE104" s="165" t="s">
        <v>1564</v>
      </c>
      <c r="AF104" s="165">
        <f>_xll.ohObjectCreationTime(AE104)</f>
        <v>41709.402183333332</v>
      </c>
    </row>
    <row r="105" spans="30:32" x14ac:dyDescent="0.25">
      <c r="AD105" s="165" t="str">
        <v>EUR30x42F_SYNTH1Y_Quote</v>
      </c>
      <c r="AE105" s="165" t="s">
        <v>474</v>
      </c>
      <c r="AF105" s="165">
        <f>_xll.ohObjectCreationTime(AE105)</f>
        <v>41709.402183356484</v>
      </c>
    </row>
    <row r="106" spans="30:32" x14ac:dyDescent="0.25">
      <c r="AD106" s="165" t="str">
        <v>EUR31x43F_SYNTH1Y_Quote</v>
      </c>
      <c r="AE106" s="165" t="s">
        <v>480</v>
      </c>
      <c r="AF106" s="165">
        <f>_xll.ohObjectCreationTime(AE106)</f>
        <v>41709.402183368053</v>
      </c>
    </row>
    <row r="107" spans="30:32" x14ac:dyDescent="0.25">
      <c r="AD107" s="165" t="str">
        <v>EUR32x44F_SYNTH1Y_Quote</v>
      </c>
      <c r="AE107" s="165" t="s">
        <v>1567</v>
      </c>
      <c r="AF107" s="165">
        <f>_xll.ohObjectCreationTime(AE107)</f>
        <v>41709.402183449078</v>
      </c>
    </row>
    <row r="108" spans="30:32" x14ac:dyDescent="0.25">
      <c r="AD108" s="165" t="str">
        <v>EUR33x45F_SYNTH1Y_Quote</v>
      </c>
      <c r="AE108" s="165" t="s">
        <v>389</v>
      </c>
      <c r="AF108" s="165">
        <f>_xll.ohObjectCreationTime(AE108)</f>
        <v>41709.402183460646</v>
      </c>
    </row>
    <row r="109" spans="30:32" x14ac:dyDescent="0.25">
      <c r="AD109" s="165" t="str">
        <v>EUR34x46F_SYNTH1Y_Quote</v>
      </c>
      <c r="AE109" s="165" t="s">
        <v>1596</v>
      </c>
      <c r="AF109" s="165">
        <f>_xll.ohObjectCreationTime(AE109)</f>
        <v>41709.402183495367</v>
      </c>
    </row>
    <row r="110" spans="30:32" x14ac:dyDescent="0.25">
      <c r="AD110" s="165" t="str">
        <v>EUR35x47F_SYNTH1Y_Quote</v>
      </c>
      <c r="AE110" s="165" t="s">
        <v>1593</v>
      </c>
      <c r="AF110" s="165">
        <f>_xll.ohObjectCreationTime(AE110)</f>
        <v>41709.402183506943</v>
      </c>
    </row>
    <row r="111" spans="30:32" x14ac:dyDescent="0.25">
      <c r="AD111" s="165" t="str">
        <v>EUR37x49F_SYNTH1Y_Quote</v>
      </c>
      <c r="AE111" s="165" t="s">
        <v>1581</v>
      </c>
      <c r="AF111" s="165">
        <f>_xll.ohObjectCreationTime(AE111)</f>
        <v>41709.402183530095</v>
      </c>
    </row>
    <row r="112" spans="30:32" x14ac:dyDescent="0.25">
      <c r="AD112" s="165" t="str">
        <v>EUR38x50F_SYNTH1Y_Quote</v>
      </c>
      <c r="AE112" s="165" t="s">
        <v>1592</v>
      </c>
      <c r="AF112" s="165">
        <f>_xll.ohObjectCreationTime(AE112)</f>
        <v>41709.40218355324</v>
      </c>
    </row>
    <row r="113" spans="30:32" x14ac:dyDescent="0.25">
      <c r="AD113" s="165" t="str">
        <v>EUR39x51F_SYNTH1Y_Quote</v>
      </c>
      <c r="AE113" s="165" t="s">
        <v>417</v>
      </c>
      <c r="AF113" s="165">
        <f>_xll.ohObjectCreationTime(AE113)</f>
        <v>41709.402183564816</v>
      </c>
    </row>
    <row r="114" spans="30:32" x14ac:dyDescent="0.25">
      <c r="AD114" s="165" t="str">
        <v>EUR3E6E10Y_Quote</v>
      </c>
      <c r="AE114" s="165" t="s">
        <v>1572</v>
      </c>
      <c r="AF114" s="165">
        <f>_xll.ohObjectCreationTime(AE114)</f>
        <v>41709.402183587961</v>
      </c>
    </row>
    <row r="115" spans="30:32" x14ac:dyDescent="0.25">
      <c r="AD115" s="165" t="str">
        <v>EUR3E6E11Y_Quote</v>
      </c>
      <c r="AE115" s="165" t="s">
        <v>478</v>
      </c>
      <c r="AF115" s="165">
        <f>_xll.ohObjectCreationTime(AE115)</f>
        <v>41709.402183599537</v>
      </c>
    </row>
    <row r="116" spans="30:32" x14ac:dyDescent="0.25">
      <c r="AD116" s="165" t="str">
        <v>EUR3E6E12Y_Quote</v>
      </c>
      <c r="AE116" s="165" t="s">
        <v>1589</v>
      </c>
      <c r="AF116" s="165">
        <f>_xll.ohObjectCreationTime(AE116)</f>
        <v>41709.402183622682</v>
      </c>
    </row>
    <row r="117" spans="30:32" x14ac:dyDescent="0.25">
      <c r="AD117" s="165" t="str">
        <v>EUR3E6E13Y_Quote</v>
      </c>
      <c r="AE117" s="165" t="s">
        <v>1562</v>
      </c>
      <c r="AF117" s="165">
        <f>_xll.ohObjectCreationTime(AE117)</f>
        <v>41709.402183645834</v>
      </c>
    </row>
    <row r="118" spans="30:32" x14ac:dyDescent="0.25">
      <c r="AD118" s="165" t="str">
        <v>EUR3E6E14Y_Quote</v>
      </c>
      <c r="AE118" s="165" t="s">
        <v>786</v>
      </c>
      <c r="AF118" s="165">
        <f>_xll.ohObjectCreationTime(AE118)</f>
        <v>41709.402184166669</v>
      </c>
    </row>
    <row r="119" spans="30:32" x14ac:dyDescent="0.25">
      <c r="AD119" s="165" t="str">
        <v>EUR3E6E15M_Quote</v>
      </c>
      <c r="AE119" s="165" t="s">
        <v>792</v>
      </c>
      <c r="AF119" s="165">
        <f>_xll.ohObjectCreationTime(AE119)</f>
        <v>41709.402184189814</v>
      </c>
    </row>
    <row r="120" spans="30:32" x14ac:dyDescent="0.25">
      <c r="AD120" s="165" t="str">
        <v>EUR3E6E15Y_Quote</v>
      </c>
      <c r="AE120" s="165" t="s">
        <v>393</v>
      </c>
      <c r="AF120" s="165">
        <f>_xll.ohObjectCreationTime(AE120)</f>
        <v>41709.402184212966</v>
      </c>
    </row>
    <row r="121" spans="30:32" x14ac:dyDescent="0.25">
      <c r="AD121" s="165" t="str">
        <v>EUR3E6E16Y_Quote</v>
      </c>
      <c r="AE121" s="165" t="s">
        <v>414</v>
      </c>
      <c r="AF121" s="165">
        <f>_xll.ohObjectCreationTime(AE121)</f>
        <v>41709.402184224535</v>
      </c>
    </row>
    <row r="122" spans="30:32" x14ac:dyDescent="0.25">
      <c r="AD122" s="165" t="str">
        <v>EUR3E6E17Y_Quote</v>
      </c>
      <c r="AE122" s="165" t="s">
        <v>772</v>
      </c>
      <c r="AF122" s="165">
        <f>_xll.ohObjectCreationTime(AE122)</f>
        <v>41709.402184247687</v>
      </c>
    </row>
    <row r="123" spans="30:32" x14ac:dyDescent="0.25">
      <c r="AD123" s="165" t="str">
        <v>EUR3E6E18M_Quote</v>
      </c>
      <c r="AE123" s="165" t="s">
        <v>765</v>
      </c>
      <c r="AF123" s="165">
        <f>_xll.ohObjectCreationTime(AE123)</f>
        <v>41709.402184270832</v>
      </c>
    </row>
    <row r="124" spans="30:32" x14ac:dyDescent="0.25">
      <c r="AD124" s="165" t="str">
        <v>EUR3E6E18Y_Quote</v>
      </c>
      <c r="AE124" s="165" t="s">
        <v>779</v>
      </c>
      <c r="AF124" s="165">
        <f>_xll.ohObjectCreationTime(AE124)</f>
        <v>41709.402184293984</v>
      </c>
    </row>
    <row r="125" spans="30:32" x14ac:dyDescent="0.25">
      <c r="AD125" s="165" t="str">
        <v>EUR3E6E19Y_Quote</v>
      </c>
      <c r="AE125" s="165" t="s">
        <v>332</v>
      </c>
      <c r="AF125" s="165">
        <f>_xll.ohObjectCreationTime(AE125)</f>
        <v>41709.402184317129</v>
      </c>
    </row>
    <row r="126" spans="30:32" x14ac:dyDescent="0.25">
      <c r="AD126" s="165" t="str">
        <v>EUR3E6E1Y_Quote</v>
      </c>
      <c r="AE126" s="165" t="s">
        <v>790</v>
      </c>
      <c r="AF126" s="165">
        <f>_xll.ohObjectCreationTime(AE126)</f>
        <v>41709.402184340281</v>
      </c>
    </row>
    <row r="127" spans="30:32" x14ac:dyDescent="0.25">
      <c r="AD127" s="165" t="str">
        <v>EUR3E6E20Y_Quote</v>
      </c>
      <c r="AE127" s="165" t="s">
        <v>799</v>
      </c>
      <c r="AF127" s="165">
        <f>_xll.ohObjectCreationTime(AE127)</f>
        <v>41709.402184363425</v>
      </c>
    </row>
    <row r="128" spans="30:32" x14ac:dyDescent="0.25">
      <c r="AD128" s="165" t="str">
        <v>EUR3E6E21M_Quote</v>
      </c>
      <c r="AE128" s="165" t="s">
        <v>567</v>
      </c>
      <c r="AF128" s="165">
        <f>_xll.ohObjectCreationTime(AE128)</f>
        <v>41709.402184375002</v>
      </c>
    </row>
    <row r="129" spans="30:32" x14ac:dyDescent="0.25">
      <c r="AD129" s="165" t="str">
        <v>EUR3E6E21Y_Quote</v>
      </c>
      <c r="AE129" s="165" t="s">
        <v>783</v>
      </c>
      <c r="AF129" s="165">
        <f>_xll.ohObjectCreationTime(AE129)</f>
        <v>41709.402184398146</v>
      </c>
    </row>
    <row r="130" spans="30:32" x14ac:dyDescent="0.25">
      <c r="AD130" s="165" t="str">
        <v>EUR3E6E22Y_Quote</v>
      </c>
      <c r="AE130" s="165" t="s">
        <v>507</v>
      </c>
      <c r="AF130" s="165">
        <f>_xll.ohObjectCreationTime(AE130)</f>
        <v>41709.402184421298</v>
      </c>
    </row>
    <row r="131" spans="30:32" x14ac:dyDescent="0.25">
      <c r="AD131" s="165" t="str">
        <v>EUR3E6E23Y_Quote</v>
      </c>
      <c r="AE131" s="165" t="s">
        <v>327</v>
      </c>
      <c r="AF131" s="165">
        <f>_xll.ohObjectCreationTime(AE131)</f>
        <v>41709.402184432867</v>
      </c>
    </row>
    <row r="132" spans="30:32" x14ac:dyDescent="0.25">
      <c r="AD132" s="165" t="str">
        <v>EUR3E6E24Y_Quote</v>
      </c>
      <c r="AE132" s="165" t="s">
        <v>415</v>
      </c>
      <c r="AF132" s="165">
        <f>_xll.ohObjectCreationTime(AE132)</f>
        <v>41709.402184456019</v>
      </c>
    </row>
    <row r="133" spans="30:32" x14ac:dyDescent="0.25">
      <c r="AD133" s="165" t="str">
        <v>EUR3E6E25Y_Quote</v>
      </c>
      <c r="AE133" s="165" t="s">
        <v>476</v>
      </c>
      <c r="AF133" s="165">
        <f>_xll.ohObjectCreationTime(AE133)</f>
        <v>41709.402184479164</v>
      </c>
    </row>
    <row r="134" spans="30:32" x14ac:dyDescent="0.25">
      <c r="AD134" s="165" t="str">
        <v>EUR3E6E26Y_Quote</v>
      </c>
      <c r="AE134" s="165" t="s">
        <v>771</v>
      </c>
      <c r="AF134" s="165">
        <f>_xll.ohObjectCreationTime(AE134)</f>
        <v>41709.402184502316</v>
      </c>
    </row>
    <row r="135" spans="30:32" x14ac:dyDescent="0.25">
      <c r="AD135" s="165" t="str">
        <v>EUR3E6E27Y_Quote</v>
      </c>
      <c r="AE135" s="165" t="s">
        <v>789</v>
      </c>
      <c r="AF135" s="165">
        <f>_xll.ohObjectCreationTime(AE135)</f>
        <v>41709.402184513892</v>
      </c>
    </row>
    <row r="136" spans="30:32" x14ac:dyDescent="0.25">
      <c r="AD136" s="165" t="str">
        <v>EUR3E6E28Y_Quote</v>
      </c>
      <c r="AE136" s="165" t="s">
        <v>793</v>
      </c>
      <c r="AF136" s="165">
        <f>_xll.ohObjectCreationTime(AE136)</f>
        <v>41709.402184537037</v>
      </c>
    </row>
    <row r="137" spans="30:32" x14ac:dyDescent="0.25">
      <c r="AD137" s="165" t="str">
        <v>EUR3E6E29Y_Quote</v>
      </c>
      <c r="AE137" s="165" t="s">
        <v>335</v>
      </c>
      <c r="AF137" s="165">
        <f>_xll.ohObjectCreationTime(AE137)</f>
        <v>41709.402184560182</v>
      </c>
    </row>
    <row r="138" spans="30:32" x14ac:dyDescent="0.25">
      <c r="AD138" s="165" t="str">
        <v>EUR3E6E2Y_Quote</v>
      </c>
      <c r="AE138" s="165" t="s">
        <v>770</v>
      </c>
      <c r="AF138" s="165">
        <f>_xll.ohObjectCreationTime(AE138)</f>
        <v>41709.402184571758</v>
      </c>
    </row>
    <row r="139" spans="30:32" x14ac:dyDescent="0.25">
      <c r="AD139" s="165" t="str">
        <v>EUR3E6E30Y_Quote</v>
      </c>
      <c r="AE139" s="165" t="s">
        <v>769</v>
      </c>
      <c r="AF139" s="165">
        <f>_xll.ohObjectCreationTime(AE139)</f>
        <v>41709.40218459491</v>
      </c>
    </row>
    <row r="140" spans="30:32" x14ac:dyDescent="0.25">
      <c r="AD140" s="165" t="str">
        <v>EUR3E6E35Y_Quote</v>
      </c>
      <c r="AE140" s="165" t="s">
        <v>767</v>
      </c>
      <c r="AF140" s="165">
        <f>_xll.ohObjectCreationTime(AE140)</f>
        <v>41709.402184618055</v>
      </c>
    </row>
    <row r="141" spans="30:32" x14ac:dyDescent="0.25">
      <c r="AD141" s="165" t="str">
        <v>EUR3E6E3Y_Quote</v>
      </c>
      <c r="AE141" s="165" t="s">
        <v>777</v>
      </c>
      <c r="AF141" s="165">
        <f>_xll.ohObjectCreationTime(AE141)</f>
        <v>41709.402184629631</v>
      </c>
    </row>
    <row r="142" spans="30:32" x14ac:dyDescent="0.25">
      <c r="AD142" s="165" t="str">
        <v>EUR3E6E40Y_Quote</v>
      </c>
      <c r="AE142" s="165" t="s">
        <v>785</v>
      </c>
      <c r="AF142" s="165">
        <f>_xll.ohObjectCreationTime(AE142)</f>
        <v>41709.402184652776</v>
      </c>
    </row>
    <row r="143" spans="30:32" x14ac:dyDescent="0.25">
      <c r="AD143" s="165" t="str">
        <v>EUR3E6E4Y_Quote</v>
      </c>
      <c r="AE143" s="165" t="s">
        <v>773</v>
      </c>
      <c r="AF143" s="165">
        <f>_xll.ohObjectCreationTime(AE143)</f>
        <v>41709.402184675928</v>
      </c>
    </row>
    <row r="144" spans="30:32" x14ac:dyDescent="0.25">
      <c r="AD144" s="165" t="str">
        <v>EUR3E6E50Y_Quote</v>
      </c>
      <c r="AE144" s="165" t="s">
        <v>768</v>
      </c>
      <c r="AF144" s="165">
        <f>_xll.ohObjectCreationTime(AE144)</f>
        <v>41709.402184699073</v>
      </c>
    </row>
    <row r="145" spans="30:32" x14ac:dyDescent="0.25">
      <c r="AD145" s="165" t="str">
        <v>EUR3E6E5Y_Quote</v>
      </c>
      <c r="AE145" s="165" t="s">
        <v>780</v>
      </c>
      <c r="AF145" s="165">
        <f>_xll.ohObjectCreationTime(AE145)</f>
        <v>41709.402184710649</v>
      </c>
    </row>
    <row r="146" spans="30:32" x14ac:dyDescent="0.25">
      <c r="AD146" s="165" t="str">
        <v>EUR3E6E60Y_Quote</v>
      </c>
      <c r="AE146" s="165" t="s">
        <v>794</v>
      </c>
      <c r="AF146" s="165">
        <f>_xll.ohObjectCreationTime(AE146)</f>
        <v>41709.402184733794</v>
      </c>
    </row>
    <row r="147" spans="30:32" x14ac:dyDescent="0.25">
      <c r="AD147" s="165" t="str">
        <v>EUR3E6E6M_Quote</v>
      </c>
      <c r="AE147" s="165" t="s">
        <v>776</v>
      </c>
      <c r="AF147" s="165">
        <f>_xll.ohObjectCreationTime(AE147)</f>
        <v>41709.402184756946</v>
      </c>
    </row>
    <row r="148" spans="30:32" x14ac:dyDescent="0.25">
      <c r="AD148" s="165" t="str">
        <v>EUR3E6E6Y_Quote</v>
      </c>
      <c r="AE148" s="165" t="s">
        <v>788</v>
      </c>
      <c r="AF148" s="165">
        <f>_xll.ohObjectCreationTime(AE148)</f>
        <v>41709.402184768522</v>
      </c>
    </row>
    <row r="149" spans="30:32" x14ac:dyDescent="0.25">
      <c r="AD149" s="165" t="str">
        <v>EUR3E6E7Y_Quote</v>
      </c>
      <c r="AE149" s="165" t="s">
        <v>778</v>
      </c>
      <c r="AF149" s="165">
        <f>_xll.ohObjectCreationTime(AE149)</f>
        <v>41709.402184791667</v>
      </c>
    </row>
    <row r="150" spans="30:32" x14ac:dyDescent="0.25">
      <c r="AD150" s="165" t="str">
        <v>EUR3E6E8Y_Quote</v>
      </c>
      <c r="AE150" s="165" t="s">
        <v>552</v>
      </c>
      <c r="AF150" s="165">
        <f>_xll.ohObjectCreationTime(AE150)</f>
        <v>41709.402184814811</v>
      </c>
    </row>
    <row r="151" spans="30:32" x14ac:dyDescent="0.25">
      <c r="AD151" s="165" t="str">
        <v>EUR3E6E9Y_Quote</v>
      </c>
      <c r="AE151" s="165" t="s">
        <v>395</v>
      </c>
      <c r="AF151" s="165">
        <f>_xll.ohObjectCreationTime(AE151)</f>
        <v>41709.402184826387</v>
      </c>
    </row>
    <row r="152" spans="30:32" x14ac:dyDescent="0.25">
      <c r="AD152" s="165" t="str">
        <v>EUR3MD_Quote</v>
      </c>
      <c r="AE152" s="165" t="s">
        <v>422</v>
      </c>
      <c r="AF152" s="165">
        <f>_xll.ohObjectCreationTime(AE152)</f>
        <v>41709.402184849539</v>
      </c>
    </row>
    <row r="153" spans="30:32" x14ac:dyDescent="0.25">
      <c r="AD153" s="165" t="str">
        <v>EUR3MD_SYNTH1Y_Quote</v>
      </c>
      <c r="AE153" s="165" t="s">
        <v>766</v>
      </c>
      <c r="AF153" s="165">
        <f>_xll.ohObjectCreationTime(AE153)</f>
        <v>41709.402184872684</v>
      </c>
    </row>
    <row r="154" spans="30:32" x14ac:dyDescent="0.25">
      <c r="AD154" s="165" t="str">
        <v>EUR3MD_SYNTH3M_Quote</v>
      </c>
      <c r="AE154" s="165" t="s">
        <v>500</v>
      </c>
      <c r="AF154" s="165">
        <f>_xll.ohObjectCreationTime(AE154)</f>
        <v>41709.40218488426</v>
      </c>
    </row>
    <row r="155" spans="30:32" x14ac:dyDescent="0.25">
      <c r="AD155" s="165" t="str">
        <v>EUR3MD_SYNTH6M_Quote</v>
      </c>
      <c r="AE155" s="165" t="s">
        <v>774</v>
      </c>
      <c r="AF155" s="165">
        <f>_xll.ohObjectCreationTime(AE155)</f>
        <v>41709.402184907405</v>
      </c>
    </row>
    <row r="156" spans="30:32" x14ac:dyDescent="0.25">
      <c r="AD156" s="165" t="str">
        <v>EUR3S12_Quote</v>
      </c>
      <c r="AE156" s="165" t="s">
        <v>558</v>
      </c>
      <c r="AF156" s="165">
        <f>_xll.ohObjectCreationTime(AE156)</f>
        <v>41709.402184930557</v>
      </c>
    </row>
    <row r="157" spans="30:32" x14ac:dyDescent="0.25">
      <c r="AD157" s="165" t="str">
        <v>EUR3WD_Quote</v>
      </c>
      <c r="AE157" s="165" t="s">
        <v>562</v>
      </c>
      <c r="AF157" s="165">
        <f>_xll.ohObjectCreationTime(AE157)</f>
        <v>41709.402184953702</v>
      </c>
    </row>
    <row r="158" spans="30:32" x14ac:dyDescent="0.25">
      <c r="AD158" s="165" t="str">
        <v>EUR3WD_SYNTH1M_Quote</v>
      </c>
      <c r="AE158" s="165" t="s">
        <v>781</v>
      </c>
      <c r="AF158" s="165">
        <f>_xll.ohObjectCreationTime(AE158)</f>
        <v>41709.402184965278</v>
      </c>
    </row>
    <row r="159" spans="30:32" x14ac:dyDescent="0.25">
      <c r="AD159" s="165" t="str">
        <v>EUR3WD_SYNTH1Y_Quote</v>
      </c>
      <c r="AE159" s="165" t="s">
        <v>796</v>
      </c>
      <c r="AF159" s="165">
        <f>_xll.ohObjectCreationTime(AE159)</f>
        <v>41709.402184988423</v>
      </c>
    </row>
    <row r="160" spans="30:32" x14ac:dyDescent="0.25">
      <c r="AD160" s="165" t="str">
        <v>EUR3WD_SYNTH3M_Quote</v>
      </c>
      <c r="AE160" s="165" t="s">
        <v>394</v>
      </c>
      <c r="AF160" s="165">
        <f>_xll.ohObjectCreationTime(AE160)</f>
        <v>41709.402185011575</v>
      </c>
    </row>
    <row r="161" spans="30:32" x14ac:dyDescent="0.25">
      <c r="AD161" s="165" t="str">
        <v>EUR3WD_SYNTH6M_Quote</v>
      </c>
      <c r="AE161" s="165" t="s">
        <v>787</v>
      </c>
      <c r="AF161" s="165">
        <f>_xll.ohObjectCreationTime(AE161)</f>
        <v>41709.40218503472</v>
      </c>
    </row>
    <row r="162" spans="30:32" x14ac:dyDescent="0.25">
      <c r="AD162" s="165" t="str">
        <v>EUR3x15F_SYNTH1Y_Quote</v>
      </c>
      <c r="AE162" s="165" t="s">
        <v>497</v>
      </c>
      <c r="AF162" s="165">
        <f>_xll.ohObjectCreationTime(AE162)</f>
        <v>41709.402185046296</v>
      </c>
    </row>
    <row r="163" spans="30:32" x14ac:dyDescent="0.25">
      <c r="AD163" s="165" t="str">
        <v>EUR3X1S_Quote</v>
      </c>
      <c r="AE163" s="165" t="s">
        <v>795</v>
      </c>
      <c r="AF163" s="165">
        <f>_xll.ohObjectCreationTime(AE163)</f>
        <v>41709.402185069448</v>
      </c>
    </row>
    <row r="164" spans="30:32" x14ac:dyDescent="0.25">
      <c r="AD164" s="165" t="str">
        <v>EUR3x6F_Quote</v>
      </c>
      <c r="AE164" s="165" t="s">
        <v>797</v>
      </c>
      <c r="AF164" s="165">
        <f>_xll.ohObjectCreationTime(AE164)</f>
        <v>41709.402185092593</v>
      </c>
    </row>
    <row r="165" spans="30:32" x14ac:dyDescent="0.25">
      <c r="AD165" s="165" t="str">
        <v>EUR3x9F_Quote</v>
      </c>
      <c r="AE165" s="165" t="s">
        <v>483</v>
      </c>
      <c r="AF165" s="165">
        <f>_xll.ohObjectCreationTime(AE165)</f>
        <v>41709.402185115738</v>
      </c>
    </row>
    <row r="166" spans="30:32" x14ac:dyDescent="0.25">
      <c r="AD166" s="165" t="str">
        <v>EUR40x52F_SYNTH1Y_Quote</v>
      </c>
      <c r="AE166" s="165" t="s">
        <v>784</v>
      </c>
      <c r="AF166" s="165">
        <f>_xll.ohObjectCreationTime(AE166)</f>
        <v>41709.402185127314</v>
      </c>
    </row>
    <row r="167" spans="30:32" x14ac:dyDescent="0.25">
      <c r="AD167" s="165" t="str">
        <v>EUR41x53F_SYNTH1Y_Quote</v>
      </c>
      <c r="AE167" s="165" t="s">
        <v>798</v>
      </c>
      <c r="AF167" s="165">
        <f>_xll.ohObjectCreationTime(AE167)</f>
        <v>41709.402185150466</v>
      </c>
    </row>
    <row r="168" spans="30:32" x14ac:dyDescent="0.25">
      <c r="AD168" s="165" t="str">
        <v>EUR42x54F_SYNTH1Y_Quote</v>
      </c>
      <c r="AE168" s="165" t="s">
        <v>791</v>
      </c>
      <c r="AF168" s="165">
        <f>_xll.ohObjectCreationTime(AE168)</f>
        <v>41709.402185173611</v>
      </c>
    </row>
    <row r="169" spans="30:32" x14ac:dyDescent="0.25">
      <c r="AD169" s="165" t="str">
        <v>EUR43x55F_SYNTH1Y_Quote</v>
      </c>
      <c r="AE169" s="165" t="s">
        <v>775</v>
      </c>
      <c r="AF169" s="165">
        <f>_xll.ohObjectCreationTime(AE169)</f>
        <v>41709.402185196763</v>
      </c>
    </row>
    <row r="170" spans="30:32" x14ac:dyDescent="0.25">
      <c r="AD170" s="165" t="str">
        <v>EUR44x56F_SYNTH1Y_Quote</v>
      </c>
      <c r="AE170" s="165" t="s">
        <v>764</v>
      </c>
      <c r="AF170" s="165">
        <f>_xll.ohObjectCreationTime(AE170)</f>
        <v>41709.402185219908</v>
      </c>
    </row>
    <row r="171" spans="30:32" x14ac:dyDescent="0.25">
      <c r="AD171" s="165" t="str">
        <v>EUR45x57F_SYNTH1Y_Quote</v>
      </c>
      <c r="AE171" s="165" t="s">
        <v>782</v>
      </c>
      <c r="AF171" s="165">
        <f>_xll.ohObjectCreationTime(AE171)</f>
        <v>41709.402185243052</v>
      </c>
    </row>
    <row r="172" spans="30:32" x14ac:dyDescent="0.25">
      <c r="AD172" s="165" t="str">
        <v>EUR46x58F_SYNTH1Y_Quote</v>
      </c>
      <c r="AE172" s="165" t="s">
        <v>654</v>
      </c>
      <c r="AF172" s="165">
        <f>_xll.ohObjectCreationTime(AE172)</f>
        <v>41709.402185486113</v>
      </c>
    </row>
    <row r="173" spans="30:32" x14ac:dyDescent="0.25">
      <c r="AD173" s="165" t="str">
        <v>EUR47x59F_SYNTH1Y_Quote</v>
      </c>
      <c r="AE173" s="165" t="s">
        <v>742</v>
      </c>
      <c r="AF173" s="165">
        <f>_xll.ohObjectCreationTime(AE173)</f>
        <v>41709.402185520834</v>
      </c>
    </row>
    <row r="174" spans="30:32" x14ac:dyDescent="0.25">
      <c r="AD174" s="165" t="str">
        <v>EUR4MD_Quote</v>
      </c>
      <c r="AE174" s="165" t="s">
        <v>738</v>
      </c>
      <c r="AF174" s="165">
        <f>_xll.ohObjectCreationTime(AE174)</f>
        <v>41709.40218553241</v>
      </c>
    </row>
    <row r="175" spans="30:32" x14ac:dyDescent="0.25">
      <c r="AD175" s="165" t="str">
        <v>EUR4MD_SYNTH1Y_Quote</v>
      </c>
      <c r="AE175" s="165" t="s">
        <v>718</v>
      </c>
      <c r="AF175" s="165">
        <f>_xll.ohObjectCreationTime(AE175)</f>
        <v>41709.402185555555</v>
      </c>
    </row>
    <row r="176" spans="30:32" x14ac:dyDescent="0.25">
      <c r="AD176" s="165" t="str">
        <v>EUR4MD_SYNTH6M_Quote</v>
      </c>
      <c r="AE176" s="165" t="s">
        <v>759</v>
      </c>
      <c r="AF176" s="165">
        <f>_xll.ohObjectCreationTime(AE176)</f>
        <v>41709.402185578707</v>
      </c>
    </row>
    <row r="177" spans="30:32" x14ac:dyDescent="0.25">
      <c r="AD177" s="165" t="str">
        <v>EUR4S12_Quote</v>
      </c>
      <c r="AE177" s="165" t="s">
        <v>650</v>
      </c>
      <c r="AF177" s="165">
        <f>_xll.ohObjectCreationTime(AE177)</f>
        <v>41709.402185601852</v>
      </c>
    </row>
    <row r="178" spans="30:32" x14ac:dyDescent="0.25">
      <c r="AD178" s="165" t="str">
        <v>EUR4x10F_Quote</v>
      </c>
      <c r="AE178" s="165" t="s">
        <v>728</v>
      </c>
      <c r="AF178" s="165">
        <f>_xll.ohObjectCreationTime(AE178)</f>
        <v>41709.402185624996</v>
      </c>
    </row>
    <row r="179" spans="30:32" x14ac:dyDescent="0.25">
      <c r="AD179" s="165" t="str">
        <v>EUR4x16F_SYNTH1Y_Quote</v>
      </c>
      <c r="AE179" s="165" t="s">
        <v>733</v>
      </c>
      <c r="AF179" s="165">
        <f>_xll.ohObjectCreationTime(AE179)</f>
        <v>41709.402185648149</v>
      </c>
    </row>
    <row r="180" spans="30:32" x14ac:dyDescent="0.25">
      <c r="AD180" s="165" t="str">
        <v>EUR4X1S_Quote</v>
      </c>
      <c r="AE180" s="165" t="s">
        <v>644</v>
      </c>
      <c r="AF180" s="165">
        <f>_xll.ohObjectCreationTime(AE180)</f>
        <v>41709.402185671293</v>
      </c>
    </row>
    <row r="181" spans="30:32" x14ac:dyDescent="0.25">
      <c r="AD181" s="165" t="str">
        <v>EUR4x7F_Quote</v>
      </c>
      <c r="AE181" s="165" t="s">
        <v>647</v>
      </c>
      <c r="AF181" s="165">
        <f>_xll.ohObjectCreationTime(AE181)</f>
        <v>41709.402185706022</v>
      </c>
    </row>
    <row r="182" spans="30:32" x14ac:dyDescent="0.25">
      <c r="AD182" s="165" t="str">
        <v>EUR5MD_Quote</v>
      </c>
      <c r="AE182" s="165" t="s">
        <v>678</v>
      </c>
      <c r="AF182" s="165">
        <f>_xll.ohObjectCreationTime(AE182)</f>
        <v>41709.402185740742</v>
      </c>
    </row>
    <row r="183" spans="30:32" x14ac:dyDescent="0.25">
      <c r="AD183" s="165" t="str">
        <v>EUR5MD_SYNTH1Y_Quote</v>
      </c>
      <c r="AE183" s="165" t="s">
        <v>661</v>
      </c>
      <c r="AF183" s="165">
        <f>_xll.ohObjectCreationTime(AE183)</f>
        <v>41709.402185775463</v>
      </c>
    </row>
    <row r="184" spans="30:32" x14ac:dyDescent="0.25">
      <c r="AD184" s="165" t="str">
        <v>EUR5MD_SYNTH6M_Quote</v>
      </c>
      <c r="AE184" s="165" t="s">
        <v>659</v>
      </c>
      <c r="AF184" s="165">
        <f>_xll.ohObjectCreationTime(AE184)</f>
        <v>41709.402185798608</v>
      </c>
    </row>
    <row r="185" spans="30:32" x14ac:dyDescent="0.25">
      <c r="AD185" s="165" t="str">
        <v>EUR5x11F_Quote</v>
      </c>
      <c r="AE185" s="165" t="s">
        <v>721</v>
      </c>
      <c r="AF185" s="165">
        <f>_xll.ohObjectCreationTime(AE185)</f>
        <v>41709.40218582176</v>
      </c>
    </row>
    <row r="186" spans="30:32" x14ac:dyDescent="0.25">
      <c r="AD186" s="165" t="str">
        <v>EUR5x17F_SYNTH1Y_Quote</v>
      </c>
      <c r="AE186" s="165" t="s">
        <v>664</v>
      </c>
      <c r="AF186" s="165">
        <f>_xll.ohObjectCreationTime(AE186)</f>
        <v>41709.402185856481</v>
      </c>
    </row>
    <row r="187" spans="30:32" x14ac:dyDescent="0.25">
      <c r="AD187" s="165" t="str">
        <v>EUR5X1S_Quote</v>
      </c>
      <c r="AE187" s="165" t="s">
        <v>744</v>
      </c>
      <c r="AF187" s="165">
        <f>_xll.ohObjectCreationTime(AE187)</f>
        <v>41709.402185879633</v>
      </c>
    </row>
    <row r="188" spans="30:32" x14ac:dyDescent="0.25">
      <c r="AD188" s="165" t="str">
        <v>EUR5x8F_Quote</v>
      </c>
      <c r="AE188" s="165" t="s">
        <v>668</v>
      </c>
      <c r="AF188" s="165">
        <f>_xll.ohObjectCreationTime(AE188)</f>
        <v>41709.402185914354</v>
      </c>
    </row>
    <row r="189" spans="30:32" x14ac:dyDescent="0.25">
      <c r="AD189" s="165" t="str">
        <v>EUR6E12E10Y_Quote</v>
      </c>
      <c r="AE189" s="165" t="s">
        <v>749</v>
      </c>
      <c r="AF189" s="165">
        <f>_xll.ohObjectCreationTime(AE189)</f>
        <v>41709.40218597222</v>
      </c>
    </row>
    <row r="190" spans="30:32" x14ac:dyDescent="0.25">
      <c r="AD190" s="165" t="str">
        <v>EUR6E12E11Y_Quote</v>
      </c>
      <c r="AE190" s="165" t="s">
        <v>729</v>
      </c>
      <c r="AF190" s="165">
        <f>_xll.ohObjectCreationTime(AE190)</f>
        <v>41709.402185995372</v>
      </c>
    </row>
    <row r="191" spans="30:32" x14ac:dyDescent="0.25">
      <c r="AD191" s="165" t="str">
        <v>EUR6E12E12Y_Quote</v>
      </c>
      <c r="AE191" s="165" t="s">
        <v>653</v>
      </c>
      <c r="AF191" s="165">
        <f>_xll.ohObjectCreationTime(AE191)</f>
        <v>41709.402186018517</v>
      </c>
    </row>
    <row r="192" spans="30:32" x14ac:dyDescent="0.25">
      <c r="AD192" s="165" t="str">
        <v>EUR6E12E13Y_Quote</v>
      </c>
      <c r="AE192" s="165" t="s">
        <v>748</v>
      </c>
      <c r="AF192" s="165">
        <f>_xll.ohObjectCreationTime(AE192)</f>
        <v>41709.402186041669</v>
      </c>
    </row>
    <row r="193" spans="30:32" x14ac:dyDescent="0.25">
      <c r="AD193" s="165" t="str">
        <v>EUR6E12E14Y_Quote</v>
      </c>
      <c r="AE193" s="165" t="s">
        <v>717</v>
      </c>
      <c r="AF193" s="165">
        <f>_xll.ohObjectCreationTime(AE193)</f>
        <v>41709.402186053238</v>
      </c>
    </row>
    <row r="194" spans="30:32" x14ac:dyDescent="0.25">
      <c r="AD194" s="165" t="str">
        <v>EUR6E12E15M_Quote</v>
      </c>
      <c r="AE194" s="165" t="s">
        <v>674</v>
      </c>
      <c r="AF194" s="165">
        <f>_xll.ohObjectCreationTime(AE194)</f>
        <v>41709.40218607639</v>
      </c>
    </row>
    <row r="195" spans="30:32" x14ac:dyDescent="0.25">
      <c r="AD195" s="165" t="str">
        <v>EUR6E12E15Y_Quote</v>
      </c>
      <c r="AE195" s="165" t="s">
        <v>734</v>
      </c>
      <c r="AF195" s="165">
        <f>_xll.ohObjectCreationTime(AE195)</f>
        <v>41709.402186099534</v>
      </c>
    </row>
    <row r="196" spans="30:32" x14ac:dyDescent="0.25">
      <c r="AD196" s="165" t="str">
        <v>EUR6E12E16Y_Quote</v>
      </c>
      <c r="AE196" s="165" t="s">
        <v>662</v>
      </c>
      <c r="AF196" s="165">
        <f>_xll.ohObjectCreationTime(AE196)</f>
        <v>41709.402186122687</v>
      </c>
    </row>
    <row r="197" spans="30:32" x14ac:dyDescent="0.25">
      <c r="AD197" s="165" t="str">
        <v>EUR6E12E17Y_Quote</v>
      </c>
      <c r="AE197" s="165" t="s">
        <v>750</v>
      </c>
      <c r="AF197" s="165">
        <f>_xll.ohObjectCreationTime(AE197)</f>
        <v>41709.402186134263</v>
      </c>
    </row>
    <row r="198" spans="30:32" x14ac:dyDescent="0.25">
      <c r="AD198" s="165" t="str">
        <v>EUR6E12E18M_Quote</v>
      </c>
      <c r="AE198" s="165" t="s">
        <v>730</v>
      </c>
      <c r="AF198" s="165">
        <f>_xll.ohObjectCreationTime(AE198)</f>
        <v>41709.402186157407</v>
      </c>
    </row>
    <row r="199" spans="30:32" x14ac:dyDescent="0.25">
      <c r="AD199" s="165" t="str">
        <v>EUR6E12E18Y_Quote</v>
      </c>
      <c r="AE199" s="165" t="s">
        <v>677</v>
      </c>
      <c r="AF199" s="165">
        <f>_xll.ohObjectCreationTime(AE199)</f>
        <v>41709.402186180552</v>
      </c>
    </row>
    <row r="200" spans="30:32" x14ac:dyDescent="0.25">
      <c r="AD200" s="165" t="str">
        <v>EUR6E12E19Y_Quote</v>
      </c>
      <c r="AE200" s="165" t="s">
        <v>736</v>
      </c>
      <c r="AF200" s="165">
        <f>_xll.ohObjectCreationTime(AE200)</f>
        <v>41709.402186203704</v>
      </c>
    </row>
    <row r="201" spans="30:32" x14ac:dyDescent="0.25">
      <c r="AD201" s="165" t="str">
        <v>EUR6E12E1Y_Quote</v>
      </c>
      <c r="AE201" s="165" t="s">
        <v>752</v>
      </c>
      <c r="AF201" s="165">
        <f>_xll.ohObjectCreationTime(AE201)</f>
        <v>41709.402186226849</v>
      </c>
    </row>
    <row r="202" spans="30:32" x14ac:dyDescent="0.25">
      <c r="AD202" s="165" t="str">
        <v>EUR6E12E20Y_Quote</v>
      </c>
      <c r="AE202" s="165" t="s">
        <v>648</v>
      </c>
      <c r="AF202" s="165">
        <f>_xll.ohObjectCreationTime(AE202)</f>
        <v>41709.402186250001</v>
      </c>
    </row>
    <row r="203" spans="30:32" x14ac:dyDescent="0.25">
      <c r="AD203" s="165" t="str">
        <v>EUR6E12E21M_Quote</v>
      </c>
      <c r="AE203" s="165" t="s">
        <v>726</v>
      </c>
      <c r="AF203" s="165">
        <f>_xll.ohObjectCreationTime(AE203)</f>
        <v>41709.402186261577</v>
      </c>
    </row>
    <row r="204" spans="30:32" x14ac:dyDescent="0.25">
      <c r="AD204" s="165" t="str">
        <v>EUR6E12E21Y_Quote</v>
      </c>
      <c r="AE204" s="165" t="s">
        <v>651</v>
      </c>
      <c r="AF204" s="165">
        <f>_xll.ohObjectCreationTime(AE204)</f>
        <v>41709.402186284722</v>
      </c>
    </row>
    <row r="205" spans="30:32" x14ac:dyDescent="0.25">
      <c r="AD205" s="165" t="str">
        <v>EUR6E12E22Y_Quote</v>
      </c>
      <c r="AE205" s="165" t="s">
        <v>656</v>
      </c>
      <c r="AF205" s="165">
        <f>_xll.ohObjectCreationTime(AE205)</f>
        <v>41709.402186307867</v>
      </c>
    </row>
    <row r="206" spans="30:32" x14ac:dyDescent="0.25">
      <c r="AD206" s="165" t="str">
        <v>EUR6E12E23Y_Quote</v>
      </c>
      <c r="AE206" s="165" t="s">
        <v>725</v>
      </c>
      <c r="AF206" s="165">
        <f>_xll.ohObjectCreationTime(AE206)</f>
        <v>41709.402186319443</v>
      </c>
    </row>
    <row r="207" spans="30:32" x14ac:dyDescent="0.25">
      <c r="AD207" s="165" t="str">
        <v>EUR6E12E24Y_Quote</v>
      </c>
      <c r="AE207" s="165" t="s">
        <v>747</v>
      </c>
      <c r="AF207" s="165">
        <f>_xll.ohObjectCreationTime(AE207)</f>
        <v>41709.402186342595</v>
      </c>
    </row>
    <row r="208" spans="30:32" x14ac:dyDescent="0.25">
      <c r="AD208" s="165" t="str">
        <v>EUR6E12E25Y_Quote</v>
      </c>
      <c r="AE208" s="165" t="s">
        <v>643</v>
      </c>
      <c r="AF208" s="165">
        <f>_xll.ohObjectCreationTime(AE208)</f>
        <v>41709.40218636574</v>
      </c>
    </row>
    <row r="209" spans="30:32" x14ac:dyDescent="0.25">
      <c r="AD209" s="165" t="str">
        <v>EUR6E12E26Y_Quote</v>
      </c>
      <c r="AE209" s="165" t="s">
        <v>719</v>
      </c>
      <c r="AF209" s="165">
        <f>_xll.ohObjectCreationTime(AE209)</f>
        <v>41709.402186388892</v>
      </c>
    </row>
    <row r="210" spans="30:32" x14ac:dyDescent="0.25">
      <c r="AD210" s="165" t="str">
        <v>EUR6E12E27Y_Quote</v>
      </c>
      <c r="AE210" s="165" t="s">
        <v>658</v>
      </c>
      <c r="AF210" s="165">
        <f>_xll.ohObjectCreationTime(AE210)</f>
        <v>41709.402186412037</v>
      </c>
    </row>
    <row r="211" spans="30:32" x14ac:dyDescent="0.25">
      <c r="AD211" s="165" t="str">
        <v>EUR6E12E28Y_Quote</v>
      </c>
      <c r="AE211" s="165" t="s">
        <v>666</v>
      </c>
      <c r="AF211" s="165">
        <f>_xll.ohObjectCreationTime(AE211)</f>
        <v>41709.402186423613</v>
      </c>
    </row>
    <row r="212" spans="30:32" x14ac:dyDescent="0.25">
      <c r="AD212" s="165" t="str">
        <v>EUR6E12E29Y_Quote</v>
      </c>
      <c r="AE212" s="165" t="s">
        <v>740</v>
      </c>
      <c r="AF212" s="165">
        <f>_xll.ohObjectCreationTime(AE212)</f>
        <v>41709.402186446758</v>
      </c>
    </row>
    <row r="213" spans="30:32" x14ac:dyDescent="0.25">
      <c r="AD213" s="165" t="str">
        <v>EUR6E12E2Y_Quote</v>
      </c>
      <c r="AE213" s="165" t="s">
        <v>732</v>
      </c>
      <c r="AF213" s="165">
        <f>_xll.ohObjectCreationTime(AE213)</f>
        <v>41709.40218646991</v>
      </c>
    </row>
    <row r="214" spans="30:32" x14ac:dyDescent="0.25">
      <c r="AD214" s="165" t="str">
        <v>EUR6E12E30Y_Quote</v>
      </c>
      <c r="AE214" s="165" t="s">
        <v>673</v>
      </c>
      <c r="AF214" s="165">
        <f>_xll.ohObjectCreationTime(AE214)</f>
        <v>41709.402186493055</v>
      </c>
    </row>
    <row r="215" spans="30:32" x14ac:dyDescent="0.25">
      <c r="AD215" s="165" t="str">
        <v>EUR6E12E35Y_Quote</v>
      </c>
      <c r="AE215" s="165" t="s">
        <v>663</v>
      </c>
      <c r="AF215" s="165">
        <f>_xll.ohObjectCreationTime(AE215)</f>
        <v>41709.402186516207</v>
      </c>
    </row>
    <row r="216" spans="30:32" x14ac:dyDescent="0.25">
      <c r="AD216" s="165" t="str">
        <v>EUR6E12E3Y_Quote</v>
      </c>
      <c r="AE216" s="165" t="s">
        <v>741</v>
      </c>
      <c r="AF216" s="165">
        <f>_xll.ohObjectCreationTime(AE216)</f>
        <v>41709.402186539352</v>
      </c>
    </row>
    <row r="217" spans="30:32" x14ac:dyDescent="0.25">
      <c r="AD217" s="165" t="str">
        <v>EUR6E12E40Y_Quote</v>
      </c>
      <c r="AE217" s="165" t="s">
        <v>727</v>
      </c>
      <c r="AF217" s="165">
        <f>_xll.ohObjectCreationTime(AE217)</f>
        <v>41709.402186562504</v>
      </c>
    </row>
    <row r="218" spans="30:32" x14ac:dyDescent="0.25">
      <c r="AD218" s="165" t="str">
        <v>EUR6E12E4Y_Quote</v>
      </c>
      <c r="AE218" s="165" t="s">
        <v>672</v>
      </c>
      <c r="AF218" s="165">
        <f>_xll.ohObjectCreationTime(AE218)</f>
        <v>41709.402186585648</v>
      </c>
    </row>
    <row r="219" spans="30:32" x14ac:dyDescent="0.25">
      <c r="AD219" s="165" t="str">
        <v>EUR6E12E50Y_Quote</v>
      </c>
      <c r="AE219" s="165" t="s">
        <v>670</v>
      </c>
      <c r="AF219" s="165">
        <f>_xll.ohObjectCreationTime(AE219)</f>
        <v>41709.402186597224</v>
      </c>
    </row>
    <row r="220" spans="30:32" x14ac:dyDescent="0.25">
      <c r="AD220" s="165" t="str">
        <v>EUR6E12E5Y_Quote</v>
      </c>
      <c r="AE220" s="165" t="s">
        <v>667</v>
      </c>
      <c r="AF220" s="165">
        <f>_xll.ohObjectCreationTime(AE220)</f>
        <v>41709.402186620369</v>
      </c>
    </row>
    <row r="221" spans="30:32" x14ac:dyDescent="0.25">
      <c r="AD221" s="165" t="str">
        <v>EUR6E12E60Y_Quote</v>
      </c>
      <c r="AE221" s="165" t="s">
        <v>660</v>
      </c>
      <c r="AF221" s="165">
        <f>_xll.ohObjectCreationTime(AE221)</f>
        <v>41709.402186643521</v>
      </c>
    </row>
    <row r="222" spans="30:32" x14ac:dyDescent="0.25">
      <c r="AD222" s="165" t="str">
        <v>EUR6E12E6M_Quote</v>
      </c>
      <c r="AE222" s="165" t="s">
        <v>735</v>
      </c>
      <c r="AF222" s="165">
        <f>_xll.ohObjectCreationTime(AE222)</f>
        <v>41709.402186666666</v>
      </c>
    </row>
    <row r="223" spans="30:32" x14ac:dyDescent="0.25">
      <c r="AD223" s="165" t="str">
        <v>EUR6E12E6Y_Quote</v>
      </c>
      <c r="AE223" s="165" t="s">
        <v>679</v>
      </c>
      <c r="AF223" s="165">
        <f>_xll.ohObjectCreationTime(AE223)</f>
        <v>41709.402186678242</v>
      </c>
    </row>
    <row r="224" spans="30:32" x14ac:dyDescent="0.25">
      <c r="AD224" s="165" t="str">
        <v>EUR6E12E7Y_Quote</v>
      </c>
      <c r="AE224" s="165" t="s">
        <v>743</v>
      </c>
      <c r="AF224" s="165">
        <f>_xll.ohObjectCreationTime(AE224)</f>
        <v>41709.402186701387</v>
      </c>
    </row>
    <row r="225" spans="30:32" x14ac:dyDescent="0.25">
      <c r="AD225" s="165" t="str">
        <v>EUR6E12E8Y_Quote</v>
      </c>
      <c r="AE225" s="165" t="s">
        <v>746</v>
      </c>
      <c r="AF225" s="165">
        <f>_xll.ohObjectCreationTime(AE225)</f>
        <v>41709.402186724539</v>
      </c>
    </row>
    <row r="226" spans="30:32" x14ac:dyDescent="0.25">
      <c r="AD226" s="165" t="str">
        <v>EUR6E12E9Y_Quote</v>
      </c>
      <c r="AE226" s="165" t="s">
        <v>720</v>
      </c>
      <c r="AF226" s="165">
        <f>_xll.ohObjectCreationTime(AE226)</f>
        <v>41709.402186747684</v>
      </c>
    </row>
    <row r="227" spans="30:32" x14ac:dyDescent="0.25">
      <c r="AD227" s="165" t="str">
        <v>EUR6MD_Quote</v>
      </c>
      <c r="AE227" s="165" t="s">
        <v>724</v>
      </c>
      <c r="AF227" s="165">
        <f>_xll.ohObjectCreationTime(AE227)</f>
        <v>41709.402186770836</v>
      </c>
    </row>
    <row r="228" spans="30:32" x14ac:dyDescent="0.25">
      <c r="AD228" s="165" t="str">
        <v>EUR6MD_SYNTH1Y_Quote</v>
      </c>
      <c r="AE228" s="165" t="s">
        <v>657</v>
      </c>
      <c r="AF228" s="165">
        <f>_xll.ohObjectCreationTime(AE228)</f>
        <v>41709.402186793981</v>
      </c>
    </row>
    <row r="229" spans="30:32" x14ac:dyDescent="0.25">
      <c r="AD229" s="165" t="str">
        <v>EUR6MD_SYNTH6M_Quote</v>
      </c>
      <c r="AE229" s="165" t="s">
        <v>676</v>
      </c>
      <c r="AF229" s="165">
        <f>_xll.ohObjectCreationTime(AE229)</f>
        <v>41709.402186828702</v>
      </c>
    </row>
    <row r="230" spans="30:32" x14ac:dyDescent="0.25">
      <c r="AD230" s="165" t="str">
        <v>EUR6x12F_Quote</v>
      </c>
      <c r="AE230" s="165" t="s">
        <v>655</v>
      </c>
      <c r="AF230" s="165">
        <f>_xll.ohObjectCreationTime(AE230)</f>
        <v>41709.402186840278</v>
      </c>
    </row>
    <row r="231" spans="30:32" x14ac:dyDescent="0.25">
      <c r="AD231" s="165" t="str">
        <v>EUR6x18F_SYNTH1Y_Quote</v>
      </c>
      <c r="AE231" s="165" t="s">
        <v>722</v>
      </c>
      <c r="AF231" s="165">
        <f>_xll.ohObjectCreationTime(AE231)</f>
        <v>41709.402186863423</v>
      </c>
    </row>
    <row r="232" spans="30:32" x14ac:dyDescent="0.25">
      <c r="AD232" s="165" t="str">
        <v>EUR6X1S_Quote</v>
      </c>
      <c r="AE232" s="165" t="s">
        <v>671</v>
      </c>
      <c r="AF232" s="165">
        <f>_xll.ohObjectCreationTime(AE232)</f>
        <v>41709.402186886575</v>
      </c>
    </row>
    <row r="233" spans="30:32" x14ac:dyDescent="0.25">
      <c r="AD233" s="165" t="str">
        <v>EUR6x9F_Quote</v>
      </c>
      <c r="AE233" s="165" t="s">
        <v>669</v>
      </c>
      <c r="AF233" s="165">
        <f>_xll.ohObjectCreationTime(AE233)</f>
        <v>41709.40218690972</v>
      </c>
    </row>
    <row r="234" spans="30:32" x14ac:dyDescent="0.25">
      <c r="AD234" s="165" t="str">
        <v>EUR7MD_Quote</v>
      </c>
      <c r="AE234" s="165" t="s">
        <v>646</v>
      </c>
      <c r="AF234" s="165">
        <f>_xll.ohObjectCreationTime(AE234)</f>
        <v>41709.402186932872</v>
      </c>
    </row>
    <row r="235" spans="30:32" x14ac:dyDescent="0.25">
      <c r="AD235" s="165" t="str">
        <v>EUR7MD_SYNTH1Y_Quote</v>
      </c>
      <c r="AE235" s="165" t="s">
        <v>754</v>
      </c>
      <c r="AF235" s="165">
        <f>_xll.ohObjectCreationTime(AE235)</f>
        <v>41709.402186944448</v>
      </c>
    </row>
    <row r="236" spans="30:32" x14ac:dyDescent="0.25">
      <c r="AD236" s="165" t="str">
        <v>EUR7x13F_Quote</v>
      </c>
      <c r="AE236" s="165" t="s">
        <v>737</v>
      </c>
      <c r="AF236" s="165">
        <f>_xll.ohObjectCreationTime(AE236)</f>
        <v>41709.402186967593</v>
      </c>
    </row>
    <row r="237" spans="30:32" x14ac:dyDescent="0.25">
      <c r="AD237" s="165" t="str">
        <v>EUR7x19F_SYNTH1Y_Quote</v>
      </c>
      <c r="AE237" s="165" t="s">
        <v>751</v>
      </c>
      <c r="AF237" s="165">
        <f>_xll.ohObjectCreationTime(AE237)</f>
        <v>41709.402186990737</v>
      </c>
    </row>
    <row r="238" spans="30:32" x14ac:dyDescent="0.25">
      <c r="AD238" s="165" t="str">
        <v>EUR7X1S_Quote</v>
      </c>
      <c r="AE238" s="165" t="s">
        <v>652</v>
      </c>
      <c r="AF238" s="165">
        <f>_xll.ohObjectCreationTime(AE238)</f>
        <v>41709.402187013889</v>
      </c>
    </row>
    <row r="239" spans="30:32" x14ac:dyDescent="0.25">
      <c r="AD239" s="165" t="str">
        <v>EUR8MD_Quote</v>
      </c>
      <c r="AE239" s="165" t="s">
        <v>645</v>
      </c>
      <c r="AF239" s="165">
        <f>_xll.ohObjectCreationTime(AE239)</f>
        <v>41709.402187037034</v>
      </c>
    </row>
    <row r="240" spans="30:32" x14ac:dyDescent="0.25">
      <c r="AD240" s="165" t="str">
        <v>EUR8MD_SYNTH1Y_Quote</v>
      </c>
      <c r="AE240" s="165" t="s">
        <v>675</v>
      </c>
      <c r="AF240" s="165">
        <f>_xll.ohObjectCreationTime(AE240)</f>
        <v>41709.402187060186</v>
      </c>
    </row>
    <row r="241" spans="30:32" x14ac:dyDescent="0.25">
      <c r="AD241" s="165" t="str">
        <v>EUR8x14F_Quote</v>
      </c>
      <c r="AE241" s="165" t="s">
        <v>731</v>
      </c>
      <c r="AF241" s="165">
        <f>_xll.ohObjectCreationTime(AE241)</f>
        <v>41709.402187083331</v>
      </c>
    </row>
    <row r="242" spans="30:32" x14ac:dyDescent="0.25">
      <c r="AD242" s="165" t="str">
        <v>EUR8X1S_Quote</v>
      </c>
      <c r="AE242" s="165" t="s">
        <v>745</v>
      </c>
      <c r="AF242" s="165">
        <f>_xll.ohObjectCreationTime(AE242)</f>
        <v>41709.402187094907</v>
      </c>
    </row>
    <row r="243" spans="30:32" x14ac:dyDescent="0.25">
      <c r="AD243" s="165" t="str">
        <v>EUR8x20F_SYNTH1Y_Quote</v>
      </c>
      <c r="AE243" s="165" t="s">
        <v>723</v>
      </c>
      <c r="AF243" s="165">
        <f>_xll.ohObjectCreationTime(AE243)</f>
        <v>41709.402187118052</v>
      </c>
    </row>
    <row r="244" spans="30:32" x14ac:dyDescent="0.25">
      <c r="AD244" s="165" t="str">
        <v>EUR9MD_Quote</v>
      </c>
      <c r="AE244" s="165" t="s">
        <v>753</v>
      </c>
      <c r="AF244" s="165">
        <f>_xll.ohObjectCreationTime(AE244)</f>
        <v>41709.402187141204</v>
      </c>
    </row>
    <row r="245" spans="30:32" x14ac:dyDescent="0.25">
      <c r="AD245" s="165" t="str">
        <v>EUR9MD_SYNTH1Y_Quote</v>
      </c>
      <c r="AE245" s="165" t="s">
        <v>739</v>
      </c>
      <c r="AF245" s="165">
        <f>_xll.ohObjectCreationTime(AE245)</f>
        <v>41709.402187164349</v>
      </c>
    </row>
    <row r="246" spans="30:32" x14ac:dyDescent="0.25">
      <c r="AD246" s="165" t="str">
        <v>EUR9x15F_Quote</v>
      </c>
      <c r="AE246" s="165" t="s">
        <v>665</v>
      </c>
      <c r="AF246" s="165">
        <f>_xll.ohObjectCreationTime(AE246)</f>
        <v>41709.402187187501</v>
      </c>
    </row>
    <row r="247" spans="30:32" x14ac:dyDescent="0.25">
      <c r="AD247" s="165" t="str">
        <v>EUR9X1S_Quote</v>
      </c>
      <c r="AE247" s="165" t="s">
        <v>649</v>
      </c>
      <c r="AF247" s="165">
        <f>_xll.ohObjectCreationTime(AE247)</f>
        <v>41709.402187210646</v>
      </c>
    </row>
    <row r="248" spans="30:32" x14ac:dyDescent="0.25">
      <c r="AD248" s="165" t="str">
        <v>EUR9x21F_SYNTH1Y_Quote</v>
      </c>
      <c r="AE248" s="165" t="s">
        <v>760</v>
      </c>
      <c r="AF248" s="165">
        <f>_xll.ohObjectCreationTime(AE248)</f>
        <v>41709.402187418978</v>
      </c>
    </row>
    <row r="249" spans="30:32" x14ac:dyDescent="0.25">
      <c r="AD249" s="165" t="str">
        <v>EURAB12EBASIS10Y_Quote</v>
      </c>
      <c r="AE249" s="165" t="s">
        <v>758</v>
      </c>
      <c r="AF249" s="165">
        <f>_xll.ohObjectCreationTime(AE249)</f>
        <v>41709.402187766202</v>
      </c>
    </row>
    <row r="250" spans="30:32" x14ac:dyDescent="0.25">
      <c r="AD250" s="165" t="str">
        <v>EURAB12EBASIS11Y_Quote</v>
      </c>
      <c r="AE250" s="165" t="s">
        <v>757</v>
      </c>
      <c r="AF250" s="165">
        <f>_xll.ohObjectCreationTime(AE250)</f>
        <v>41709.402187812499</v>
      </c>
    </row>
    <row r="251" spans="30:32" x14ac:dyDescent="0.25">
      <c r="AD251" s="165" t="str">
        <v>EURAB12EBASIS12Y_Quote</v>
      </c>
      <c r="AE251" s="165" t="s">
        <v>755</v>
      </c>
      <c r="AF251" s="165">
        <f>_xll.ohObjectCreationTime(AE251)</f>
        <v>41709.402187835651</v>
      </c>
    </row>
    <row r="252" spans="30:32" x14ac:dyDescent="0.25">
      <c r="AD252" s="165" t="str">
        <v>EURAB12EBASIS13Y_Quote</v>
      </c>
      <c r="AE252" s="165" t="s">
        <v>763</v>
      </c>
      <c r="AF252" s="165">
        <f>_xll.ohObjectCreationTime(AE252)</f>
        <v>41709.402187858796</v>
      </c>
    </row>
    <row r="253" spans="30:32" x14ac:dyDescent="0.25">
      <c r="AD253" s="165" t="str">
        <v>EURAB12EBASIS14Y_Quote</v>
      </c>
      <c r="AE253" s="165" t="s">
        <v>762</v>
      </c>
      <c r="AF253" s="165">
        <f>_xll.ohObjectCreationTime(AE253)</f>
        <v>41709.402187893516</v>
      </c>
    </row>
    <row r="254" spans="30:32" x14ac:dyDescent="0.25">
      <c r="AD254" s="165" t="str">
        <v>EURAB12EBASIS15M_Quote</v>
      </c>
      <c r="AE254" s="165" t="s">
        <v>761</v>
      </c>
      <c r="AF254" s="165">
        <f>_xll.ohObjectCreationTime(AE254)</f>
        <v>41709.402187928237</v>
      </c>
    </row>
    <row r="255" spans="30:32" x14ac:dyDescent="0.25">
      <c r="AD255" s="165" t="str">
        <v>EURAB12EBASIS15Y_Quote</v>
      </c>
      <c r="AE255" s="165" t="s">
        <v>756</v>
      </c>
      <c r="AF255" s="165">
        <f>_xll.ohObjectCreationTime(AE255)</f>
        <v>41709.402187974534</v>
      </c>
    </row>
    <row r="256" spans="30:32" x14ac:dyDescent="0.25">
      <c r="AD256" s="165" t="str">
        <v>EURAB12EBASIS16Y_Quote</v>
      </c>
      <c r="AE256" s="165" t="s">
        <v>1588</v>
      </c>
      <c r="AF256" s="165">
        <f>_xll.ohObjectCreationTime(AE256)</f>
        <v>41709.402188622684</v>
      </c>
    </row>
    <row r="257" spans="30:32" x14ac:dyDescent="0.25">
      <c r="AD257" s="165" t="str">
        <v>EURAB12EBASIS17Y_Quote</v>
      </c>
      <c r="AE257" s="165" t="s">
        <v>498</v>
      </c>
      <c r="AF257" s="165">
        <f>_xll.ohObjectCreationTime(AE257)</f>
        <v>41709.402188645836</v>
      </c>
    </row>
    <row r="258" spans="30:32" x14ac:dyDescent="0.25">
      <c r="AD258" s="165" t="str">
        <v>EURAB12EBASIS18M_Quote</v>
      </c>
      <c r="AE258" s="165" t="s">
        <v>423</v>
      </c>
      <c r="AF258" s="165">
        <f>_xll.ohObjectCreationTime(AE258)</f>
        <v>41709.402188668981</v>
      </c>
    </row>
    <row r="259" spans="30:32" x14ac:dyDescent="0.25">
      <c r="AD259" s="165" t="str">
        <v>EURAB12EBASIS18Y_Quote</v>
      </c>
      <c r="AE259" s="165" t="s">
        <v>1004</v>
      </c>
      <c r="AF259" s="165">
        <f>_xll.ohObjectCreationTime(AE259)</f>
        <v>41709.402188692133</v>
      </c>
    </row>
    <row r="260" spans="30:32" x14ac:dyDescent="0.25">
      <c r="AD260" s="165" t="str">
        <v>EURAB12EBASIS19Y_Quote</v>
      </c>
      <c r="AE260" s="165" t="s">
        <v>1585</v>
      </c>
      <c r="AF260" s="165">
        <f>_xll.ohObjectCreationTime(AE260)</f>
        <v>41709.402188715278</v>
      </c>
    </row>
    <row r="261" spans="30:32" x14ac:dyDescent="0.25">
      <c r="AD261" s="165" t="str">
        <v>EURAB12EBASIS1Y_Quote</v>
      </c>
      <c r="AE261" s="165" t="s">
        <v>416</v>
      </c>
      <c r="AF261" s="165">
        <f>_xll.ohObjectCreationTime(AE261)</f>
        <v>41709.402188738422</v>
      </c>
    </row>
    <row r="262" spans="30:32" x14ac:dyDescent="0.25">
      <c r="AD262" s="165" t="str">
        <v>EURAB12EBASIS20Y_Quote</v>
      </c>
      <c r="AE262" s="165" t="s">
        <v>494</v>
      </c>
      <c r="AF262" s="165">
        <f>_xll.ohObjectCreationTime(AE262)</f>
        <v>41709.402188761575</v>
      </c>
    </row>
    <row r="263" spans="30:32" x14ac:dyDescent="0.25">
      <c r="AD263" s="165" t="str">
        <v>EURAB12EBASIS21M_Quote</v>
      </c>
      <c r="AE263" s="165" t="s">
        <v>331</v>
      </c>
      <c r="AF263" s="165">
        <f>_xll.ohObjectCreationTime(AE263)</f>
        <v>41709.402188784719</v>
      </c>
    </row>
    <row r="264" spans="30:32" x14ac:dyDescent="0.25">
      <c r="AD264" s="165" t="str">
        <v>EURAB12EBASIS21Y_Quote</v>
      </c>
      <c r="AE264" s="165" t="s">
        <v>1571</v>
      </c>
      <c r="AF264" s="165">
        <f>_xll.ohObjectCreationTime(AE264)</f>
        <v>41709.402188807871</v>
      </c>
    </row>
    <row r="265" spans="30:32" x14ac:dyDescent="0.25">
      <c r="AD265" s="165" t="str">
        <v>EURAB12EBASIS22Y_Quote</v>
      </c>
      <c r="AE265" s="165" t="s">
        <v>410</v>
      </c>
      <c r="AF265" s="165">
        <f>_xll.ohObjectCreationTime(AE265)</f>
        <v>41709.402188865737</v>
      </c>
    </row>
    <row r="266" spans="30:32" x14ac:dyDescent="0.25">
      <c r="AD266" s="165" t="str">
        <v>EURAB12EBASIS23Y_Quote</v>
      </c>
      <c r="AE266" s="165" t="s">
        <v>324</v>
      </c>
      <c r="AF266" s="165">
        <f>_xll.ohObjectCreationTime(AE266)</f>
        <v>41709.402188935186</v>
      </c>
    </row>
    <row r="267" spans="30:32" x14ac:dyDescent="0.25">
      <c r="AD267" s="165" t="str">
        <v>EURAB12EBASIS24Y_Quote</v>
      </c>
      <c r="AE267" s="165" t="s">
        <v>501</v>
      </c>
      <c r="AF267" s="165">
        <f>_xll.ohObjectCreationTime(AE267)</f>
        <v>41709.402188958331</v>
      </c>
    </row>
    <row r="268" spans="30:32" x14ac:dyDescent="0.25">
      <c r="AD268" s="165" t="str">
        <v>EURAB12EBASIS25Y_Quote</v>
      </c>
      <c r="AE268" s="165" t="s">
        <v>1578</v>
      </c>
      <c r="AF268" s="165">
        <f>_xll.ohObjectCreationTime(AE268)</f>
        <v>41709.402188981483</v>
      </c>
    </row>
    <row r="269" spans="30:32" x14ac:dyDescent="0.25">
      <c r="AD269" s="165" t="str">
        <v>EURAB12EBASIS26Y_Quote</v>
      </c>
      <c r="AE269" s="165" t="s">
        <v>1579</v>
      </c>
      <c r="AF269" s="165">
        <f>_xll.ohObjectCreationTime(AE269)</f>
        <v>41709.402189004628</v>
      </c>
    </row>
    <row r="270" spans="30:32" x14ac:dyDescent="0.25">
      <c r="AD270" s="165" t="str">
        <v>EURAB12EBASIS27Y_Quote</v>
      </c>
      <c r="AE270" s="165" t="s">
        <v>337</v>
      </c>
      <c r="AF270" s="165">
        <f>_xll.ohObjectCreationTime(AE270)</f>
        <v>41709.40218902778</v>
      </c>
    </row>
    <row r="271" spans="30:32" x14ac:dyDescent="0.25">
      <c r="AD271" s="165" t="str">
        <v>EURAB12EBASIS28Y_Quote</v>
      </c>
      <c r="AE271" s="165" t="s">
        <v>1566</v>
      </c>
      <c r="AF271" s="165">
        <f>_xll.ohObjectCreationTime(AE271)</f>
        <v>41709.402189039349</v>
      </c>
    </row>
    <row r="272" spans="30:32" x14ac:dyDescent="0.25">
      <c r="AD272" s="165" t="str">
        <v>EURAB12EBASIS29Y_Quote</v>
      </c>
      <c r="AE272" s="165" t="s">
        <v>399</v>
      </c>
      <c r="AF272" s="165">
        <f>_xll.ohObjectCreationTime(AE272)</f>
        <v>41709.402189074077</v>
      </c>
    </row>
    <row r="273" spans="30:32" x14ac:dyDescent="0.25">
      <c r="AD273" s="165" t="str">
        <v>EURAB12EBASIS2Y_Quote</v>
      </c>
      <c r="AE273" s="165" t="s">
        <v>398</v>
      </c>
      <c r="AF273" s="165">
        <f>_xll.ohObjectCreationTime(AE273)</f>
        <v>41709.402189097222</v>
      </c>
    </row>
    <row r="274" spans="30:32" x14ac:dyDescent="0.25">
      <c r="AD274" s="165" t="str">
        <v>EURAB12EBASIS30Y_Quote</v>
      </c>
      <c r="AE274" s="165" t="s">
        <v>397</v>
      </c>
      <c r="AF274" s="165">
        <f>_xll.ohObjectCreationTime(AE274)</f>
        <v>41709.402189120374</v>
      </c>
    </row>
    <row r="275" spans="30:32" x14ac:dyDescent="0.25">
      <c r="AD275" s="165" t="str">
        <v>EURAB12EBASIS35Y_Quote</v>
      </c>
      <c r="AE275" s="165" t="s">
        <v>508</v>
      </c>
      <c r="AF275" s="165">
        <f>_xll.ohObjectCreationTime(AE275)</f>
        <v>41709.402189143519</v>
      </c>
    </row>
    <row r="276" spans="30:32" x14ac:dyDescent="0.25">
      <c r="AD276" s="165" t="str">
        <v>EURAB12EBASIS3Y_Quote</v>
      </c>
      <c r="AE276" s="165" t="s">
        <v>1561</v>
      </c>
      <c r="AF276" s="165">
        <f>_xll.ohObjectCreationTime(AE276)</f>
        <v>41709.402189166663</v>
      </c>
    </row>
    <row r="277" spans="30:32" x14ac:dyDescent="0.25">
      <c r="AD277" s="165" t="str">
        <v>EURAB12EBASIS40Y_Quote</v>
      </c>
      <c r="AE277" s="165" t="s">
        <v>347</v>
      </c>
      <c r="AF277" s="165">
        <f>_xll.ohObjectCreationTime(AE277)</f>
        <v>41709.402189189816</v>
      </c>
    </row>
    <row r="278" spans="30:32" x14ac:dyDescent="0.25">
      <c r="AD278" s="165" t="str">
        <v>EURAB12EBASIS4Y_Quote</v>
      </c>
      <c r="AE278" s="165" t="s">
        <v>472</v>
      </c>
      <c r="AF278" s="165">
        <f>_xll.ohObjectCreationTime(AE278)</f>
        <v>41709.40218921296</v>
      </c>
    </row>
    <row r="279" spans="30:32" x14ac:dyDescent="0.25">
      <c r="AD279" s="165" t="str">
        <v>EURAB12EBASIS50Y_Quote</v>
      </c>
      <c r="AE279" s="165" t="s">
        <v>477</v>
      </c>
      <c r="AF279" s="165">
        <f>_xll.ohObjectCreationTime(AE279)</f>
        <v>41709.402189236112</v>
      </c>
    </row>
    <row r="280" spans="30:32" x14ac:dyDescent="0.25">
      <c r="AD280" s="165" t="str">
        <v>EURAB12EBASIS5Y_Quote</v>
      </c>
      <c r="AE280" s="165" t="s">
        <v>345</v>
      </c>
      <c r="AF280" s="165">
        <f>_xll.ohObjectCreationTime(AE280)</f>
        <v>41709.402189259257</v>
      </c>
    </row>
    <row r="281" spans="30:32" x14ac:dyDescent="0.25">
      <c r="AD281" s="165" t="str">
        <v>EURAB12EBASIS60Y_Quote</v>
      </c>
      <c r="AE281" s="165" t="s">
        <v>556</v>
      </c>
      <c r="AF281" s="165">
        <f>_xll.ohObjectCreationTime(AE281)</f>
        <v>41709.402189282409</v>
      </c>
    </row>
    <row r="282" spans="30:32" x14ac:dyDescent="0.25">
      <c r="AD282" s="165" t="str">
        <v>EURAB12EBASIS6Y_Quote</v>
      </c>
      <c r="AE282" s="165" t="s">
        <v>484</v>
      </c>
      <c r="AF282" s="165">
        <f>_xll.ohObjectCreationTime(AE282)</f>
        <v>41709.402189305554</v>
      </c>
    </row>
    <row r="283" spans="30:32" x14ac:dyDescent="0.25">
      <c r="AD283" s="165" t="str">
        <v>EURAB12EBASIS7Y_Quote</v>
      </c>
      <c r="AE283" s="165" t="s">
        <v>502</v>
      </c>
      <c r="AF283" s="165">
        <f>_xll.ohObjectCreationTime(AE283)</f>
        <v>41709.402189328706</v>
      </c>
    </row>
    <row r="284" spans="30:32" x14ac:dyDescent="0.25">
      <c r="AD284" s="165" t="str">
        <v>EURAB12EBASIS8Y_Quote</v>
      </c>
      <c r="AE284" s="165" t="s">
        <v>1577</v>
      </c>
      <c r="AF284" s="165">
        <f>_xll.ohObjectCreationTime(AE284)</f>
        <v>41709.402189351851</v>
      </c>
    </row>
    <row r="285" spans="30:32" x14ac:dyDescent="0.25">
      <c r="AD285" s="165" t="str">
        <v>EURAB12EBASIS9Y_Quote</v>
      </c>
      <c r="AE285" s="165" t="s">
        <v>341</v>
      </c>
      <c r="AF285" s="165">
        <f>_xll.ohObjectCreationTime(AE285)</f>
        <v>41709.402189375003</v>
      </c>
    </row>
    <row r="286" spans="30:32" x14ac:dyDescent="0.25">
      <c r="AD286" s="165" t="str">
        <v>EURAB1EBASIS10Y_Quote</v>
      </c>
      <c r="AE286" s="165" t="s">
        <v>1580</v>
      </c>
      <c r="AF286" s="165">
        <f>_xll.ohObjectCreationTime(AE286)</f>
        <v>41709.402189398148</v>
      </c>
    </row>
    <row r="287" spans="30:32" x14ac:dyDescent="0.25">
      <c r="AD287" s="165" t="str">
        <v>EURAB1EBASIS11Y_Quote</v>
      </c>
      <c r="AE287" s="165" t="s">
        <v>554</v>
      </c>
      <c r="AF287" s="165">
        <f>_xll.ohObjectCreationTime(AE287)</f>
        <v>41709.402189409724</v>
      </c>
    </row>
    <row r="288" spans="30:32" x14ac:dyDescent="0.25">
      <c r="AD288" s="165" t="str">
        <v>EURAB1EBASIS12Y_Quote</v>
      </c>
      <c r="AE288" s="165" t="s">
        <v>339</v>
      </c>
      <c r="AF288" s="165">
        <f>_xll.ohObjectCreationTime(AE288)</f>
        <v>41709.402189432869</v>
      </c>
    </row>
    <row r="289" spans="30:32" x14ac:dyDescent="0.25">
      <c r="AD289" s="165" t="str">
        <v>EURAB1EBASIS13Y_Quote</v>
      </c>
      <c r="AE289" s="165" t="s">
        <v>550</v>
      </c>
      <c r="AF289" s="165">
        <f>_xll.ohObjectCreationTime(AE289)</f>
        <v>41709.402189456021</v>
      </c>
    </row>
    <row r="290" spans="30:32" x14ac:dyDescent="0.25">
      <c r="AD290" s="165" t="str">
        <v>EURAB1EBASIS14Y_Quote</v>
      </c>
      <c r="AE290" s="165" t="s">
        <v>505</v>
      </c>
      <c r="AF290" s="165">
        <f>_xll.ohObjectCreationTime(AE290)</f>
        <v>41709.402189479166</v>
      </c>
    </row>
    <row r="291" spans="30:32" x14ac:dyDescent="0.25">
      <c r="AD291" s="165" t="str">
        <v>EURAB1EBASIS15M_Quote</v>
      </c>
      <c r="AE291" s="165" t="s">
        <v>326</v>
      </c>
      <c r="AF291" s="165">
        <f>_xll.ohObjectCreationTime(AE291)</f>
        <v>41709.402189502318</v>
      </c>
    </row>
    <row r="292" spans="30:32" x14ac:dyDescent="0.25">
      <c r="AD292" s="165" t="str">
        <v>EURAB1EBASIS15Y_Quote</v>
      </c>
      <c r="AE292" s="165" t="s">
        <v>564</v>
      </c>
      <c r="AF292" s="165">
        <f>_xll.ohObjectCreationTime(AE292)</f>
        <v>41709.402189525463</v>
      </c>
    </row>
    <row r="293" spans="30:32" x14ac:dyDescent="0.25">
      <c r="AD293" s="165" t="str">
        <v>EURAB1EBASIS16Y_Quote</v>
      </c>
      <c r="AE293" s="165" t="s">
        <v>388</v>
      </c>
      <c r="AF293" s="165">
        <f>_xll.ohObjectCreationTime(AE293)</f>
        <v>41709.402189548608</v>
      </c>
    </row>
    <row r="294" spans="30:32" x14ac:dyDescent="0.25">
      <c r="AD294" s="165" t="str">
        <v>EURAB1EBASIS17Y_Quote</v>
      </c>
      <c r="AE294" s="165" t="s">
        <v>1005</v>
      </c>
      <c r="AF294" s="165">
        <f>_xll.ohObjectCreationTime(AE294)</f>
        <v>41709.40218957176</v>
      </c>
    </row>
    <row r="295" spans="30:32" x14ac:dyDescent="0.25">
      <c r="AD295" s="165" t="str">
        <v>EURAB1EBASIS18M_Quote</v>
      </c>
      <c r="AE295" s="165" t="s">
        <v>1587</v>
      </c>
      <c r="AF295" s="165">
        <f>_xll.ohObjectCreationTime(AE295)</f>
        <v>41709.402189594904</v>
      </c>
    </row>
    <row r="296" spans="30:32" x14ac:dyDescent="0.25">
      <c r="AD296" s="165" t="str">
        <v>EURAB1EBASIS18Y_Quote</v>
      </c>
      <c r="AE296" s="165" t="s">
        <v>559</v>
      </c>
      <c r="AF296" s="165">
        <f>_xll.ohObjectCreationTime(AE296)</f>
        <v>41709.402189618057</v>
      </c>
    </row>
    <row r="297" spans="30:32" x14ac:dyDescent="0.25">
      <c r="AD297" s="165" t="str">
        <v>EURAB1EBASIS19Y_Quote</v>
      </c>
      <c r="AE297" s="165" t="s">
        <v>561</v>
      </c>
      <c r="AF297" s="165">
        <f>_xll.ohObjectCreationTime(AE297)</f>
        <v>41709.402189641201</v>
      </c>
    </row>
    <row r="298" spans="30:32" x14ac:dyDescent="0.25">
      <c r="AD298" s="165" t="str">
        <v>EURAB1EBASIS1Y_Quote</v>
      </c>
      <c r="AE298" s="165" t="s">
        <v>553</v>
      </c>
      <c r="AF298" s="165">
        <f>_xll.ohObjectCreationTime(AE298)</f>
        <v>41709.402189664354</v>
      </c>
    </row>
    <row r="299" spans="30:32" x14ac:dyDescent="0.25">
      <c r="AD299" s="165" t="str">
        <v>EURAB1EBASIS20Y_Quote</v>
      </c>
      <c r="AE299" s="165" t="s">
        <v>547</v>
      </c>
      <c r="AF299" s="165">
        <f>_xll.ohObjectCreationTime(AE299)</f>
        <v>41709.402189687498</v>
      </c>
    </row>
    <row r="300" spans="30:32" x14ac:dyDescent="0.25">
      <c r="AD300" s="165" t="str">
        <v>EURAB1EBASIS21M_Quote</v>
      </c>
      <c r="AE300" s="165" t="s">
        <v>485</v>
      </c>
      <c r="AF300" s="165">
        <f>_xll.ohObjectCreationTime(AE300)</f>
        <v>41709.40218971065</v>
      </c>
    </row>
    <row r="301" spans="30:32" x14ac:dyDescent="0.25">
      <c r="AD301" s="165" t="str">
        <v>EURAB1EBASIS21Y_Quote</v>
      </c>
      <c r="AE301" s="165" t="s">
        <v>334</v>
      </c>
      <c r="AF301" s="165">
        <f>_xll.ohObjectCreationTime(AE301)</f>
        <v>41709.402189733795</v>
      </c>
    </row>
    <row r="302" spans="30:32" x14ac:dyDescent="0.25">
      <c r="AD302" s="165" t="str">
        <v>EURAB1EBASIS22Y_Quote</v>
      </c>
      <c r="AE302" s="165" t="s">
        <v>343</v>
      </c>
      <c r="AF302" s="165">
        <f>_xll.ohObjectCreationTime(AE302)</f>
        <v>41709.402189756947</v>
      </c>
    </row>
    <row r="303" spans="30:32" x14ac:dyDescent="0.25">
      <c r="AD303" s="165" t="str">
        <v>EURAB1EBASIS23Y_Quote</v>
      </c>
      <c r="AE303" s="165" t="s">
        <v>424</v>
      </c>
      <c r="AF303" s="165">
        <f>_xll.ohObjectCreationTime(AE303)</f>
        <v>41709.402189780092</v>
      </c>
    </row>
    <row r="304" spans="30:32" x14ac:dyDescent="0.25">
      <c r="AD304" s="165" t="str">
        <v>EURAB1EBASIS24Y_Quote</v>
      </c>
      <c r="AE304" s="165" t="s">
        <v>1586</v>
      </c>
      <c r="AF304" s="165">
        <f>_xll.ohObjectCreationTime(AE304)</f>
        <v>41709.402189803244</v>
      </c>
    </row>
    <row r="305" spans="30:32" x14ac:dyDescent="0.25">
      <c r="AD305" s="165" t="str">
        <v>EURAB1EBASIS25Y_Quote</v>
      </c>
      <c r="AE305" s="165" t="s">
        <v>1576</v>
      </c>
      <c r="AF305" s="165">
        <f>_xll.ohObjectCreationTime(AE305)</f>
        <v>41709.402189826389</v>
      </c>
    </row>
    <row r="306" spans="30:32" x14ac:dyDescent="0.25">
      <c r="AD306" s="165" t="str">
        <v>EURAB1EBASIS26Y_Quote</v>
      </c>
      <c r="AE306" s="165" t="s">
        <v>336</v>
      </c>
      <c r="AF306" s="165">
        <f>_xll.ohObjectCreationTime(AE306)</f>
        <v>41709.402189849534</v>
      </c>
    </row>
    <row r="307" spans="30:32" x14ac:dyDescent="0.25">
      <c r="AD307" s="165" t="str">
        <v>EURAB1EBASIS27Y_Quote</v>
      </c>
      <c r="AE307" s="165" t="s">
        <v>566</v>
      </c>
      <c r="AF307" s="165">
        <f>_xll.ohObjectCreationTime(AE307)</f>
        <v>41709.402189872686</v>
      </c>
    </row>
    <row r="308" spans="30:32" x14ac:dyDescent="0.25">
      <c r="AD308" s="165" t="str">
        <v>EURAB1EBASIS28Y_Quote</v>
      </c>
      <c r="AE308" s="165" t="s">
        <v>329</v>
      </c>
      <c r="AF308" s="165">
        <f>_xll.ohObjectCreationTime(AE308)</f>
        <v>41709.402189895831</v>
      </c>
    </row>
    <row r="309" spans="30:32" x14ac:dyDescent="0.25">
      <c r="AD309" s="165" t="str">
        <v>EURAB1EBASIS29Y_Quote</v>
      </c>
      <c r="AE309" s="165" t="s">
        <v>1318</v>
      </c>
      <c r="AF309" s="165">
        <f>_xll.ohObjectCreationTime(AE309)</f>
        <v>41709.40218996528</v>
      </c>
    </row>
    <row r="310" spans="30:32" x14ac:dyDescent="0.25">
      <c r="AD310" s="165" t="str">
        <v>EURAB1EBASIS2Y_Quote</v>
      </c>
      <c r="AE310" s="165" t="s">
        <v>1249</v>
      </c>
      <c r="AF310" s="165">
        <f>_xll.ohObjectCreationTime(AE310)</f>
        <v>41709.402189988425</v>
      </c>
    </row>
    <row r="311" spans="30:32" x14ac:dyDescent="0.25">
      <c r="AD311" s="165" t="str">
        <v>EURAB1EBASIS30Y_Quote</v>
      </c>
      <c r="AE311" s="165" t="s">
        <v>1325</v>
      </c>
      <c r="AF311" s="165">
        <f>_xll.ohObjectCreationTime(AE311)</f>
        <v>41709.402190011577</v>
      </c>
    </row>
    <row r="312" spans="30:32" x14ac:dyDescent="0.25">
      <c r="AD312" s="165" t="str">
        <v>EURAB1EBASIS35Y_Quote</v>
      </c>
      <c r="AE312" s="165" t="s">
        <v>891</v>
      </c>
      <c r="AF312" s="165">
        <f>_xll.ohObjectCreationTime(AE312)</f>
        <v>41709.402190034722</v>
      </c>
    </row>
    <row r="313" spans="30:32" x14ac:dyDescent="0.25">
      <c r="AD313" s="165" t="str">
        <v>EURAB1EBASIS3Y_Quote</v>
      </c>
      <c r="AE313" s="165" t="s">
        <v>1300</v>
      </c>
      <c r="AF313" s="165">
        <f>_xll.ohObjectCreationTime(AE313)</f>
        <v>41709.402190069442</v>
      </c>
    </row>
    <row r="314" spans="30:32" x14ac:dyDescent="0.25">
      <c r="AD314" s="165" t="str">
        <v>EURAB1EBASIS40Y_Quote</v>
      </c>
      <c r="AE314" s="165" t="s">
        <v>850</v>
      </c>
      <c r="AF314" s="165">
        <f>_xll.ohObjectCreationTime(AE314)</f>
        <v>41709.402190092595</v>
      </c>
    </row>
    <row r="315" spans="30:32" x14ac:dyDescent="0.25">
      <c r="AD315" s="165" t="str">
        <v>EURAB1EBASIS4Y_Quote</v>
      </c>
      <c r="AE315" s="165" t="s">
        <v>1295</v>
      </c>
      <c r="AF315" s="165">
        <f>_xll.ohObjectCreationTime(AE315)</f>
        <v>41709.402190115739</v>
      </c>
    </row>
    <row r="316" spans="30:32" x14ac:dyDescent="0.25">
      <c r="AD316" s="165" t="str">
        <v>EURAB1EBASIS50Y_Quote</v>
      </c>
      <c r="AE316" s="165" t="s">
        <v>1280</v>
      </c>
      <c r="AF316" s="165">
        <f>_xll.ohObjectCreationTime(AE316)</f>
        <v>41709.402190138891</v>
      </c>
    </row>
    <row r="317" spans="30:32" x14ac:dyDescent="0.25">
      <c r="AD317" s="165" t="str">
        <v>EURAB1EBASIS5Y_Quote</v>
      </c>
      <c r="AE317" s="165" t="s">
        <v>1298</v>
      </c>
      <c r="AF317" s="165">
        <f>_xll.ohObjectCreationTime(AE317)</f>
        <v>41709.402190162036</v>
      </c>
    </row>
    <row r="318" spans="30:32" x14ac:dyDescent="0.25">
      <c r="AD318" s="165" t="str">
        <v>EURAB1EBASIS60Y_Quote</v>
      </c>
      <c r="AE318" s="165" t="s">
        <v>1311</v>
      </c>
      <c r="AF318" s="165">
        <f>_xll.ohObjectCreationTime(AE318)</f>
        <v>41709.402190185188</v>
      </c>
    </row>
    <row r="319" spans="30:32" x14ac:dyDescent="0.25">
      <c r="AD319" s="165" t="str">
        <v>EURAB1EBASIS6Y_Quote</v>
      </c>
      <c r="AE319" s="165" t="s">
        <v>1244</v>
      </c>
      <c r="AF319" s="165">
        <f>_xll.ohObjectCreationTime(AE319)</f>
        <v>41709.402190208333</v>
      </c>
    </row>
    <row r="320" spans="30:32" x14ac:dyDescent="0.25">
      <c r="AD320" s="165" t="str">
        <v>EURAB1EBASIS7Y_Quote</v>
      </c>
      <c r="AE320" s="165" t="s">
        <v>862</v>
      </c>
      <c r="AF320" s="165">
        <f>_xll.ohObjectCreationTime(AE320)</f>
        <v>41709.402190243054</v>
      </c>
    </row>
    <row r="321" spans="30:32" x14ac:dyDescent="0.25">
      <c r="AD321" s="165" t="str">
        <v>EURAB1EBASIS8Y_Quote</v>
      </c>
      <c r="AE321" s="165" t="s">
        <v>814</v>
      </c>
      <c r="AF321" s="165">
        <f>_xll.ohObjectCreationTime(AE321)</f>
        <v>41709.402190266206</v>
      </c>
    </row>
    <row r="322" spans="30:32" x14ac:dyDescent="0.25">
      <c r="AD322" s="165" t="str">
        <v>EURAB1EBASIS9Y_Quote</v>
      </c>
      <c r="AE322" s="165" t="s">
        <v>918</v>
      </c>
      <c r="AF322" s="165">
        <f>_xll.ohObjectCreationTime(AE322)</f>
        <v>41709.402190289351</v>
      </c>
    </row>
    <row r="323" spans="30:32" x14ac:dyDescent="0.25">
      <c r="AD323" s="165" t="str">
        <v>EURAB3E10Y_Quote</v>
      </c>
      <c r="AE323" s="165" t="s">
        <v>896</v>
      </c>
      <c r="AF323" s="165">
        <f>_xll.ohObjectCreationTime(AE323)</f>
        <v>41709.402190312503</v>
      </c>
    </row>
    <row r="324" spans="30:32" x14ac:dyDescent="0.25">
      <c r="AD324" s="165" t="str">
        <v>EURAB3E11Y_Quote</v>
      </c>
      <c r="AE324" s="165" t="s">
        <v>803</v>
      </c>
      <c r="AF324" s="165">
        <f>_xll.ohObjectCreationTime(AE324)</f>
        <v>41709.402190335648</v>
      </c>
    </row>
    <row r="325" spans="30:32" x14ac:dyDescent="0.25">
      <c r="AD325" s="165" t="str">
        <v>EURAB3E12Y_Quote</v>
      </c>
      <c r="AE325" s="165" t="s">
        <v>1347</v>
      </c>
      <c r="AF325" s="165">
        <f>_xll.ohObjectCreationTime(AE325)</f>
        <v>41709.402190358793</v>
      </c>
    </row>
    <row r="326" spans="30:32" x14ac:dyDescent="0.25">
      <c r="AD326" s="165" t="str">
        <v>EURAB3E13Y_Quote</v>
      </c>
      <c r="AE326" s="165" t="s">
        <v>854</v>
      </c>
      <c r="AF326" s="165">
        <f>_xll.ohObjectCreationTime(AE326)</f>
        <v>41709.402190381945</v>
      </c>
    </row>
    <row r="327" spans="30:32" x14ac:dyDescent="0.25">
      <c r="AD327" s="165" t="str">
        <v>EURAB3E14Y_Quote</v>
      </c>
      <c r="AE327" s="165" t="s">
        <v>1296</v>
      </c>
      <c r="AF327" s="165">
        <f>_xll.ohObjectCreationTime(AE327)</f>
        <v>41709.40219040509</v>
      </c>
    </row>
    <row r="328" spans="30:32" x14ac:dyDescent="0.25">
      <c r="AD328" s="165" t="str">
        <v>EURAB3E15M_Quote</v>
      </c>
      <c r="AE328" s="165" t="s">
        <v>1299</v>
      </c>
      <c r="AF328" s="165">
        <f>_xll.ohObjectCreationTime(AE328)</f>
        <v>41709.402190428242</v>
      </c>
    </row>
    <row r="329" spans="30:32" x14ac:dyDescent="0.25">
      <c r="AD329" s="165" t="str">
        <v>EURAB3E15Y_Quote</v>
      </c>
      <c r="AE329" s="165" t="s">
        <v>1341</v>
      </c>
      <c r="AF329" s="165">
        <f>_xll.ohObjectCreationTime(AE329)</f>
        <v>41709.402190451387</v>
      </c>
    </row>
    <row r="330" spans="30:32" x14ac:dyDescent="0.25">
      <c r="AD330" s="165" t="str">
        <v>EURAB3E16Y_Quote</v>
      </c>
      <c r="AE330" s="165" t="s">
        <v>846</v>
      </c>
      <c r="AF330" s="165">
        <f>_xll.ohObjectCreationTime(AE330)</f>
        <v>41709.402190474539</v>
      </c>
    </row>
    <row r="331" spans="30:32" x14ac:dyDescent="0.25">
      <c r="AD331" s="165" t="str">
        <v>EURAB3E17Y_Quote</v>
      </c>
      <c r="AE331" s="165" t="s">
        <v>843</v>
      </c>
      <c r="AF331" s="165">
        <f>_xll.ohObjectCreationTime(AE331)</f>
        <v>41709.402190497683</v>
      </c>
    </row>
    <row r="332" spans="30:32" x14ac:dyDescent="0.25">
      <c r="AD332" s="165" t="str">
        <v>EURAB3E18M_Quote</v>
      </c>
      <c r="AE332" s="165" t="s">
        <v>1327</v>
      </c>
      <c r="AF332" s="165">
        <f>_xll.ohObjectCreationTime(AE332)</f>
        <v>41709.402190520836</v>
      </c>
    </row>
    <row r="333" spans="30:32" x14ac:dyDescent="0.25">
      <c r="AD333" s="165" t="str">
        <v>EURAB3E18Y_Quote</v>
      </c>
      <c r="AE333" s="165" t="s">
        <v>1307</v>
      </c>
      <c r="AF333" s="165">
        <f>_xll.ohObjectCreationTime(AE333)</f>
        <v>41709.40219054398</v>
      </c>
    </row>
    <row r="334" spans="30:32" x14ac:dyDescent="0.25">
      <c r="AD334" s="165" t="str">
        <v>EURAB3E19Y_Quote</v>
      </c>
      <c r="AE334" s="165" t="s">
        <v>889</v>
      </c>
      <c r="AF334" s="165">
        <f>_xll.ohObjectCreationTime(AE334)</f>
        <v>41709.402190567132</v>
      </c>
    </row>
    <row r="335" spans="30:32" x14ac:dyDescent="0.25">
      <c r="AD335" s="165" t="str">
        <v>EURAB3E1Y_Quote</v>
      </c>
      <c r="AE335" s="165" t="s">
        <v>812</v>
      </c>
      <c r="AF335" s="165">
        <f>_xll.ohObjectCreationTime(AE335)</f>
        <v>41709.402190590277</v>
      </c>
    </row>
    <row r="336" spans="30:32" x14ac:dyDescent="0.25">
      <c r="AD336" s="165" t="str">
        <v>EURAB3E20Y_Quote</v>
      </c>
      <c r="AE336" s="165" t="s">
        <v>907</v>
      </c>
      <c r="AF336" s="165">
        <f>_xll.ohObjectCreationTime(AE336)</f>
        <v>41709.402190613429</v>
      </c>
    </row>
    <row r="337" spans="30:32" x14ac:dyDescent="0.25">
      <c r="AD337" s="165" t="str">
        <v>EURAB3E21M_Quote</v>
      </c>
      <c r="AE337" s="165" t="s">
        <v>1291</v>
      </c>
      <c r="AF337" s="165">
        <f>_xll.ohObjectCreationTime(AE337)</f>
        <v>41709.402190636574</v>
      </c>
    </row>
    <row r="338" spans="30:32" x14ac:dyDescent="0.25">
      <c r="AD338" s="165" t="str">
        <v>EURAB3E21Y_Quote</v>
      </c>
      <c r="AE338" s="165" t="s">
        <v>1243</v>
      </c>
      <c r="AF338" s="165">
        <f>_xll.ohObjectCreationTime(AE338)</f>
        <v>41709.402190659719</v>
      </c>
    </row>
    <row r="339" spans="30:32" x14ac:dyDescent="0.25">
      <c r="AD339" s="165" t="str">
        <v>EURAB3E22Y_Quote</v>
      </c>
      <c r="AE339" s="165" t="s">
        <v>1294</v>
      </c>
      <c r="AF339" s="165">
        <f>_xll.ohObjectCreationTime(AE339)</f>
        <v>41709.402190682871</v>
      </c>
    </row>
    <row r="340" spans="30:32" x14ac:dyDescent="0.25">
      <c r="AD340" s="165" t="str">
        <v>EURAB3E23Y_Quote</v>
      </c>
      <c r="AE340" s="165" t="s">
        <v>833</v>
      </c>
      <c r="AF340" s="165">
        <f>_xll.ohObjectCreationTime(AE340)</f>
        <v>41709.402190706016</v>
      </c>
    </row>
    <row r="341" spans="30:32" x14ac:dyDescent="0.25">
      <c r="AD341" s="165" t="str">
        <v>EURAB3E24Y_Quote</v>
      </c>
      <c r="AE341" s="165" t="s">
        <v>864</v>
      </c>
      <c r="AF341" s="165">
        <f>_xll.ohObjectCreationTime(AE341)</f>
        <v>41709.402190729168</v>
      </c>
    </row>
    <row r="342" spans="30:32" x14ac:dyDescent="0.25">
      <c r="AD342" s="165" t="str">
        <v>EURAB3E25Y_Quote</v>
      </c>
      <c r="AE342" s="165" t="s">
        <v>879</v>
      </c>
      <c r="AF342" s="165">
        <f>_xll.ohObjectCreationTime(AE342)</f>
        <v>41709.402190752313</v>
      </c>
    </row>
    <row r="343" spans="30:32" x14ac:dyDescent="0.25">
      <c r="AD343" s="165" t="str">
        <v>EURAB3E26Y_Quote</v>
      </c>
      <c r="AE343" s="165" t="s">
        <v>1270</v>
      </c>
      <c r="AF343" s="165">
        <f>_xll.ohObjectCreationTime(AE343)</f>
        <v>41709.402190775465</v>
      </c>
    </row>
    <row r="344" spans="30:32" x14ac:dyDescent="0.25">
      <c r="AD344" s="165" t="str">
        <v>EURAB3E27Y_Quote</v>
      </c>
      <c r="AE344" s="165" t="s">
        <v>1264</v>
      </c>
      <c r="AF344" s="165">
        <f>_xll.ohObjectCreationTime(AE344)</f>
        <v>41709.402190810186</v>
      </c>
    </row>
    <row r="345" spans="30:32" x14ac:dyDescent="0.25">
      <c r="AD345" s="165" t="str">
        <v>EURAB3E28Y_Quote</v>
      </c>
      <c r="AE345" s="165" t="s">
        <v>893</v>
      </c>
      <c r="AF345" s="165">
        <f>_xll.ohObjectCreationTime(AE345)</f>
        <v>41709.402190833331</v>
      </c>
    </row>
    <row r="346" spans="30:32" x14ac:dyDescent="0.25">
      <c r="AD346" s="165" t="str">
        <v>EURAB3E29Y_Quote</v>
      </c>
      <c r="AE346" s="165" t="s">
        <v>1257</v>
      </c>
      <c r="AF346" s="165">
        <f>_xll.ohObjectCreationTime(AE346)</f>
        <v>41709.402190856483</v>
      </c>
    </row>
    <row r="347" spans="30:32" x14ac:dyDescent="0.25">
      <c r="AD347" s="165" t="str">
        <v>EURAB3E2Y_Quote</v>
      </c>
      <c r="AE347" s="165" t="s">
        <v>1343</v>
      </c>
      <c r="AF347" s="165">
        <f>_xll.ohObjectCreationTime(AE347)</f>
        <v>41709.402190879628</v>
      </c>
    </row>
    <row r="348" spans="30:32" x14ac:dyDescent="0.25">
      <c r="AD348" s="165" t="str">
        <v>EURAB3E30Y_Quote</v>
      </c>
      <c r="AE348" s="165" t="s">
        <v>1344</v>
      </c>
      <c r="AF348" s="165">
        <f>_xll.ohObjectCreationTime(AE348)</f>
        <v>41709.40219090278</v>
      </c>
    </row>
    <row r="349" spans="30:32" x14ac:dyDescent="0.25">
      <c r="AD349" s="165" t="str">
        <v>EURAB3E35Y_Quote</v>
      </c>
      <c r="AE349" s="165" t="s">
        <v>1303</v>
      </c>
      <c r="AF349" s="165">
        <f>_xll.ohObjectCreationTime(AE349)</f>
        <v>41709.402190925925</v>
      </c>
    </row>
    <row r="350" spans="30:32" x14ac:dyDescent="0.25">
      <c r="AD350" s="165" t="str">
        <v>EURAB3E3Y_Quote</v>
      </c>
      <c r="AE350" s="165" t="s">
        <v>1255</v>
      </c>
      <c r="AF350" s="165">
        <f>_xll.ohObjectCreationTime(AE350)</f>
        <v>41709.402190949077</v>
      </c>
    </row>
    <row r="351" spans="30:32" x14ac:dyDescent="0.25">
      <c r="AD351" s="165" t="str">
        <v>EURAB3E40Y_Quote</v>
      </c>
      <c r="AE351" s="165" t="s">
        <v>908</v>
      </c>
      <c r="AF351" s="165">
        <f>_xll.ohObjectCreationTime(AE351)</f>
        <v>41709.402190972221</v>
      </c>
    </row>
    <row r="352" spans="30:32" x14ac:dyDescent="0.25">
      <c r="AD352" s="165" t="str">
        <v>EURAB3E4Y_Quote</v>
      </c>
      <c r="AE352" s="165" t="s">
        <v>1253</v>
      </c>
      <c r="AF352" s="165">
        <f>_xll.ohObjectCreationTime(AE352)</f>
        <v>41709.402190995374</v>
      </c>
    </row>
    <row r="353" spans="30:32" x14ac:dyDescent="0.25">
      <c r="AD353" s="165" t="str">
        <v>EURAB3E50Y_Quote</v>
      </c>
      <c r="AE353" s="165" t="s">
        <v>1285</v>
      </c>
      <c r="AF353" s="165">
        <f>_xll.ohObjectCreationTime(AE353)</f>
        <v>41709.402191030094</v>
      </c>
    </row>
    <row r="354" spans="30:32" x14ac:dyDescent="0.25">
      <c r="AD354" s="165" t="str">
        <v>EURAB3E5Y_Quote</v>
      </c>
      <c r="AE354" s="165" t="s">
        <v>880</v>
      </c>
      <c r="AF354" s="165">
        <f>_xll.ohObjectCreationTime(AE354)</f>
        <v>41709.402191053239</v>
      </c>
    </row>
    <row r="355" spans="30:32" x14ac:dyDescent="0.25">
      <c r="AD355" s="165" t="str">
        <v>EURAB3E60Y_Quote</v>
      </c>
      <c r="AE355" s="165" t="s">
        <v>1293</v>
      </c>
      <c r="AF355" s="165">
        <f>_xll.ohObjectCreationTime(AE355)</f>
        <v>41709.402191076391</v>
      </c>
    </row>
    <row r="356" spans="30:32" x14ac:dyDescent="0.25">
      <c r="AD356" s="165" t="str">
        <v>EURAB3E6Y_Quote</v>
      </c>
      <c r="AE356" s="165" t="s">
        <v>820</v>
      </c>
      <c r="AF356" s="165">
        <f>_xll.ohObjectCreationTime(AE356)</f>
        <v>41709.402191111112</v>
      </c>
    </row>
    <row r="357" spans="30:32" x14ac:dyDescent="0.25">
      <c r="AD357" s="165" t="str">
        <v>EURAB3E7Y_Quote</v>
      </c>
      <c r="AE357" s="165" t="s">
        <v>804</v>
      </c>
      <c r="AF357" s="165">
        <f>_xll.ohObjectCreationTime(AE357)</f>
        <v>41709.402191134257</v>
      </c>
    </row>
    <row r="358" spans="30:32" x14ac:dyDescent="0.25">
      <c r="AD358" s="165" t="str">
        <v>EURAB3E8Y_Quote</v>
      </c>
      <c r="AE358" s="165" t="s">
        <v>1335</v>
      </c>
      <c r="AF358" s="165">
        <f>_xll.ohObjectCreationTime(AE358)</f>
        <v>41709.402191157409</v>
      </c>
    </row>
    <row r="359" spans="30:32" x14ac:dyDescent="0.25">
      <c r="AD359" s="165" t="str">
        <v>EURAB3E9Y_Quote</v>
      </c>
      <c r="AE359" s="165" t="s">
        <v>824</v>
      </c>
      <c r="AF359" s="165">
        <f>_xll.ohObjectCreationTime(AE359)</f>
        <v>41709.402191180554</v>
      </c>
    </row>
    <row r="360" spans="30:32" x14ac:dyDescent="0.25">
      <c r="AD360" s="165" t="str">
        <v>EURAB3EBASIS10Y_Quote</v>
      </c>
      <c r="AE360" s="165" t="s">
        <v>1358</v>
      </c>
      <c r="AF360" s="165">
        <f>_xll.ohObjectCreationTime(AE360)</f>
        <v>41709.402191203706</v>
      </c>
    </row>
    <row r="361" spans="30:32" x14ac:dyDescent="0.25">
      <c r="AD361" s="165" t="str">
        <v>EURAB3EBASIS11Y_Quote</v>
      </c>
      <c r="AE361" s="165" t="s">
        <v>822</v>
      </c>
      <c r="AF361" s="165">
        <f>_xll.ohObjectCreationTime(AE361)</f>
        <v>41709.402191226851</v>
      </c>
    </row>
    <row r="362" spans="30:32" x14ac:dyDescent="0.25">
      <c r="AD362" s="165" t="str">
        <v>EURAB3EBASIS12Y_Quote</v>
      </c>
      <c r="AE362" s="165" t="s">
        <v>1271</v>
      </c>
      <c r="AF362" s="165">
        <f>_xll.ohObjectCreationTime(AE362)</f>
        <v>41709.402191261572</v>
      </c>
    </row>
    <row r="363" spans="30:32" x14ac:dyDescent="0.25">
      <c r="AD363" s="165" t="str">
        <v>EURAB3EBASIS13Y_Quote</v>
      </c>
      <c r="AE363" s="165" t="s">
        <v>1305</v>
      </c>
      <c r="AF363" s="165">
        <f>_xll.ohObjectCreationTime(AE363)</f>
        <v>41709.402191284724</v>
      </c>
    </row>
    <row r="364" spans="30:32" x14ac:dyDescent="0.25">
      <c r="AD364" s="165" t="str">
        <v>EURAB3EBASIS14Y_Quote</v>
      </c>
      <c r="AE364" s="165" t="s">
        <v>1301</v>
      </c>
      <c r="AF364" s="165">
        <f>_xll.ohObjectCreationTime(AE364)</f>
        <v>41709.402191319445</v>
      </c>
    </row>
    <row r="365" spans="30:32" x14ac:dyDescent="0.25">
      <c r="AD365" s="165" t="str">
        <v>EURAB3EBASIS15M_Quote</v>
      </c>
      <c r="AE365" s="165" t="s">
        <v>1355</v>
      </c>
      <c r="AF365" s="165">
        <f>_xll.ohObjectCreationTime(AE365)</f>
        <v>41709.40219134259</v>
      </c>
    </row>
    <row r="366" spans="30:32" x14ac:dyDescent="0.25">
      <c r="AD366" s="165" t="str">
        <v>EURAB3EBASIS15Y_Quote</v>
      </c>
      <c r="AE366" s="165" t="s">
        <v>1312</v>
      </c>
      <c r="AF366" s="165">
        <f>_xll.ohObjectCreationTime(AE366)</f>
        <v>41709.402191365742</v>
      </c>
    </row>
    <row r="367" spans="30:32" x14ac:dyDescent="0.25">
      <c r="AD367" s="165" t="str">
        <v>EURAB3EBASIS16Y_Quote</v>
      </c>
      <c r="AE367" s="165" t="s">
        <v>863</v>
      </c>
      <c r="AF367" s="165">
        <f>_xll.ohObjectCreationTime(AE367)</f>
        <v>41709.402191388886</v>
      </c>
    </row>
    <row r="368" spans="30:32" x14ac:dyDescent="0.25">
      <c r="AD368" s="165" t="str">
        <v>EURAB3EBASIS17Y_Quote</v>
      </c>
      <c r="AE368" s="165" t="s">
        <v>1247</v>
      </c>
      <c r="AF368" s="165">
        <f>_xll.ohObjectCreationTime(AE368)</f>
        <v>41709.402191412039</v>
      </c>
    </row>
    <row r="369" spans="30:32" x14ac:dyDescent="0.25">
      <c r="AD369" s="165" t="str">
        <v>EURAB3EBASIS18M_Quote</v>
      </c>
      <c r="AE369" s="165" t="s">
        <v>877</v>
      </c>
      <c r="AF369" s="165">
        <f>_xll.ohObjectCreationTime(AE369)</f>
        <v>41709.402191446759</v>
      </c>
    </row>
    <row r="370" spans="30:32" x14ac:dyDescent="0.25">
      <c r="AD370" s="165" t="str">
        <v>EURAB3EBASIS18Y_Quote</v>
      </c>
      <c r="AE370" s="165" t="s">
        <v>901</v>
      </c>
      <c r="AF370" s="165">
        <f>_xll.ohObjectCreationTime(AE370)</f>
        <v>41709.402191469904</v>
      </c>
    </row>
    <row r="371" spans="30:32" x14ac:dyDescent="0.25">
      <c r="AD371" s="165" t="str">
        <v>EURAB3EBASIS19Y_Quote</v>
      </c>
      <c r="AE371" s="165" t="s">
        <v>917</v>
      </c>
      <c r="AF371" s="165">
        <f>_xll.ohObjectCreationTime(AE371)</f>
        <v>41709.402191493056</v>
      </c>
    </row>
    <row r="372" spans="30:32" x14ac:dyDescent="0.25">
      <c r="AD372" s="165" t="str">
        <v>EURAB3EBASIS1Y_Quote</v>
      </c>
      <c r="AE372" s="165" t="s">
        <v>1349</v>
      </c>
      <c r="AF372" s="165">
        <f>_xll.ohObjectCreationTime(AE372)</f>
        <v>41709.402191516201</v>
      </c>
    </row>
    <row r="373" spans="30:32" x14ac:dyDescent="0.25">
      <c r="AD373" s="165" t="str">
        <v>EURAB3EBASIS20Y_Quote</v>
      </c>
      <c r="AE373" s="165" t="s">
        <v>911</v>
      </c>
      <c r="AF373" s="165">
        <f>_xll.ohObjectCreationTime(AE373)</f>
        <v>41709.402191550929</v>
      </c>
    </row>
    <row r="374" spans="30:32" x14ac:dyDescent="0.25">
      <c r="AD374" s="165" t="str">
        <v>EURAB3EBASIS21M_Quote</v>
      </c>
      <c r="AE374" s="165" t="s">
        <v>1281</v>
      </c>
      <c r="AF374" s="165">
        <f>_xll.ohObjectCreationTime(AE374)</f>
        <v>41709.40219158565</v>
      </c>
    </row>
    <row r="375" spans="30:32" x14ac:dyDescent="0.25">
      <c r="AD375" s="165" t="str">
        <v>EURAB3EBASIS21Y_Quote</v>
      </c>
      <c r="AE375" s="165" t="s">
        <v>916</v>
      </c>
      <c r="AF375" s="165">
        <f>_xll.ohObjectCreationTime(AE375)</f>
        <v>41709.402191608795</v>
      </c>
    </row>
    <row r="376" spans="30:32" x14ac:dyDescent="0.25">
      <c r="AD376" s="165" t="str">
        <v>EURAB3EBASIS22Y_Quote</v>
      </c>
      <c r="AE376" s="165" t="s">
        <v>1353</v>
      </c>
      <c r="AF376" s="165">
        <f>_xll.ohObjectCreationTime(AE376)</f>
        <v>41709.402191631947</v>
      </c>
    </row>
    <row r="377" spans="30:32" x14ac:dyDescent="0.25">
      <c r="AD377" s="165" t="str">
        <v>EURAB3EBASIS23Y_Quote</v>
      </c>
      <c r="AE377" s="165" t="s">
        <v>1292</v>
      </c>
      <c r="AF377" s="165">
        <f>_xll.ohObjectCreationTime(AE377)</f>
        <v>41709.402191666668</v>
      </c>
    </row>
    <row r="378" spans="30:32" x14ac:dyDescent="0.25">
      <c r="AD378" s="165" t="str">
        <v>EURAB3EBASIS24Y_Quote</v>
      </c>
      <c r="AE378" s="165" t="s">
        <v>861</v>
      </c>
      <c r="AF378" s="165">
        <f>_xll.ohObjectCreationTime(AE378)</f>
        <v>41709.402191689813</v>
      </c>
    </row>
    <row r="379" spans="30:32" x14ac:dyDescent="0.25">
      <c r="AD379" s="165" t="str">
        <v>EURAB3EBASIS25Y_Quote</v>
      </c>
      <c r="AE379" s="165" t="s">
        <v>1254</v>
      </c>
      <c r="AF379" s="165">
        <f>_xll.ohObjectCreationTime(AE379)</f>
        <v>41709.402191712965</v>
      </c>
    </row>
    <row r="380" spans="30:32" x14ac:dyDescent="0.25">
      <c r="AD380" s="165" t="str">
        <v>EURAB3EBASIS26Y_Quote</v>
      </c>
      <c r="AE380" s="165" t="s">
        <v>831</v>
      </c>
      <c r="AF380" s="165">
        <f>_xll.ohObjectCreationTime(AE380)</f>
        <v>41709.40219173611</v>
      </c>
    </row>
    <row r="381" spans="30:32" x14ac:dyDescent="0.25">
      <c r="AD381" s="165" t="str">
        <v>EURAB3EBASIS27Y_Quote</v>
      </c>
      <c r="AE381" s="165" t="s">
        <v>1324</v>
      </c>
      <c r="AF381" s="165">
        <f>_xll.ohObjectCreationTime(AE381)</f>
        <v>41709.402191770831</v>
      </c>
    </row>
    <row r="382" spans="30:32" x14ac:dyDescent="0.25">
      <c r="AD382" s="165" t="str">
        <v>EURAB3EBASIS28Y_Quote</v>
      </c>
      <c r="AE382" s="165" t="s">
        <v>1258</v>
      </c>
      <c r="AF382" s="165">
        <f>_xll.ohObjectCreationTime(AE382)</f>
        <v>41709.402191793983</v>
      </c>
    </row>
    <row r="383" spans="30:32" x14ac:dyDescent="0.25">
      <c r="AD383" s="165" t="str">
        <v>EURAB3EBASIS29Y_Quote</v>
      </c>
      <c r="AE383" s="165" t="s">
        <v>892</v>
      </c>
      <c r="AF383" s="165">
        <f>_xll.ohObjectCreationTime(AE383)</f>
        <v>41709.402191817127</v>
      </c>
    </row>
    <row r="384" spans="30:32" x14ac:dyDescent="0.25">
      <c r="AD384" s="165" t="str">
        <v>EURAB3EBASIS2Y_Quote</v>
      </c>
      <c r="AE384" s="165" t="s">
        <v>810</v>
      </c>
      <c r="AF384" s="165">
        <f>_xll.ohObjectCreationTime(AE384)</f>
        <v>41709.40219184028</v>
      </c>
    </row>
    <row r="385" spans="30:32" x14ac:dyDescent="0.25">
      <c r="AD385" s="165" t="str">
        <v>EURAB3EBASIS30Y_Quote</v>
      </c>
      <c r="AE385" s="165" t="s">
        <v>881</v>
      </c>
      <c r="AF385" s="165">
        <f>_xll.ohObjectCreationTime(AE385)</f>
        <v>41709.402191863424</v>
      </c>
    </row>
    <row r="386" spans="30:32" x14ac:dyDescent="0.25">
      <c r="AD386" s="165" t="str">
        <v>EURAB3EBASIS35Y_Quote</v>
      </c>
      <c r="AE386" s="165" t="s">
        <v>1284</v>
      </c>
      <c r="AF386" s="165">
        <f>_xll.ohObjectCreationTime(AE386)</f>
        <v>41709.402191898145</v>
      </c>
    </row>
    <row r="387" spans="30:32" x14ac:dyDescent="0.25">
      <c r="AD387" s="165" t="str">
        <v>EURAB3EBASIS3Y_Quote</v>
      </c>
      <c r="AE387" s="165" t="s">
        <v>890</v>
      </c>
      <c r="AF387" s="165">
        <f>_xll.ohObjectCreationTime(AE387)</f>
        <v>41709.402191921297</v>
      </c>
    </row>
    <row r="388" spans="30:32" x14ac:dyDescent="0.25">
      <c r="AD388" s="165" t="str">
        <v>EURAB3EBASIS40Y_Quote</v>
      </c>
      <c r="AE388" s="165" t="s">
        <v>1265</v>
      </c>
      <c r="AF388" s="165">
        <f>_xll.ohObjectCreationTime(AE388)</f>
        <v>41709.402191944442</v>
      </c>
    </row>
    <row r="389" spans="30:32" x14ac:dyDescent="0.25">
      <c r="AD389" s="165" t="str">
        <v>EURAB3EBASIS4Y_Quote</v>
      </c>
      <c r="AE389" s="165" t="s">
        <v>1245</v>
      </c>
      <c r="AF389" s="165">
        <f>_xll.ohObjectCreationTime(AE389)</f>
        <v>41709.402191979163</v>
      </c>
    </row>
    <row r="390" spans="30:32" x14ac:dyDescent="0.25">
      <c r="AD390" s="165" t="str">
        <v>EURAB3EBASIS50Y_Quote</v>
      </c>
      <c r="AE390" s="165" t="s">
        <v>1313</v>
      </c>
      <c r="AF390" s="165">
        <f>_xll.ohObjectCreationTime(AE390)</f>
        <v>41709.402192002315</v>
      </c>
    </row>
    <row r="391" spans="30:32" x14ac:dyDescent="0.25">
      <c r="AD391" s="165" t="str">
        <v>EURAB3EBASIS5Y_Quote</v>
      </c>
      <c r="AE391" s="165" t="s">
        <v>819</v>
      </c>
      <c r="AF391" s="165">
        <f>_xll.ohObjectCreationTime(AE391)</f>
        <v>41709.40219202546</v>
      </c>
    </row>
    <row r="392" spans="30:32" x14ac:dyDescent="0.25">
      <c r="AD392" s="165" t="str">
        <v>EURAB3EBASIS60Y_Quote</v>
      </c>
      <c r="AE392" s="165" t="s">
        <v>902</v>
      </c>
      <c r="AF392" s="165">
        <f>_xll.ohObjectCreationTime(AE392)</f>
        <v>41709.402192048612</v>
      </c>
    </row>
    <row r="393" spans="30:32" x14ac:dyDescent="0.25">
      <c r="AD393" s="165" t="str">
        <v>EURAB3EBASIS6Y_Quote</v>
      </c>
      <c r="AE393" s="165" t="s">
        <v>808</v>
      </c>
      <c r="AF393" s="165">
        <f>_xll.ohObjectCreationTime(AE393)</f>
        <v>41709.402192071757</v>
      </c>
    </row>
    <row r="394" spans="30:32" x14ac:dyDescent="0.25">
      <c r="AD394" s="165" t="str">
        <v>EURAB3EBASIS7Y_Quote</v>
      </c>
      <c r="AE394" s="165" t="s">
        <v>1297</v>
      </c>
      <c r="AF394" s="165">
        <f>_xll.ohObjectCreationTime(AE394)</f>
        <v>41709.402192106485</v>
      </c>
    </row>
    <row r="395" spans="30:32" x14ac:dyDescent="0.25">
      <c r="AD395" s="165" t="str">
        <v>EURAB3EBASIS8Y_Quote</v>
      </c>
      <c r="AE395" s="165" t="s">
        <v>1279</v>
      </c>
      <c r="AF395" s="165">
        <f>_xll.ohObjectCreationTime(AE395)</f>
        <v>41709.40219212963</v>
      </c>
    </row>
    <row r="396" spans="30:32" x14ac:dyDescent="0.25">
      <c r="AD396" s="165" t="str">
        <v>EURAB3EBASIS9Y_Quote</v>
      </c>
      <c r="AE396" s="165" t="s">
        <v>1354</v>
      </c>
      <c r="AF396" s="165">
        <f>_xll.ohObjectCreationTime(AE396)</f>
        <v>41709.402192164351</v>
      </c>
    </row>
    <row r="397" spans="30:32" x14ac:dyDescent="0.25">
      <c r="AD397" s="165" t="str">
        <v>EURAB6E10Y_Quote</v>
      </c>
      <c r="AE397" s="165" t="s">
        <v>1350</v>
      </c>
      <c r="AF397" s="165">
        <f>_xll.ohObjectCreationTime(AE397)</f>
        <v>41709.402192187503</v>
      </c>
    </row>
    <row r="398" spans="30:32" x14ac:dyDescent="0.25">
      <c r="AD398" s="165" t="str">
        <v>EURAB6E11Y_Quote</v>
      </c>
      <c r="AE398" s="165" t="s">
        <v>906</v>
      </c>
      <c r="AF398" s="165">
        <f>_xll.ohObjectCreationTime(AE398)</f>
        <v>41709.402192210648</v>
      </c>
    </row>
    <row r="399" spans="30:32" x14ac:dyDescent="0.25">
      <c r="AD399" s="165" t="str">
        <v>EURAB6E12Y_Quote</v>
      </c>
      <c r="AE399" s="165" t="s">
        <v>1345</v>
      </c>
      <c r="AF399" s="165">
        <f>_xll.ohObjectCreationTime(AE399)</f>
        <v>41709.402192245368</v>
      </c>
    </row>
    <row r="400" spans="30:32" x14ac:dyDescent="0.25">
      <c r="AD400" s="165" t="str">
        <v>EURAB6E13Y_Quote</v>
      </c>
      <c r="AE400" s="165" t="s">
        <v>1314</v>
      </c>
      <c r="AF400" s="165">
        <f>_xll.ohObjectCreationTime(AE400)</f>
        <v>41709.402192268521</v>
      </c>
    </row>
    <row r="401" spans="30:32" x14ac:dyDescent="0.25">
      <c r="AD401" s="165" t="str">
        <v>EURAB6E14Y_Quote</v>
      </c>
      <c r="AE401" s="165" t="s">
        <v>837</v>
      </c>
      <c r="AF401" s="165">
        <f>_xll.ohObjectCreationTime(AE401)</f>
        <v>41709.402192291665</v>
      </c>
    </row>
    <row r="402" spans="30:32" x14ac:dyDescent="0.25">
      <c r="AD402" s="165" t="str">
        <v>EURAB6E15M_Quote</v>
      </c>
      <c r="AE402" s="165" t="s">
        <v>886</v>
      </c>
      <c r="AF402" s="165">
        <f>_xll.ohObjectCreationTime(AE402)</f>
        <v>41709.402192314818</v>
      </c>
    </row>
    <row r="403" spans="30:32" x14ac:dyDescent="0.25">
      <c r="AD403" s="165" t="str">
        <v>EURAB6E15Y_Quote</v>
      </c>
      <c r="AE403" s="165" t="s">
        <v>867</v>
      </c>
      <c r="AF403" s="165">
        <f>_xll.ohObjectCreationTime(AE403)</f>
        <v>41709.402192349538</v>
      </c>
    </row>
    <row r="404" spans="30:32" x14ac:dyDescent="0.25">
      <c r="AD404" s="165" t="str">
        <v>EURAB6E16Y_Quote</v>
      </c>
      <c r="AE404" s="165" t="s">
        <v>1331</v>
      </c>
      <c r="AF404" s="165">
        <f>_xll.ohObjectCreationTime(AE404)</f>
        <v>41709.402192372683</v>
      </c>
    </row>
    <row r="405" spans="30:32" x14ac:dyDescent="0.25">
      <c r="AD405" s="165" t="str">
        <v>EURAB6E17Y_Quote</v>
      </c>
      <c r="AE405" s="165" t="s">
        <v>806</v>
      </c>
      <c r="AF405" s="165">
        <f>_xll.ohObjectCreationTime(AE405)</f>
        <v>41709.402192395835</v>
      </c>
    </row>
    <row r="406" spans="30:32" x14ac:dyDescent="0.25">
      <c r="AD406" s="165" t="str">
        <v>EURAB6E18M_Quote</v>
      </c>
      <c r="AE406" s="165" t="s">
        <v>1260</v>
      </c>
      <c r="AF406" s="165">
        <f>_xll.ohObjectCreationTime(AE406)</f>
        <v>41709.402192430556</v>
      </c>
    </row>
    <row r="407" spans="30:32" x14ac:dyDescent="0.25">
      <c r="AD407" s="165" t="str">
        <v>EURAB6E18Y_Quote</v>
      </c>
      <c r="AE407" s="165" t="s">
        <v>1360</v>
      </c>
      <c r="AF407" s="165">
        <f>_xll.ohObjectCreationTime(AE407)</f>
        <v>41709.402192453701</v>
      </c>
    </row>
    <row r="408" spans="30:32" x14ac:dyDescent="0.25">
      <c r="AD408" s="165" t="str">
        <v>EURAB6E19Y_Quote</v>
      </c>
      <c r="AE408" s="165" t="s">
        <v>1329</v>
      </c>
      <c r="AF408" s="165">
        <f>_xll.ohObjectCreationTime(AE408)</f>
        <v>41709.402192476853</v>
      </c>
    </row>
    <row r="409" spans="30:32" x14ac:dyDescent="0.25">
      <c r="AD409" s="165" t="str">
        <v>EURAB6E1Y_Quote</v>
      </c>
      <c r="AE409" s="165" t="s">
        <v>1346</v>
      </c>
      <c r="AF409" s="165">
        <f>_xll.ohObjectCreationTime(AE409)</f>
        <v>41709.402192499998</v>
      </c>
    </row>
    <row r="410" spans="30:32" x14ac:dyDescent="0.25">
      <c r="AD410" s="165" t="str">
        <v>EURAB6E20Y_Quote</v>
      </c>
      <c r="AE410" s="165" t="s">
        <v>1252</v>
      </c>
      <c r="AF410" s="165">
        <f>_xll.ohObjectCreationTime(AE410)</f>
        <v>41709.402192534719</v>
      </c>
    </row>
    <row r="411" spans="30:32" x14ac:dyDescent="0.25">
      <c r="AD411" s="165" t="str">
        <v>EURAB6E21M_Quote</v>
      </c>
      <c r="AE411" s="165" t="s">
        <v>882</v>
      </c>
      <c r="AF411" s="165">
        <f>_xll.ohObjectCreationTime(AE411)</f>
        <v>41709.402192557871</v>
      </c>
    </row>
    <row r="412" spans="30:32" x14ac:dyDescent="0.25">
      <c r="AD412" s="165" t="str">
        <v>EURAB6E21Y_Quote</v>
      </c>
      <c r="AE412" s="165" t="s">
        <v>821</v>
      </c>
      <c r="AF412" s="165">
        <f>_xll.ohObjectCreationTime(AE412)</f>
        <v>41709.402192581016</v>
      </c>
    </row>
    <row r="413" spans="30:32" x14ac:dyDescent="0.25">
      <c r="AD413" s="165" t="str">
        <v>EURAB6E22Y_Quote</v>
      </c>
      <c r="AE413" s="165" t="s">
        <v>807</v>
      </c>
      <c r="AF413" s="165">
        <f>_xll.ohObjectCreationTime(AE413)</f>
        <v>41709.402192615744</v>
      </c>
    </row>
    <row r="414" spans="30:32" x14ac:dyDescent="0.25">
      <c r="AD414" s="165" t="str">
        <v>EURAB6E23Y_Quote</v>
      </c>
      <c r="AE414" s="165" t="s">
        <v>1246</v>
      </c>
      <c r="AF414" s="165">
        <f>_xll.ohObjectCreationTime(AE414)</f>
        <v>41709.402192638889</v>
      </c>
    </row>
    <row r="415" spans="30:32" x14ac:dyDescent="0.25">
      <c r="AD415" s="165" t="str">
        <v>EURAB6E24Y_Quote</v>
      </c>
      <c r="AE415" s="165" t="s">
        <v>884</v>
      </c>
      <c r="AF415" s="165">
        <f>_xll.ohObjectCreationTime(AE415)</f>
        <v>41709.402192662033</v>
      </c>
    </row>
    <row r="416" spans="30:32" x14ac:dyDescent="0.25">
      <c r="AD416" s="165" t="str">
        <v>EURAB6E25Y_Quote</v>
      </c>
      <c r="AE416" s="165" t="s">
        <v>1326</v>
      </c>
      <c r="AF416" s="165">
        <f>_xll.ohObjectCreationTime(AE416)</f>
        <v>41709.402192696762</v>
      </c>
    </row>
    <row r="417" spans="30:32" x14ac:dyDescent="0.25">
      <c r="AD417" s="165" t="str">
        <v>EURAB6E26Y_Quote</v>
      </c>
      <c r="AE417" s="165" t="s">
        <v>813</v>
      </c>
      <c r="AF417" s="165">
        <f>_xll.ohObjectCreationTime(AE417)</f>
        <v>41709.402192719906</v>
      </c>
    </row>
    <row r="418" spans="30:32" x14ac:dyDescent="0.25">
      <c r="AD418" s="165" t="str">
        <v>EURAB6E27Y_Quote</v>
      </c>
      <c r="AE418" s="165" t="s">
        <v>1302</v>
      </c>
      <c r="AF418" s="165">
        <f>_xll.ohObjectCreationTime(AE418)</f>
        <v>41709.402192743059</v>
      </c>
    </row>
    <row r="419" spans="30:32" x14ac:dyDescent="0.25">
      <c r="AD419" s="165" t="str">
        <v>EURAB6E28Y_Quote</v>
      </c>
      <c r="AE419" s="165" t="s">
        <v>1332</v>
      </c>
      <c r="AF419" s="165">
        <f>_xll.ohObjectCreationTime(AE419)</f>
        <v>41709.402192777779</v>
      </c>
    </row>
    <row r="420" spans="30:32" x14ac:dyDescent="0.25">
      <c r="AD420" s="165" t="str">
        <v>EURAB6E29Y_Quote</v>
      </c>
      <c r="AE420" s="165" t="s">
        <v>1290</v>
      </c>
      <c r="AF420" s="165">
        <f>_xll.ohObjectCreationTime(AE420)</f>
        <v>41709.402192800924</v>
      </c>
    </row>
    <row r="421" spans="30:32" x14ac:dyDescent="0.25">
      <c r="AD421" s="165" t="str">
        <v>EURAB6E2Y_Quote</v>
      </c>
      <c r="AE421" s="165" t="s">
        <v>1274</v>
      </c>
      <c r="AF421" s="165">
        <f>_xll.ohObjectCreationTime(AE421)</f>
        <v>41709.402192835645</v>
      </c>
    </row>
    <row r="422" spans="30:32" x14ac:dyDescent="0.25">
      <c r="AD422" s="165" t="str">
        <v>EURAB6E30Y_Quote</v>
      </c>
      <c r="AE422" s="165" t="s">
        <v>859</v>
      </c>
      <c r="AF422" s="165">
        <f>_xll.ohObjectCreationTime(AE422)</f>
        <v>41709.402192858797</v>
      </c>
    </row>
    <row r="423" spans="30:32" x14ac:dyDescent="0.25">
      <c r="AD423" s="165" t="str">
        <v>EURAB6E35Y_Quote</v>
      </c>
      <c r="AE423" s="165" t="s">
        <v>1357</v>
      </c>
      <c r="AF423" s="165">
        <f>_xll.ohObjectCreationTime(AE423)</f>
        <v>41709.402192881942</v>
      </c>
    </row>
    <row r="424" spans="30:32" x14ac:dyDescent="0.25">
      <c r="AD424" s="165" t="str">
        <v>EURAB6E3Y_Quote</v>
      </c>
      <c r="AE424" s="165" t="s">
        <v>1267</v>
      </c>
      <c r="AF424" s="165">
        <f>_xll.ohObjectCreationTime(AE424)</f>
        <v>41709.40219291667</v>
      </c>
    </row>
    <row r="425" spans="30:32" x14ac:dyDescent="0.25">
      <c r="AD425" s="165" t="str">
        <v>EURAB6E40Y_Quote</v>
      </c>
      <c r="AE425" s="165" t="s">
        <v>1248</v>
      </c>
      <c r="AF425" s="165">
        <f>_xll.ohObjectCreationTime(AE425)</f>
        <v>41709.402192939815</v>
      </c>
    </row>
    <row r="426" spans="30:32" x14ac:dyDescent="0.25">
      <c r="AD426" s="165" t="str">
        <v>EURAB6E4Y_Quote</v>
      </c>
      <c r="AE426" s="165" t="s">
        <v>1309</v>
      </c>
      <c r="AF426" s="165">
        <f>_xll.ohObjectCreationTime(AE426)</f>
        <v>41709.402192974536</v>
      </c>
    </row>
    <row r="427" spans="30:32" x14ac:dyDescent="0.25">
      <c r="AD427" s="165" t="str">
        <v>EURAB6E50Y_Quote</v>
      </c>
      <c r="AE427" s="165" t="s">
        <v>1315</v>
      </c>
      <c r="AF427" s="165">
        <f>_xll.ohObjectCreationTime(AE427)</f>
        <v>41709.402192997688</v>
      </c>
    </row>
    <row r="428" spans="30:32" x14ac:dyDescent="0.25">
      <c r="AD428" s="165" t="str">
        <v>EURAB6E5Y_Quote</v>
      </c>
      <c r="AE428" s="165" t="s">
        <v>1289</v>
      </c>
      <c r="AF428" s="165">
        <f>_xll.ohObjectCreationTime(AE428)</f>
        <v>41709.402193020833</v>
      </c>
    </row>
    <row r="429" spans="30:32" x14ac:dyDescent="0.25">
      <c r="AD429" s="165" t="str">
        <v>EURAB6E60Y_Quote</v>
      </c>
      <c r="AE429" s="165" t="s">
        <v>1319</v>
      </c>
      <c r="AF429" s="165">
        <f>_xll.ohObjectCreationTime(AE429)</f>
        <v>41709.402193055554</v>
      </c>
    </row>
    <row r="430" spans="30:32" x14ac:dyDescent="0.25">
      <c r="AD430" s="165" t="str">
        <v>EURAB6E6Y_Quote</v>
      </c>
      <c r="AE430" s="165" t="s">
        <v>909</v>
      </c>
      <c r="AF430" s="165">
        <f>_xll.ohObjectCreationTime(AE430)</f>
        <v>41709.402193078706</v>
      </c>
    </row>
    <row r="431" spans="30:32" x14ac:dyDescent="0.25">
      <c r="AD431" s="165" t="str">
        <v>EURAB6E7Y_Quote</v>
      </c>
      <c r="AE431" s="165" t="s">
        <v>1282</v>
      </c>
      <c r="AF431" s="165">
        <f>_xll.ohObjectCreationTime(AE431)</f>
        <v>41709.402193113427</v>
      </c>
    </row>
    <row r="432" spans="30:32" x14ac:dyDescent="0.25">
      <c r="AD432" s="165" t="str">
        <v>EURAB6E8Y_Quote</v>
      </c>
      <c r="AE432" s="165" t="s">
        <v>845</v>
      </c>
      <c r="AF432" s="165">
        <f>_xll.ohObjectCreationTime(AE432)</f>
        <v>41709.402193148147</v>
      </c>
    </row>
    <row r="433" spans="30:32" x14ac:dyDescent="0.25">
      <c r="AD433" s="165" t="str">
        <v>EURAB6E9Y_Quote</v>
      </c>
      <c r="AE433" s="165" t="s">
        <v>836</v>
      </c>
      <c r="AF433" s="165">
        <f>_xll.ohObjectCreationTime(AE433)</f>
        <v>41709.4021931713</v>
      </c>
    </row>
    <row r="434" spans="30:32" x14ac:dyDescent="0.25">
      <c r="AD434" s="165" t="str">
        <v>EURECBOISAPR13_Quote</v>
      </c>
      <c r="AE434" s="165" t="s">
        <v>874</v>
      </c>
      <c r="AF434" s="165">
        <f>_xll.ohObjectCreationTime(AE434)</f>
        <v>41709.40219320602</v>
      </c>
    </row>
    <row r="435" spans="30:32" x14ac:dyDescent="0.25">
      <c r="AD435" s="165" t="str">
        <v>EURECBOISAUG13_Quote</v>
      </c>
      <c r="AE435" s="165" t="s">
        <v>844</v>
      </c>
      <c r="AF435" s="165">
        <f>_xll.ohObjectCreationTime(AE435)</f>
        <v>41709.402193229165</v>
      </c>
    </row>
    <row r="436" spans="30:32" x14ac:dyDescent="0.25">
      <c r="AD436" s="165" t="str">
        <v>EURECBOISDEC13_Quote</v>
      </c>
      <c r="AE436" s="165" t="s">
        <v>818</v>
      </c>
      <c r="AF436" s="165">
        <f>_xll.ohObjectCreationTime(AE436)</f>
        <v>41709.402193252317</v>
      </c>
    </row>
    <row r="437" spans="30:32" x14ac:dyDescent="0.25">
      <c r="AD437" s="165" t="str">
        <v>EURECBOISJUL13_Quote</v>
      </c>
      <c r="AE437" s="165" t="s">
        <v>1286</v>
      </c>
      <c r="AF437" s="165">
        <f>_xll.ohObjectCreationTime(AE437)</f>
        <v>41709.402193287038</v>
      </c>
    </row>
    <row r="438" spans="30:32" x14ac:dyDescent="0.25">
      <c r="AD438" s="165" t="str">
        <v>EURECBOISJUN13_Quote</v>
      </c>
      <c r="AE438" s="165" t="s">
        <v>841</v>
      </c>
      <c r="AF438" s="165">
        <f>_xll.ohObjectCreationTime(AE438)</f>
        <v>41709.402193310183</v>
      </c>
    </row>
    <row r="439" spans="30:32" x14ac:dyDescent="0.25">
      <c r="AD439" s="165" t="str">
        <v>EURECBOISMAR13_Quote</v>
      </c>
      <c r="AE439" s="165" t="s">
        <v>840</v>
      </c>
      <c r="AF439" s="165">
        <f>_xll.ohObjectCreationTime(AE439)</f>
        <v>41709.402193333335</v>
      </c>
    </row>
    <row r="440" spans="30:32" x14ac:dyDescent="0.25">
      <c r="AD440" s="165" t="str">
        <v>EURECBOISMAY13_Quote</v>
      </c>
      <c r="AE440" s="165" t="s">
        <v>869</v>
      </c>
      <c r="AF440" s="165">
        <f>_xll.ohObjectCreationTime(AE440)</f>
        <v>41709.402193368056</v>
      </c>
    </row>
    <row r="441" spans="30:32" x14ac:dyDescent="0.25">
      <c r="AD441" s="165" t="str">
        <v>EURECBOISNOV13_Quote</v>
      </c>
      <c r="AE441" s="165" t="s">
        <v>1336</v>
      </c>
      <c r="AF441" s="165">
        <f>_xll.ohObjectCreationTime(AE441)</f>
        <v>41709.402193391201</v>
      </c>
    </row>
    <row r="442" spans="30:32" x14ac:dyDescent="0.25">
      <c r="AD442" s="165" t="str">
        <v>EURECBOISOCT13_Quote</v>
      </c>
      <c r="AE442" s="165" t="s">
        <v>897</v>
      </c>
      <c r="AF442" s="165">
        <f>_xll.ohObjectCreationTime(AE442)</f>
        <v>41709.402193425929</v>
      </c>
    </row>
    <row r="443" spans="30:32" x14ac:dyDescent="0.25">
      <c r="AD443" s="165" t="str">
        <v>EURECBOISSEP13_Quote</v>
      </c>
      <c r="AE443" s="165" t="s">
        <v>1317</v>
      </c>
      <c r="AF443" s="165">
        <f>_xll.ohObjectCreationTime(AE443)</f>
        <v>41709.402193449074</v>
      </c>
    </row>
    <row r="444" spans="30:32" x14ac:dyDescent="0.25">
      <c r="AD444" s="165" t="str">
        <v>EUREON10M_Quote</v>
      </c>
      <c r="AE444" s="165" t="s">
        <v>870</v>
      </c>
      <c r="AF444" s="165">
        <f>_xll.ohObjectCreationTime(AE444)</f>
        <v>41709.402193472219</v>
      </c>
    </row>
    <row r="445" spans="30:32" x14ac:dyDescent="0.25">
      <c r="AD445" s="165" t="str">
        <v>EUREON10Y_Quote</v>
      </c>
      <c r="AE445" s="165" t="s">
        <v>827</v>
      </c>
      <c r="AF445" s="165">
        <f>_xll.ohObjectCreationTime(AE445)</f>
        <v>41709.402193506947</v>
      </c>
    </row>
    <row r="446" spans="30:32" x14ac:dyDescent="0.25">
      <c r="AD446" s="165" t="str">
        <v>EUREON11M_Quote</v>
      </c>
      <c r="AE446" s="165" t="s">
        <v>883</v>
      </c>
      <c r="AF446" s="165">
        <f>_xll.ohObjectCreationTime(AE446)</f>
        <v>41709.402193530092</v>
      </c>
    </row>
    <row r="447" spans="30:32" x14ac:dyDescent="0.25">
      <c r="AD447" s="165" t="str">
        <v>EUREON11Y_Quote</v>
      </c>
      <c r="AE447" s="165" t="s">
        <v>915</v>
      </c>
      <c r="AF447" s="165">
        <f>_xll.ohObjectCreationTime(AE447)</f>
        <v>41709.402193564812</v>
      </c>
    </row>
    <row r="448" spans="30:32" x14ac:dyDescent="0.25">
      <c r="AD448" s="165" t="str">
        <v>EUREON12Y_Quote</v>
      </c>
      <c r="AE448" s="165" t="s">
        <v>855</v>
      </c>
      <c r="AF448" s="165">
        <f>_xll.ohObjectCreationTime(AE448)</f>
        <v>41709.402193587965</v>
      </c>
    </row>
    <row r="449" spans="30:32" x14ac:dyDescent="0.25">
      <c r="AD449" s="165" t="str">
        <v>EUREON15M_Quote</v>
      </c>
      <c r="AE449" s="165" t="s">
        <v>1277</v>
      </c>
      <c r="AF449" s="165">
        <f>_xll.ohObjectCreationTime(AE449)</f>
        <v>41709.402193622685</v>
      </c>
    </row>
    <row r="450" spans="30:32" x14ac:dyDescent="0.25">
      <c r="AD450" s="165" t="str">
        <v>EUREON15Y_Quote</v>
      </c>
      <c r="AE450" s="165" t="s">
        <v>887</v>
      </c>
      <c r="AF450" s="165">
        <f>_xll.ohObjectCreationTime(AE450)</f>
        <v>41709.40219364583</v>
      </c>
    </row>
    <row r="451" spans="30:32" x14ac:dyDescent="0.25">
      <c r="AD451" s="165" t="str">
        <v>EUREON18M_Quote</v>
      </c>
      <c r="AE451" s="165" t="s">
        <v>802</v>
      </c>
      <c r="AF451" s="165">
        <f>_xll.ohObjectCreationTime(AE451)</f>
        <v>41709.402193668982</v>
      </c>
    </row>
    <row r="452" spans="30:32" x14ac:dyDescent="0.25">
      <c r="AD452" s="165" t="str">
        <v>EUREON1M_Quote</v>
      </c>
      <c r="AE452" s="165" t="s">
        <v>1337</v>
      </c>
      <c r="AF452" s="165">
        <f>_xll.ohObjectCreationTime(AE452)</f>
        <v>41709.402193703703</v>
      </c>
    </row>
    <row r="453" spans="30:32" x14ac:dyDescent="0.25">
      <c r="AD453" s="165" t="str">
        <v>EUREON1Y_Quote</v>
      </c>
      <c r="AE453" s="165" t="s">
        <v>905</v>
      </c>
      <c r="AF453" s="165">
        <f>_xll.ohObjectCreationTime(AE453)</f>
        <v>41709.402193726855</v>
      </c>
    </row>
    <row r="454" spans="30:32" x14ac:dyDescent="0.25">
      <c r="AD454" s="165" t="str">
        <v>EUREON20Y_Quote</v>
      </c>
      <c r="AE454" s="165" t="s">
        <v>1304</v>
      </c>
      <c r="AF454" s="165">
        <f>_xll.ohObjectCreationTime(AE454)</f>
        <v>41709.402193761576</v>
      </c>
    </row>
    <row r="455" spans="30:32" x14ac:dyDescent="0.25">
      <c r="AD455" s="165" t="str">
        <v>EUREON21M_Quote</v>
      </c>
      <c r="AE455" s="165" t="s">
        <v>894</v>
      </c>
      <c r="AF455" s="165">
        <f>_xll.ohObjectCreationTime(AE455)</f>
        <v>41709.402193784721</v>
      </c>
    </row>
    <row r="456" spans="30:32" x14ac:dyDescent="0.25">
      <c r="AD456" s="165" t="str">
        <v>EUREON25Y_Quote</v>
      </c>
      <c r="AE456" s="165" t="s">
        <v>835</v>
      </c>
      <c r="AF456" s="165">
        <f>_xll.ohObjectCreationTime(AE456)</f>
        <v>41709.402193819442</v>
      </c>
    </row>
    <row r="457" spans="30:32" x14ac:dyDescent="0.25">
      <c r="AD457" s="165" t="str">
        <v>EUREON2M_Quote</v>
      </c>
      <c r="AE457" s="165" t="s">
        <v>1250</v>
      </c>
      <c r="AF457" s="165">
        <f>_xll.ohObjectCreationTime(AE457)</f>
        <v>41709.402193842594</v>
      </c>
    </row>
    <row r="458" spans="30:32" x14ac:dyDescent="0.25">
      <c r="AD458" s="165" t="str">
        <v>EUREON2W_Quote</v>
      </c>
      <c r="AE458" s="165" t="s">
        <v>849</v>
      </c>
      <c r="AF458" s="165">
        <f>_xll.ohObjectCreationTime(AE458)</f>
        <v>41709.402193877315</v>
      </c>
    </row>
    <row r="459" spans="30:32" x14ac:dyDescent="0.25">
      <c r="AD459" s="165" t="str">
        <v>EUREON2Y_Quote</v>
      </c>
      <c r="AE459" s="165" t="s">
        <v>1328</v>
      </c>
      <c r="AF459" s="165">
        <f>_xll.ohObjectCreationTime(AE459)</f>
        <v>41709.40219390046</v>
      </c>
    </row>
    <row r="460" spans="30:32" x14ac:dyDescent="0.25">
      <c r="AD460" s="165" t="str">
        <v>EUREON30Y_Quote</v>
      </c>
      <c r="AE460" s="165" t="s">
        <v>1266</v>
      </c>
      <c r="AF460" s="165">
        <f>_xll.ohObjectCreationTime(AE460)</f>
        <v>41709.402193935188</v>
      </c>
    </row>
    <row r="461" spans="30:32" x14ac:dyDescent="0.25">
      <c r="AD461" s="165" t="str">
        <v>EUREON3M_Quote</v>
      </c>
      <c r="AE461" s="165" t="s">
        <v>842</v>
      </c>
      <c r="AF461" s="165">
        <f>_xll.ohObjectCreationTime(AE461)</f>
        <v>41709.402193969909</v>
      </c>
    </row>
    <row r="462" spans="30:32" x14ac:dyDescent="0.25">
      <c r="AD462" s="165" t="str">
        <v>EUREON3W_Quote</v>
      </c>
      <c r="AE462" s="165" t="s">
        <v>817</v>
      </c>
      <c r="AF462" s="165">
        <f>_xll.ohObjectCreationTime(AE462)</f>
        <v>41709.402193993054</v>
      </c>
    </row>
    <row r="463" spans="30:32" x14ac:dyDescent="0.25">
      <c r="AD463" s="165" t="str">
        <v>EUREON3Y_Quote</v>
      </c>
      <c r="AE463" s="165" t="s">
        <v>1251</v>
      </c>
      <c r="AF463" s="165">
        <f>_xll.ohObjectCreationTime(AE463)</f>
        <v>41709.402194027774</v>
      </c>
    </row>
    <row r="464" spans="30:32" x14ac:dyDescent="0.25">
      <c r="AD464" s="165" t="str">
        <v>EUREON40Y_Quote</v>
      </c>
      <c r="AE464" s="165" t="s">
        <v>1316</v>
      </c>
      <c r="AF464" s="165">
        <f>_xll.ohObjectCreationTime(AE464)</f>
        <v>41709.402194050926</v>
      </c>
    </row>
    <row r="465" spans="30:32" x14ac:dyDescent="0.25">
      <c r="AD465" s="165" t="str">
        <v>EUREON4M_Quote</v>
      </c>
      <c r="AE465" s="165" t="s">
        <v>1333</v>
      </c>
      <c r="AF465" s="165">
        <f>_xll.ohObjectCreationTime(AE465)</f>
        <v>41709.402194085647</v>
      </c>
    </row>
    <row r="466" spans="30:32" x14ac:dyDescent="0.25">
      <c r="AD466" s="165" t="str">
        <v>EUREON4Y_Quote</v>
      </c>
      <c r="AE466" s="165" t="s">
        <v>872</v>
      </c>
      <c r="AF466" s="165">
        <f>_xll.ohObjectCreationTime(AE466)</f>
        <v>41709.402194120368</v>
      </c>
    </row>
    <row r="467" spans="30:32" x14ac:dyDescent="0.25">
      <c r="AD467" s="165" t="str">
        <v>EUREON50Y_Quote</v>
      </c>
      <c r="AE467" s="165" t="s">
        <v>848</v>
      </c>
      <c r="AF467" s="165">
        <f>_xll.ohObjectCreationTime(AE467)</f>
        <v>41709.40219414352</v>
      </c>
    </row>
    <row r="468" spans="30:32" x14ac:dyDescent="0.25">
      <c r="AD468" s="165" t="str">
        <v>EUREON5M_Quote</v>
      </c>
      <c r="AE468" s="165" t="s">
        <v>858</v>
      </c>
      <c r="AF468" s="165">
        <f>_xll.ohObjectCreationTime(AE468)</f>
        <v>41709.402194178241</v>
      </c>
    </row>
    <row r="469" spans="30:32" x14ac:dyDescent="0.25">
      <c r="AD469" s="165" t="str">
        <v>EUREON5Y_Quote</v>
      </c>
      <c r="AE469" s="165" t="s">
        <v>1322</v>
      </c>
      <c r="AF469" s="165">
        <f>_xll.ohObjectCreationTime(AE469)</f>
        <v>41709.402194201386</v>
      </c>
    </row>
    <row r="470" spans="30:32" x14ac:dyDescent="0.25">
      <c r="AD470" s="165" t="str">
        <v>EUREON60Y_Quote</v>
      </c>
      <c r="AE470" s="165" t="s">
        <v>878</v>
      </c>
      <c r="AF470" s="165">
        <f>_xll.ohObjectCreationTime(AE470)</f>
        <v>41709.402194236114</v>
      </c>
    </row>
    <row r="471" spans="30:32" x14ac:dyDescent="0.25">
      <c r="AD471" s="165" t="str">
        <v>EUREON6M_Quote</v>
      </c>
      <c r="AE471" s="165" t="s">
        <v>830</v>
      </c>
      <c r="AF471" s="165">
        <f>_xll.ohObjectCreationTime(AE471)</f>
        <v>41709.402194259259</v>
      </c>
    </row>
    <row r="472" spans="30:32" x14ac:dyDescent="0.25">
      <c r="AD472" s="165" t="str">
        <v>EUREON6Y_Quote</v>
      </c>
      <c r="AE472" s="165" t="s">
        <v>913</v>
      </c>
      <c r="AF472" s="165">
        <f>_xll.ohObjectCreationTime(AE472)</f>
        <v>41709.40219429398</v>
      </c>
    </row>
    <row r="473" spans="30:32" x14ac:dyDescent="0.25">
      <c r="AD473" s="165" t="str">
        <v>EUREON7M_Quote</v>
      </c>
      <c r="AE473" s="165" t="s">
        <v>1288</v>
      </c>
      <c r="AF473" s="165">
        <f>_xll.ohObjectCreationTime(AE473)</f>
        <v>41709.402194317132</v>
      </c>
    </row>
    <row r="474" spans="30:32" x14ac:dyDescent="0.25">
      <c r="AD474" s="165" t="str">
        <v>EUREON7Y_Quote</v>
      </c>
      <c r="AE474" s="165" t="s">
        <v>801</v>
      </c>
      <c r="AF474" s="165">
        <f>_xll.ohObjectCreationTime(AE474)</f>
        <v>41709.402194351853</v>
      </c>
    </row>
    <row r="475" spans="30:32" x14ac:dyDescent="0.25">
      <c r="AD475" s="165" t="str">
        <v>EUREON8M_Quote</v>
      </c>
      <c r="AE475" s="165" t="s">
        <v>825</v>
      </c>
      <c r="AF475" s="165">
        <f>_xll.ohObjectCreationTime(AE475)</f>
        <v>41709.402194374998</v>
      </c>
    </row>
    <row r="476" spans="30:32" x14ac:dyDescent="0.25">
      <c r="AD476" s="165" t="str">
        <v>EUREON8Y_Quote</v>
      </c>
      <c r="AE476" s="165" t="s">
        <v>1283</v>
      </c>
      <c r="AF476" s="165">
        <f>_xll.ohObjectCreationTime(AE476)</f>
        <v>41709.402194409726</v>
      </c>
    </row>
    <row r="477" spans="30:32" x14ac:dyDescent="0.25">
      <c r="AD477" s="165" t="str">
        <v>EUREON9M_Quote</v>
      </c>
      <c r="AE477" s="165" t="s">
        <v>1310</v>
      </c>
      <c r="AF477" s="165">
        <f>_xll.ohObjectCreationTime(AE477)</f>
        <v>41709.402194432871</v>
      </c>
    </row>
    <row r="478" spans="30:32" x14ac:dyDescent="0.25">
      <c r="AD478" s="165" t="str">
        <v>EUREON9Y_Quote</v>
      </c>
      <c r="AE478" s="165" t="s">
        <v>826</v>
      </c>
      <c r="AF478" s="165">
        <f>_xll.ohObjectCreationTime(AE478)</f>
        <v>41709.402194467591</v>
      </c>
    </row>
    <row r="479" spans="30:32" x14ac:dyDescent="0.25">
      <c r="AD479" s="165" t="str">
        <v>EUREONSW_Quote</v>
      </c>
      <c r="AE479" s="165" t="s">
        <v>1261</v>
      </c>
      <c r="AF479" s="165">
        <f>_xll.ohObjectCreationTime(AE479)</f>
        <v>41709.402194490744</v>
      </c>
    </row>
    <row r="480" spans="30:32" x14ac:dyDescent="0.25">
      <c r="AD480" s="165" t="str">
        <v>EURFUT1MF0_Quote</v>
      </c>
      <c r="AE480" s="165" t="s">
        <v>1320</v>
      </c>
      <c r="AF480" s="165">
        <f>_xll.ohObjectCreationTime(AE480)</f>
        <v>41709.402194525464</v>
      </c>
    </row>
    <row r="481" spans="30:32" x14ac:dyDescent="0.25">
      <c r="AD481" s="165" t="str">
        <v>EURFUT1MF1_Quote</v>
      </c>
      <c r="AE481" s="165" t="s">
        <v>1276</v>
      </c>
      <c r="AF481" s="165">
        <f>_xll.ohObjectCreationTime(AE481)</f>
        <v>41709.402194560185</v>
      </c>
    </row>
    <row r="482" spans="30:32" x14ac:dyDescent="0.25">
      <c r="AD482" s="165" t="str">
        <v>EURFUT1MF2_Quote</v>
      </c>
      <c r="AE482" s="165" t="s">
        <v>1272</v>
      </c>
      <c r="AF482" s="165">
        <f>_xll.ohObjectCreationTime(AE482)</f>
        <v>41709.40219458333</v>
      </c>
    </row>
    <row r="483" spans="30:32" x14ac:dyDescent="0.25">
      <c r="AD483" s="165" t="str">
        <v>EURFUT1MF3_Quote</v>
      </c>
      <c r="AE483" s="165" t="s">
        <v>903</v>
      </c>
      <c r="AF483" s="165">
        <f>_xll.ohObjectCreationTime(AE483)</f>
        <v>41709.402194618058</v>
      </c>
    </row>
    <row r="484" spans="30:32" x14ac:dyDescent="0.25">
      <c r="AD484" s="165" t="str">
        <v>EURFUT1MF4_Quote</v>
      </c>
      <c r="AE484" s="165" t="s">
        <v>860</v>
      </c>
      <c r="AF484" s="165">
        <f>_xll.ohObjectCreationTime(AE484)</f>
        <v>41709.402194641203</v>
      </c>
    </row>
    <row r="485" spans="30:32" x14ac:dyDescent="0.25">
      <c r="AD485" s="165" t="str">
        <v>EURFUT1MF5_Quote</v>
      </c>
      <c r="AE485" s="165" t="s">
        <v>1330</v>
      </c>
      <c r="AF485" s="165">
        <f>_xll.ohObjectCreationTime(AE485)</f>
        <v>41709.402194675924</v>
      </c>
    </row>
    <row r="486" spans="30:32" x14ac:dyDescent="0.25">
      <c r="AD486" s="165" t="str">
        <v>EURFUT1MF6_Quote</v>
      </c>
      <c r="AE486" s="165" t="s">
        <v>1342</v>
      </c>
      <c r="AF486" s="165">
        <f>_xll.ohObjectCreationTime(AE486)</f>
        <v>41709.402194699076</v>
      </c>
    </row>
    <row r="487" spans="30:32" x14ac:dyDescent="0.25">
      <c r="AD487" s="165" t="str">
        <v>EURFUT1MF7_Quote</v>
      </c>
      <c r="AE487" s="165" t="s">
        <v>832</v>
      </c>
      <c r="AF487" s="165">
        <f>_xll.ohObjectCreationTime(AE487)</f>
        <v>41709.402194733797</v>
      </c>
    </row>
    <row r="488" spans="30:32" x14ac:dyDescent="0.25">
      <c r="AD488" s="165" t="str">
        <v>EURFUT1MF8_Quote</v>
      </c>
      <c r="AE488" s="165" t="s">
        <v>910</v>
      </c>
      <c r="AF488" s="165">
        <f>_xll.ohObjectCreationTime(AE488)</f>
        <v>41709.402194756942</v>
      </c>
    </row>
    <row r="489" spans="30:32" x14ac:dyDescent="0.25">
      <c r="AD489" s="165" t="str">
        <v>EURFUT1MF9_Quote</v>
      </c>
      <c r="AE489" s="165" t="s">
        <v>899</v>
      </c>
      <c r="AF489" s="165">
        <f>_xll.ohObjectCreationTime(AE489)</f>
        <v>41709.40219479167</v>
      </c>
    </row>
    <row r="490" spans="30:32" x14ac:dyDescent="0.25">
      <c r="AD490" s="165" t="str">
        <v>EURFUT1MG0_Quote</v>
      </c>
      <c r="AE490" s="165" t="s">
        <v>914</v>
      </c>
      <c r="AF490" s="165">
        <f>_xll.ohObjectCreationTime(AE490)</f>
        <v>41709.402194826391</v>
      </c>
    </row>
    <row r="491" spans="30:32" x14ac:dyDescent="0.25">
      <c r="AD491" s="165" t="str">
        <v>EURFUT1MG1_Quote</v>
      </c>
      <c r="AE491" s="165" t="s">
        <v>853</v>
      </c>
      <c r="AF491" s="165">
        <f>_xll.ohObjectCreationTime(AE491)</f>
        <v>41709.402194849536</v>
      </c>
    </row>
    <row r="492" spans="30:32" x14ac:dyDescent="0.25">
      <c r="AD492" s="165" t="str">
        <v>EURFUT1MG2_Quote</v>
      </c>
      <c r="AE492" s="165" t="s">
        <v>1321</v>
      </c>
      <c r="AF492" s="165">
        <f>_xll.ohObjectCreationTime(AE492)</f>
        <v>41709.402194884256</v>
      </c>
    </row>
    <row r="493" spans="30:32" x14ac:dyDescent="0.25">
      <c r="AD493" s="165" t="str">
        <v>EURFUT1MG3_Quote</v>
      </c>
      <c r="AE493" s="165" t="s">
        <v>1259</v>
      </c>
      <c r="AF493" s="165">
        <f>_xll.ohObjectCreationTime(AE493)</f>
        <v>41709.402194907409</v>
      </c>
    </row>
    <row r="494" spans="30:32" x14ac:dyDescent="0.25">
      <c r="AD494" s="165" t="str">
        <v>EURFUT1MG4_Quote</v>
      </c>
      <c r="AE494" s="165" t="s">
        <v>828</v>
      </c>
      <c r="AF494" s="165">
        <f>_xll.ohObjectCreationTime(AE494)</f>
        <v>41709.402194942129</v>
      </c>
    </row>
    <row r="495" spans="30:32" x14ac:dyDescent="0.25">
      <c r="AD495" s="165" t="str">
        <v>EURFUT1MG5_Quote</v>
      </c>
      <c r="AE495" s="165" t="s">
        <v>1352</v>
      </c>
      <c r="AF495" s="165">
        <f>_xll.ohObjectCreationTime(AE495)</f>
        <v>41709.40219497685</v>
      </c>
    </row>
    <row r="496" spans="30:32" x14ac:dyDescent="0.25">
      <c r="AD496" s="165" t="str">
        <v>EURFUT1MG6_Quote</v>
      </c>
      <c r="AE496" s="165" t="s">
        <v>1242</v>
      </c>
      <c r="AF496" s="165">
        <f>_xll.ohObjectCreationTime(AE496)</f>
        <v>41709.402195011571</v>
      </c>
    </row>
    <row r="497" spans="30:32" x14ac:dyDescent="0.25">
      <c r="AD497" s="165" t="str">
        <v>EURFUT1MG7_Quote</v>
      </c>
      <c r="AE497" s="165" t="s">
        <v>851</v>
      </c>
      <c r="AF497" s="165">
        <f>_xll.ohObjectCreationTime(AE497)</f>
        <v>41709.402195034723</v>
      </c>
    </row>
    <row r="498" spans="30:32" x14ac:dyDescent="0.25">
      <c r="AD498" s="165" t="str">
        <v>EURFUT1MG8_Quote</v>
      </c>
      <c r="AE498" s="165" t="s">
        <v>815</v>
      </c>
      <c r="AF498" s="165">
        <f>_xll.ohObjectCreationTime(AE498)</f>
        <v>41709.402195069444</v>
      </c>
    </row>
    <row r="499" spans="30:32" x14ac:dyDescent="0.25">
      <c r="AD499" s="165" t="str">
        <v>EURFUT1MG9_Quote</v>
      </c>
      <c r="AE499" s="165" t="s">
        <v>1323</v>
      </c>
      <c r="AF499" s="165">
        <f>_xll.ohObjectCreationTime(AE499)</f>
        <v>41709.402195092596</v>
      </c>
    </row>
    <row r="500" spans="30:32" x14ac:dyDescent="0.25">
      <c r="AD500" s="165" t="str">
        <v>EURFUT1MH0_Quote</v>
      </c>
      <c r="AE500" s="165" t="s">
        <v>857</v>
      </c>
      <c r="AF500" s="165">
        <f>_xll.ohObjectCreationTime(AE500)</f>
        <v>41709.402195127317</v>
      </c>
    </row>
    <row r="501" spans="30:32" x14ac:dyDescent="0.25">
      <c r="AD501" s="165" t="str">
        <v>EURFUT1MH1_Quote</v>
      </c>
      <c r="AE501" s="165" t="s">
        <v>1262</v>
      </c>
      <c r="AF501" s="165">
        <f>_xll.ohObjectCreationTime(AE501)</f>
        <v>41709.402195150462</v>
      </c>
    </row>
    <row r="502" spans="30:32" x14ac:dyDescent="0.25">
      <c r="AD502" s="165" t="str">
        <v>EURFUT1MH2_Quote</v>
      </c>
      <c r="AE502" s="165" t="s">
        <v>1351</v>
      </c>
      <c r="AF502" s="165">
        <f>_xll.ohObjectCreationTime(AE502)</f>
        <v>41709.402195185183</v>
      </c>
    </row>
    <row r="503" spans="30:32" x14ac:dyDescent="0.25">
      <c r="AD503" s="165" t="str">
        <v>EURFUT1MH3_Quote</v>
      </c>
      <c r="AE503" s="165" t="s">
        <v>809</v>
      </c>
      <c r="AF503" s="165">
        <f>_xll.ohObjectCreationTime(AE503)</f>
        <v>41709.402195208335</v>
      </c>
    </row>
    <row r="504" spans="30:32" x14ac:dyDescent="0.25">
      <c r="AD504" s="165" t="str">
        <v>EURFUT1MH4_Quote</v>
      </c>
      <c r="AE504" s="165" t="s">
        <v>805</v>
      </c>
      <c r="AF504" s="165">
        <f>_xll.ohObjectCreationTime(AE504)</f>
        <v>41709.402195243056</v>
      </c>
    </row>
    <row r="505" spans="30:32" x14ac:dyDescent="0.25">
      <c r="AD505" s="165" t="str">
        <v>EURFUT1MH5_Quote</v>
      </c>
      <c r="AE505" s="165" t="s">
        <v>852</v>
      </c>
      <c r="AF505" s="165">
        <f>_xll.ohObjectCreationTime(AE505)</f>
        <v>41709.402195266201</v>
      </c>
    </row>
    <row r="506" spans="30:32" x14ac:dyDescent="0.25">
      <c r="AD506" s="165" t="str">
        <v>EURFUT1MH6_Quote</v>
      </c>
      <c r="AE506" s="165" t="s">
        <v>834</v>
      </c>
      <c r="AF506" s="165">
        <f>_xll.ohObjectCreationTime(AE506)</f>
        <v>41709.402195300929</v>
      </c>
    </row>
    <row r="507" spans="30:32" x14ac:dyDescent="0.25">
      <c r="AD507" s="165" t="str">
        <v>EURFUT1MH7_Quote</v>
      </c>
      <c r="AE507" s="165" t="s">
        <v>885</v>
      </c>
      <c r="AF507" s="165">
        <f>_xll.ohObjectCreationTime(AE507)</f>
        <v>41709.402195324074</v>
      </c>
    </row>
    <row r="508" spans="30:32" x14ac:dyDescent="0.25">
      <c r="AD508" s="165" t="str">
        <v>EURFUT1MH8_Quote</v>
      </c>
      <c r="AE508" s="165" t="s">
        <v>912</v>
      </c>
      <c r="AF508" s="165">
        <f>_xll.ohObjectCreationTime(AE508)</f>
        <v>41709.402195358794</v>
      </c>
    </row>
    <row r="509" spans="30:32" x14ac:dyDescent="0.25">
      <c r="AD509" s="165" t="str">
        <v>EURFUT1MH9_Quote</v>
      </c>
      <c r="AE509" s="165" t="s">
        <v>838</v>
      </c>
      <c r="AF509" s="165">
        <f>_xll.ohObjectCreationTime(AE509)</f>
        <v>41709.402195393515</v>
      </c>
    </row>
    <row r="510" spans="30:32" x14ac:dyDescent="0.25">
      <c r="AD510" s="165" t="str">
        <v>EURFUT1MJ0_Quote</v>
      </c>
      <c r="AE510" s="165" t="s">
        <v>1269</v>
      </c>
      <c r="AF510" s="165">
        <f>_xll.ohObjectCreationTime(AE510)</f>
        <v>41709.402195416667</v>
      </c>
    </row>
    <row r="511" spans="30:32" x14ac:dyDescent="0.25">
      <c r="AD511" s="165" t="str">
        <v>EURFUT1MJ1_Quote</v>
      </c>
      <c r="AE511" s="165" t="s">
        <v>816</v>
      </c>
      <c r="AF511" s="165">
        <f>_xll.ohObjectCreationTime(AE511)</f>
        <v>41709.402195451388</v>
      </c>
    </row>
    <row r="512" spans="30:32" x14ac:dyDescent="0.25">
      <c r="AD512" s="165" t="str">
        <v>EURFUT1MJ2_Quote</v>
      </c>
      <c r="AE512" s="165" t="s">
        <v>1263</v>
      </c>
      <c r="AF512" s="165">
        <f>_xll.ohObjectCreationTime(AE512)</f>
        <v>41709.402195486109</v>
      </c>
    </row>
    <row r="513" spans="30:32" x14ac:dyDescent="0.25">
      <c r="AD513" s="165" t="str">
        <v>EURFUT1MJ3_Quote</v>
      </c>
      <c r="AE513" s="165" t="s">
        <v>1287</v>
      </c>
      <c r="AF513" s="165">
        <f>_xll.ohObjectCreationTime(AE513)</f>
        <v>41709.402195509261</v>
      </c>
    </row>
    <row r="514" spans="30:32" x14ac:dyDescent="0.25">
      <c r="AD514" s="165" t="str">
        <v>EURFUT1MJ4_Quote</v>
      </c>
      <c r="AE514" s="165" t="s">
        <v>871</v>
      </c>
      <c r="AF514" s="165">
        <f>_xll.ohObjectCreationTime(AE514)</f>
        <v>41709.402195543982</v>
      </c>
    </row>
    <row r="515" spans="30:32" x14ac:dyDescent="0.25">
      <c r="AD515" s="165" t="str">
        <v>EURFUT1MJ5_Quote</v>
      </c>
      <c r="AE515" s="165" t="s">
        <v>895</v>
      </c>
      <c r="AF515" s="165">
        <f>_xll.ohObjectCreationTime(AE515)</f>
        <v>41709.402195567127</v>
      </c>
    </row>
    <row r="516" spans="30:32" x14ac:dyDescent="0.25">
      <c r="AD516" s="165" t="str">
        <v>EURFUT1MJ6_Quote</v>
      </c>
      <c r="AE516" s="165" t="s">
        <v>847</v>
      </c>
      <c r="AF516" s="165">
        <f>_xll.ohObjectCreationTime(AE516)</f>
        <v>41709.402195601855</v>
      </c>
    </row>
    <row r="517" spans="30:32" x14ac:dyDescent="0.25">
      <c r="AD517" s="165" t="str">
        <v>EURFUT1MJ7_Quote</v>
      </c>
      <c r="AE517" s="165" t="s">
        <v>839</v>
      </c>
      <c r="AF517" s="165">
        <f>_xll.ohObjectCreationTime(AE517)</f>
        <v>41709.402195636576</v>
      </c>
    </row>
    <row r="518" spans="30:32" x14ac:dyDescent="0.25">
      <c r="AD518" s="165" t="str">
        <v>EURFUT1MJ8_Quote</v>
      </c>
      <c r="AE518" s="165" t="s">
        <v>811</v>
      </c>
      <c r="AF518" s="165">
        <f>_xll.ohObjectCreationTime(AE518)</f>
        <v>41709.402195659721</v>
      </c>
    </row>
    <row r="519" spans="30:32" x14ac:dyDescent="0.25">
      <c r="AD519" s="165" t="str">
        <v>EURFUT1MJ9_Quote</v>
      </c>
      <c r="AE519" s="165" t="s">
        <v>1356</v>
      </c>
      <c r="AF519" s="165">
        <f>_xll.ohObjectCreationTime(AE519)</f>
        <v>41709.402195694442</v>
      </c>
    </row>
    <row r="520" spans="30:32" x14ac:dyDescent="0.25">
      <c r="AD520" s="165" t="str">
        <v>EURFUT1MK0_Quote</v>
      </c>
      <c r="AE520" s="165" t="s">
        <v>1306</v>
      </c>
      <c r="AF520" s="165">
        <f>_xll.ohObjectCreationTime(AE520)</f>
        <v>41709.402195717594</v>
      </c>
    </row>
    <row r="521" spans="30:32" x14ac:dyDescent="0.25">
      <c r="AD521" s="165" t="str">
        <v>EURFUT1MK1_Quote</v>
      </c>
      <c r="AE521" s="165" t="s">
        <v>919</v>
      </c>
      <c r="AF521" s="165">
        <f>_xll.ohObjectCreationTime(AE521)</f>
        <v>41709.402195752315</v>
      </c>
    </row>
    <row r="522" spans="30:32" x14ac:dyDescent="0.25">
      <c r="AD522" s="165" t="str">
        <v>EURFUT1MK2_Quote</v>
      </c>
      <c r="AE522" s="165" t="s">
        <v>829</v>
      </c>
      <c r="AF522" s="165">
        <f>_xll.ohObjectCreationTime(AE522)</f>
        <v>41709.402195787035</v>
      </c>
    </row>
    <row r="523" spans="30:32" x14ac:dyDescent="0.25">
      <c r="AD523" s="165" t="str">
        <v>EURFUT1MK3_Quote</v>
      </c>
      <c r="AE523" s="165" t="s">
        <v>866</v>
      </c>
      <c r="AF523" s="165">
        <f>_xll.ohObjectCreationTime(AE523)</f>
        <v>41709.402195810188</v>
      </c>
    </row>
    <row r="524" spans="30:32" x14ac:dyDescent="0.25">
      <c r="AD524" s="165" t="str">
        <v>EURFUT1MK4_Quote</v>
      </c>
      <c r="AE524" s="165" t="s">
        <v>900</v>
      </c>
      <c r="AF524" s="165">
        <f>_xll.ohObjectCreationTime(AE524)</f>
        <v>41709.402195844908</v>
      </c>
    </row>
    <row r="525" spans="30:32" x14ac:dyDescent="0.25">
      <c r="AD525" s="165" t="str">
        <v>EURFUT1MK5_Quote</v>
      </c>
      <c r="AE525" s="165" t="s">
        <v>1275</v>
      </c>
      <c r="AF525" s="165">
        <f>_xll.ohObjectCreationTime(AE525)</f>
        <v>41709.402195868053</v>
      </c>
    </row>
    <row r="526" spans="30:32" x14ac:dyDescent="0.25">
      <c r="AD526" s="165" t="str">
        <v>EURFUT1MK6_Quote</v>
      </c>
      <c r="AE526" s="165" t="s">
        <v>823</v>
      </c>
      <c r="AF526" s="165">
        <f>_xll.ohObjectCreationTime(AE526)</f>
        <v>41709.402195902781</v>
      </c>
    </row>
    <row r="527" spans="30:32" x14ac:dyDescent="0.25">
      <c r="AD527" s="165" t="str">
        <v>EURFUT1MK7_Quote</v>
      </c>
      <c r="AE527" s="165" t="s">
        <v>875</v>
      </c>
      <c r="AF527" s="165">
        <f>_xll.ohObjectCreationTime(AE527)</f>
        <v>41709.402195925926</v>
      </c>
    </row>
    <row r="528" spans="30:32" x14ac:dyDescent="0.25">
      <c r="AD528" s="165" t="str">
        <v>EURFUT1MK8_Quote</v>
      </c>
      <c r="AE528" s="165" t="s">
        <v>1340</v>
      </c>
      <c r="AF528" s="165">
        <f>_xll.ohObjectCreationTime(AE528)</f>
        <v>41709.402195960647</v>
      </c>
    </row>
    <row r="529" spans="30:32" x14ac:dyDescent="0.25">
      <c r="AD529" s="165" t="str">
        <v>EURFUT1MK9_Quote</v>
      </c>
      <c r="AE529" s="165" t="s">
        <v>1359</v>
      </c>
      <c r="AF529" s="165">
        <f>_xll.ohObjectCreationTime(AE529)</f>
        <v>41709.402195995368</v>
      </c>
    </row>
    <row r="530" spans="30:32" x14ac:dyDescent="0.25">
      <c r="AD530" s="165" t="str">
        <v>EURFUT1MM0_Quote</v>
      </c>
      <c r="AE530" s="165" t="s">
        <v>888</v>
      </c>
      <c r="AF530" s="165">
        <f>_xll.ohObjectCreationTime(AE530)</f>
        <v>41709.40219601852</v>
      </c>
    </row>
    <row r="531" spans="30:32" x14ac:dyDescent="0.25">
      <c r="AD531" s="165" t="str">
        <v>EURFUT1MM1_Quote</v>
      </c>
      <c r="AE531" s="165" t="s">
        <v>1339</v>
      </c>
      <c r="AF531" s="165">
        <f>_xll.ohObjectCreationTime(AE531)</f>
        <v>41709.402196053241</v>
      </c>
    </row>
    <row r="532" spans="30:32" x14ac:dyDescent="0.25">
      <c r="AD532" s="165" t="str">
        <v>EURFUT1MM2_Quote</v>
      </c>
      <c r="AE532" s="165" t="s">
        <v>1268</v>
      </c>
      <c r="AF532" s="165">
        <f>_xll.ohObjectCreationTime(AE532)</f>
        <v>41709.402196087962</v>
      </c>
    </row>
    <row r="533" spans="30:32" x14ac:dyDescent="0.25">
      <c r="AD533" s="165" t="str">
        <v>EURFUT1MM3_Quote</v>
      </c>
      <c r="AE533" s="165" t="s">
        <v>876</v>
      </c>
      <c r="AF533" s="165">
        <f>_xll.ohObjectCreationTime(AE533)</f>
        <v>41709.402196111114</v>
      </c>
    </row>
    <row r="534" spans="30:32" x14ac:dyDescent="0.25">
      <c r="AD534" s="165" t="str">
        <v>EURFUT1MM4_Quote</v>
      </c>
      <c r="AE534" s="165" t="s">
        <v>1348</v>
      </c>
      <c r="AF534" s="165">
        <f>_xll.ohObjectCreationTime(AE534)</f>
        <v>41709.402196145835</v>
      </c>
    </row>
    <row r="535" spans="30:32" x14ac:dyDescent="0.25">
      <c r="AD535" s="165" t="str">
        <v>EURFUT1MM5_Quote</v>
      </c>
      <c r="AE535" s="165" t="s">
        <v>800</v>
      </c>
      <c r="AF535" s="165">
        <f>_xll.ohObjectCreationTime(AE535)</f>
        <v>41709.402196180556</v>
      </c>
    </row>
    <row r="536" spans="30:32" x14ac:dyDescent="0.25">
      <c r="AD536" s="165" t="str">
        <v>EURFUT1MM6_Quote</v>
      </c>
      <c r="AE536" s="165" t="s">
        <v>865</v>
      </c>
      <c r="AF536" s="165">
        <f>_xll.ohObjectCreationTime(AE536)</f>
        <v>41709.4021962037</v>
      </c>
    </row>
    <row r="537" spans="30:32" x14ac:dyDescent="0.25">
      <c r="AD537" s="165" t="str">
        <v>EURFUT1MM7_Quote</v>
      </c>
      <c r="AE537" s="165" t="s">
        <v>1308</v>
      </c>
      <c r="AF537" s="165">
        <f>_xll.ohObjectCreationTime(AE537)</f>
        <v>41709.402196238429</v>
      </c>
    </row>
    <row r="538" spans="30:32" x14ac:dyDescent="0.25">
      <c r="AD538" s="165" t="str">
        <v>EURFUT1MM8_Quote</v>
      </c>
      <c r="AE538" s="165" t="s">
        <v>1278</v>
      </c>
      <c r="AF538" s="165">
        <f>_xll.ohObjectCreationTime(AE538)</f>
        <v>41709.402196273149</v>
      </c>
    </row>
    <row r="539" spans="30:32" x14ac:dyDescent="0.25">
      <c r="AD539" s="165" t="str">
        <v>EURFUT1MM9_Quote</v>
      </c>
      <c r="AE539" s="165" t="s">
        <v>868</v>
      </c>
      <c r="AF539" s="165">
        <f>_xll.ohObjectCreationTime(AE539)</f>
        <v>41709.402196296294</v>
      </c>
    </row>
    <row r="540" spans="30:32" x14ac:dyDescent="0.25">
      <c r="AD540" s="165" t="str">
        <v>EURFUT1MN0_Quote</v>
      </c>
      <c r="AE540" s="165" t="s">
        <v>873</v>
      </c>
      <c r="AF540" s="165">
        <f>_xll.ohObjectCreationTime(AE540)</f>
        <v>41709.402196331015</v>
      </c>
    </row>
    <row r="541" spans="30:32" x14ac:dyDescent="0.25">
      <c r="AD541" s="165" t="str">
        <v>EURFUT1MN1_Quote</v>
      </c>
      <c r="AE541" s="165" t="s">
        <v>898</v>
      </c>
      <c r="AF541" s="165">
        <f>_xll.ohObjectCreationTime(AE541)</f>
        <v>41709.402196354167</v>
      </c>
    </row>
    <row r="542" spans="30:32" x14ac:dyDescent="0.25">
      <c r="AD542" s="165" t="str">
        <v>EURFUT1MN2_Quote</v>
      </c>
      <c r="AE542" s="165" t="s">
        <v>1334</v>
      </c>
      <c r="AF542" s="165">
        <f>_xll.ohObjectCreationTime(AE542)</f>
        <v>41709.402196388888</v>
      </c>
    </row>
    <row r="543" spans="30:32" x14ac:dyDescent="0.25">
      <c r="AD543" s="165" t="str">
        <v>EURFUT1MN3_Quote</v>
      </c>
      <c r="AE543" s="165" t="s">
        <v>1241</v>
      </c>
      <c r="AF543" s="165">
        <f>_xll.ohObjectCreationTime(AE543)</f>
        <v>41709.402196423609</v>
      </c>
    </row>
    <row r="544" spans="30:32" x14ac:dyDescent="0.25">
      <c r="AD544" s="165" t="str">
        <v>EURFUT1MN4_Quote</v>
      </c>
      <c r="AE544" s="165" t="s">
        <v>904</v>
      </c>
      <c r="AF544" s="165">
        <f>_xll.ohObjectCreationTime(AE544)</f>
        <v>41709.402196446761</v>
      </c>
    </row>
    <row r="545" spans="30:32" x14ac:dyDescent="0.25">
      <c r="AD545" s="165" t="str">
        <v>EURFUT1MN5_Quote</v>
      </c>
      <c r="AE545" s="165" t="s">
        <v>1256</v>
      </c>
      <c r="AF545" s="165">
        <f>_xll.ohObjectCreationTime(AE545)</f>
        <v>41709.402196481482</v>
      </c>
    </row>
    <row r="546" spans="30:32" x14ac:dyDescent="0.25">
      <c r="AD546" s="165" t="str">
        <v>EURFUT1MN6_Quote</v>
      </c>
      <c r="AE546" s="165" t="s">
        <v>1338</v>
      </c>
      <c r="AF546" s="165">
        <f>_xll.ohObjectCreationTime(AE546)</f>
        <v>41709.402196516203</v>
      </c>
    </row>
    <row r="547" spans="30:32" x14ac:dyDescent="0.25">
      <c r="AD547" s="165" t="str">
        <v>EURFUT1MN7_Quote</v>
      </c>
      <c r="AE547" s="165" t="s">
        <v>856</v>
      </c>
      <c r="AF547" s="165">
        <f>_xll.ohObjectCreationTime(AE547)</f>
        <v>41709.402196539355</v>
      </c>
    </row>
    <row r="548" spans="30:32" x14ac:dyDescent="0.25">
      <c r="AD548" s="165" t="str">
        <v>EURFUT1MN8_Quote</v>
      </c>
      <c r="AE548" s="165" t="s">
        <v>1273</v>
      </c>
      <c r="AF548" s="165">
        <f>_xll.ohObjectCreationTime(AE548)</f>
        <v>41709.402196574076</v>
      </c>
    </row>
    <row r="549" spans="30:32" x14ac:dyDescent="0.25">
      <c r="AD549" s="165" t="str">
        <v>EURFUT1MN9_Quote</v>
      </c>
      <c r="AE549" s="165" t="s">
        <v>467</v>
      </c>
      <c r="AF549" s="165">
        <f>_xll.ohObjectCreationTime(AE549)</f>
        <v>41709.402198344906</v>
      </c>
    </row>
    <row r="550" spans="30:32" x14ac:dyDescent="0.25">
      <c r="AD550" s="165" t="str">
        <v>EURFUT1MQ0_Quote</v>
      </c>
      <c r="AE550" s="165" t="s">
        <v>383</v>
      </c>
      <c r="AF550" s="165">
        <f>_xll.ohObjectCreationTime(AE550)</f>
        <v>41709.402198379626</v>
      </c>
    </row>
    <row r="551" spans="30:32" x14ac:dyDescent="0.25">
      <c r="AD551" s="165" t="str">
        <v>EURFUT1MQ1_Quote</v>
      </c>
      <c r="AE551" s="165" t="s">
        <v>446</v>
      </c>
      <c r="AF551" s="165">
        <f>_xll.ohObjectCreationTime(AE551)</f>
        <v>41709.402198402779</v>
      </c>
    </row>
    <row r="552" spans="30:32" x14ac:dyDescent="0.25">
      <c r="AD552" s="165" t="str">
        <v>EURFUT1MQ2_Quote</v>
      </c>
      <c r="AE552" s="165" t="s">
        <v>542</v>
      </c>
      <c r="AF552" s="165">
        <f>_xll.ohObjectCreationTime(AE552)</f>
        <v>41709.402198449076</v>
      </c>
    </row>
    <row r="553" spans="30:32" x14ac:dyDescent="0.25">
      <c r="AD553" s="165" t="str">
        <v>EURFUT1MQ3_Quote</v>
      </c>
      <c r="AE553" s="165" t="s">
        <v>439</v>
      </c>
      <c r="AF553" s="165">
        <f>_xll.ohObjectCreationTime(AE553)</f>
        <v>41709.402198506941</v>
      </c>
    </row>
    <row r="554" spans="30:32" x14ac:dyDescent="0.25">
      <c r="AD554" s="165" t="str">
        <v>EURFUT1MQ4_Quote</v>
      </c>
      <c r="AE554" s="165" t="s">
        <v>692</v>
      </c>
      <c r="AF554" s="165">
        <f>_xll.ohObjectCreationTime(AE554)</f>
        <v>41709.402198541669</v>
      </c>
    </row>
    <row r="555" spans="30:32" x14ac:dyDescent="0.25">
      <c r="AD555" s="165" t="str">
        <v>EURFUT1MQ5_Quote</v>
      </c>
      <c r="AE555" s="165" t="s">
        <v>521</v>
      </c>
      <c r="AF555" s="165">
        <f>_xll.ohObjectCreationTime(AE555)</f>
        <v>41709.40219857639</v>
      </c>
    </row>
    <row r="556" spans="30:32" x14ac:dyDescent="0.25">
      <c r="AD556" s="165" t="str">
        <v>EURFUT1MQ6_Quote</v>
      </c>
      <c r="AE556" s="165" t="s">
        <v>362</v>
      </c>
      <c r="AF556" s="165">
        <f>_xll.ohObjectCreationTime(AE556)</f>
        <v>41709.402198622687</v>
      </c>
    </row>
    <row r="557" spans="30:32" x14ac:dyDescent="0.25">
      <c r="AD557" s="165" t="str">
        <v>EURFUT1MQ7_Quote</v>
      </c>
      <c r="AE557" s="165" t="s">
        <v>443</v>
      </c>
      <c r="AF557" s="165">
        <f>_xll.ohObjectCreationTime(AE557)</f>
        <v>41709.402198668984</v>
      </c>
    </row>
    <row r="558" spans="30:32" x14ac:dyDescent="0.25">
      <c r="AD558" s="165" t="str">
        <v>EURFUT1MQ8_Quote</v>
      </c>
      <c r="AE558" s="165" t="s">
        <v>514</v>
      </c>
      <c r="AF558" s="165">
        <f>_xll.ohObjectCreationTime(AE558)</f>
        <v>41709.402198703705</v>
      </c>
    </row>
    <row r="559" spans="30:32" x14ac:dyDescent="0.25">
      <c r="AD559" s="165" t="str">
        <v>EURFUT1MQ9_Quote</v>
      </c>
      <c r="AE559" s="165" t="s">
        <v>581</v>
      </c>
      <c r="AF559" s="165">
        <f>_xll.ohObjectCreationTime(AE559)</f>
        <v>41709.402198738426</v>
      </c>
    </row>
    <row r="560" spans="30:32" x14ac:dyDescent="0.25">
      <c r="AD560" s="165" t="str">
        <v>EURFUT1MU0_Quote</v>
      </c>
      <c r="AE560" s="165" t="s">
        <v>685</v>
      </c>
      <c r="AF560" s="165">
        <f>_xll.ohObjectCreationTime(AE560)</f>
        <v>41709.402198784723</v>
      </c>
    </row>
    <row r="561" spans="30:32" x14ac:dyDescent="0.25">
      <c r="AD561" s="165" t="str">
        <v>EURFUT1MU1_Quote</v>
      </c>
      <c r="AE561" s="165" t="s">
        <v>618</v>
      </c>
      <c r="AF561" s="165">
        <f>_xll.ohObjectCreationTime(AE561)</f>
        <v>41709.40219883102</v>
      </c>
    </row>
    <row r="562" spans="30:32" x14ac:dyDescent="0.25">
      <c r="AD562" s="165" t="str">
        <v>EURFUT1MU2_Quote</v>
      </c>
      <c r="AE562" s="165" t="s">
        <v>355</v>
      </c>
      <c r="AF562" s="165">
        <f>_xll.ohObjectCreationTime(AE562)</f>
        <v>41709.402198865741</v>
      </c>
    </row>
    <row r="563" spans="30:32" x14ac:dyDescent="0.25">
      <c r="AD563" s="165" t="str">
        <v>EURFUT1MU3_Quote</v>
      </c>
      <c r="AE563" s="165" t="s">
        <v>518</v>
      </c>
      <c r="AF563" s="165">
        <f>_xll.ohObjectCreationTime(AE563)</f>
        <v>41709.402198912037</v>
      </c>
    </row>
    <row r="564" spans="30:32" x14ac:dyDescent="0.25">
      <c r="AD564" s="165" t="str">
        <v>EURFUT1MU4_Quote</v>
      </c>
      <c r="AE564" s="165" t="s">
        <v>574</v>
      </c>
      <c r="AF564" s="165">
        <f>_xll.ohObjectCreationTime(AE564)</f>
        <v>41709.402198958334</v>
      </c>
    </row>
    <row r="565" spans="30:32" x14ac:dyDescent="0.25">
      <c r="AD565" s="165" t="str">
        <v>EURFUT1MU5_Quote</v>
      </c>
      <c r="AE565" s="165" t="s">
        <v>611</v>
      </c>
      <c r="AF565" s="165">
        <f>_xll.ohObjectCreationTime(AE565)</f>
        <v>41709.402198993055</v>
      </c>
    </row>
    <row r="566" spans="30:32" x14ac:dyDescent="0.25">
      <c r="AD566" s="165" t="str">
        <v>EURFUT1MU6_Quote</v>
      </c>
      <c r="AE566" s="165" t="s">
        <v>448</v>
      </c>
      <c r="AF566" s="165">
        <f>_xll.ohObjectCreationTime(AE566)</f>
        <v>41709.402199027776</v>
      </c>
    </row>
    <row r="567" spans="30:32" x14ac:dyDescent="0.25">
      <c r="AD567" s="165" t="str">
        <v>EURFUT1MU7_Quote</v>
      </c>
      <c r="AE567" s="165" t="s">
        <v>359</v>
      </c>
      <c r="AF567" s="165">
        <f>_xll.ohObjectCreationTime(AE567)</f>
        <v>41709.402199062497</v>
      </c>
    </row>
    <row r="568" spans="30:32" x14ac:dyDescent="0.25">
      <c r="AD568" s="165" t="str">
        <v>EURFUT1MU8_Quote</v>
      </c>
      <c r="AE568" s="165" t="s">
        <v>689</v>
      </c>
      <c r="AF568" s="165">
        <f>_xll.ohObjectCreationTime(AE568)</f>
        <v>41709.402199097225</v>
      </c>
    </row>
    <row r="569" spans="30:32" x14ac:dyDescent="0.25">
      <c r="AD569" s="165" t="str">
        <v>EURFUT1MU9_Quote</v>
      </c>
      <c r="AE569" s="165" t="s">
        <v>364</v>
      </c>
      <c r="AF569" s="165">
        <f>_xll.ohObjectCreationTime(AE569)</f>
        <v>41709.402199143522</v>
      </c>
    </row>
    <row r="570" spans="30:32" x14ac:dyDescent="0.25">
      <c r="AD570" s="165" t="str">
        <v>EURFUT1MV0_Quote</v>
      </c>
      <c r="AE570" s="165" t="s">
        <v>578</v>
      </c>
      <c r="AF570" s="165">
        <f>_xll.ohObjectCreationTime(AE570)</f>
        <v>41709.402199201388</v>
      </c>
    </row>
    <row r="571" spans="30:32" x14ac:dyDescent="0.25">
      <c r="AD571" s="165" t="str">
        <v>EURFUT1MV1_Quote</v>
      </c>
      <c r="AE571" s="165" t="s">
        <v>615</v>
      </c>
      <c r="AF571" s="165">
        <f>_xll.ohObjectCreationTime(AE571)</f>
        <v>41709.402199236109</v>
      </c>
    </row>
    <row r="572" spans="30:32" x14ac:dyDescent="0.25">
      <c r="AD572" s="165" t="str">
        <v>EURFUT1MV2_Quote</v>
      </c>
      <c r="AE572" s="165" t="s">
        <v>458</v>
      </c>
      <c r="AF572" s="165">
        <f>_xll.ohObjectCreationTime(AE572)</f>
        <v>41709.402199270837</v>
      </c>
    </row>
    <row r="573" spans="30:32" x14ac:dyDescent="0.25">
      <c r="AD573" s="165" t="str">
        <v>EURFUT1MV3_Quote</v>
      </c>
      <c r="AE573" s="165" t="s">
        <v>694</v>
      </c>
      <c r="AF573" s="165">
        <f>_xll.ohObjectCreationTime(AE573)</f>
        <v>41709.402199305558</v>
      </c>
    </row>
    <row r="574" spans="30:32" x14ac:dyDescent="0.25">
      <c r="AD574" s="165" t="str">
        <v>EURFUT1MV4_Quote</v>
      </c>
      <c r="AE574" s="165" t="s">
        <v>523</v>
      </c>
      <c r="AF574" s="165">
        <f>_xll.ohObjectCreationTime(AE574)</f>
        <v>41709.402199340278</v>
      </c>
    </row>
    <row r="575" spans="30:32" x14ac:dyDescent="0.25">
      <c r="AD575" s="165" t="str">
        <v>EURFUT1MV5_Quote</v>
      </c>
      <c r="AE575" s="165" t="s">
        <v>704</v>
      </c>
      <c r="AF575" s="165">
        <f>_xll.ohObjectCreationTime(AE575)</f>
        <v>41709.402199386575</v>
      </c>
    </row>
    <row r="576" spans="30:32" x14ac:dyDescent="0.25">
      <c r="AD576" s="165" t="str">
        <v>EURFUT1MV6_Quote</v>
      </c>
      <c r="AE576" s="165" t="s">
        <v>461</v>
      </c>
      <c r="AF576" s="165">
        <f>_xll.ohObjectCreationTime(AE576)</f>
        <v>41709.402199421296</v>
      </c>
    </row>
    <row r="577" spans="30:32" x14ac:dyDescent="0.25">
      <c r="AD577" s="165" t="str">
        <v>EURFUT1MV7_Quote</v>
      </c>
      <c r="AE577" s="165" t="s">
        <v>583</v>
      </c>
      <c r="AF577" s="165">
        <f>_xll.ohObjectCreationTime(AE577)</f>
        <v>41709.402199467593</v>
      </c>
    </row>
    <row r="578" spans="30:32" x14ac:dyDescent="0.25">
      <c r="AD578" s="165" t="str">
        <v>EURFUT1MV8_Quote</v>
      </c>
      <c r="AE578" s="165" t="s">
        <v>533</v>
      </c>
      <c r="AF578" s="165">
        <f>_xll.ohObjectCreationTime(AE578)</f>
        <v>41709.402199502314</v>
      </c>
    </row>
    <row r="579" spans="30:32" x14ac:dyDescent="0.25">
      <c r="AD579" s="165" t="str">
        <v>EURFUT1MV9_Quote</v>
      </c>
      <c r="AE579" s="165" t="s">
        <v>374</v>
      </c>
      <c r="AF579" s="165">
        <f>_xll.ohObjectCreationTime(AE579)</f>
        <v>41709.402199537035</v>
      </c>
    </row>
    <row r="580" spans="30:32" x14ac:dyDescent="0.25">
      <c r="AD580" s="165" t="str">
        <v>EURFUT1MX0_Quote</v>
      </c>
      <c r="AE580" s="165" t="s">
        <v>620</v>
      </c>
      <c r="AF580" s="165">
        <f>_xll.ohObjectCreationTime(AE580)</f>
        <v>41709.402199560187</v>
      </c>
    </row>
    <row r="581" spans="30:32" x14ac:dyDescent="0.25">
      <c r="AD581" s="165" t="str">
        <v>EURFUT1MX1_Quote</v>
      </c>
      <c r="AE581" s="165" t="s">
        <v>536</v>
      </c>
      <c r="AF581" s="165">
        <f>_xll.ohObjectCreationTime(AE581)</f>
        <v>41709.402199618053</v>
      </c>
    </row>
    <row r="582" spans="30:32" x14ac:dyDescent="0.25">
      <c r="AD582" s="165" t="str">
        <v>EURFUT1MX2_Quote</v>
      </c>
      <c r="AE582" s="165" t="s">
        <v>377</v>
      </c>
      <c r="AF582" s="165">
        <f>_xll.ohObjectCreationTime(AE582)</f>
        <v>41709.402199652781</v>
      </c>
    </row>
    <row r="583" spans="30:32" x14ac:dyDescent="0.25">
      <c r="AD583" s="165" t="str">
        <v>EURFUT1MX3_Quote</v>
      </c>
      <c r="AE583" s="165" t="s">
        <v>593</v>
      </c>
      <c r="AF583" s="165">
        <f>_xll.ohObjectCreationTime(AE583)</f>
        <v>41709.402199687502</v>
      </c>
    </row>
    <row r="584" spans="30:32" x14ac:dyDescent="0.25">
      <c r="AD584" s="165" t="str">
        <v>EURFUT1MX4_Quote</v>
      </c>
      <c r="AE584" s="165" t="s">
        <v>707</v>
      </c>
      <c r="AF584" s="165">
        <f>_xll.ohObjectCreationTime(AE584)</f>
        <v>41709.402199722223</v>
      </c>
    </row>
    <row r="585" spans="30:32" x14ac:dyDescent="0.25">
      <c r="AD585" s="165" t="str">
        <v>EURFUT1MX5_Quote</v>
      </c>
      <c r="AE585" s="165" t="s">
        <v>463</v>
      </c>
      <c r="AF585" s="165">
        <f>_xll.ohObjectCreationTime(AE585)</f>
        <v>41709.402199768519</v>
      </c>
    </row>
    <row r="586" spans="30:32" x14ac:dyDescent="0.25">
      <c r="AD586" s="165" t="str">
        <v>EURFUT1MX6_Quote</v>
      </c>
      <c r="AE586" s="165" t="s">
        <v>630</v>
      </c>
      <c r="AF586" s="165">
        <f>_xll.ohObjectCreationTime(AE586)</f>
        <v>41709.40219980324</v>
      </c>
    </row>
    <row r="587" spans="30:32" x14ac:dyDescent="0.25">
      <c r="AD587" s="165" t="str">
        <v>EURFUT1MX7_Quote</v>
      </c>
      <c r="AE587" s="165" t="s">
        <v>379</v>
      </c>
      <c r="AF587" s="165">
        <f>_xll.ohObjectCreationTime(AE587)</f>
        <v>41709.402199861113</v>
      </c>
    </row>
    <row r="588" spans="30:32" x14ac:dyDescent="0.25">
      <c r="AD588" s="165" t="str">
        <v>EURFUT1MX8_Quote</v>
      </c>
      <c r="AE588" s="165" t="s">
        <v>709</v>
      </c>
      <c r="AF588" s="165">
        <f>_xll.ohObjectCreationTime(AE588)</f>
        <v>41709.402199895834</v>
      </c>
    </row>
    <row r="589" spans="30:32" x14ac:dyDescent="0.25">
      <c r="AD589" s="165" t="str">
        <v>EURFUT1MX9_Quote</v>
      </c>
      <c r="AE589" s="165" t="s">
        <v>633</v>
      </c>
      <c r="AF589" s="165">
        <f>_xll.ohObjectCreationTime(AE589)</f>
        <v>41709.402199930555</v>
      </c>
    </row>
    <row r="590" spans="30:32" x14ac:dyDescent="0.25">
      <c r="AD590" s="165" t="str">
        <v>EURFUT1MZ0_Quote</v>
      </c>
      <c r="AE590" s="165" t="s">
        <v>465</v>
      </c>
      <c r="AF590" s="165">
        <f>_xll.ohObjectCreationTime(AE590)</f>
        <v>41709.402199965276</v>
      </c>
    </row>
    <row r="591" spans="30:32" x14ac:dyDescent="0.25">
      <c r="AD591" s="165" t="str">
        <v>EURFUT1MZ1_Quote</v>
      </c>
      <c r="AE591" s="165" t="s">
        <v>538</v>
      </c>
      <c r="AF591" s="165">
        <f>_xll.ohObjectCreationTime(AE591)</f>
        <v>41709.402199999997</v>
      </c>
    </row>
    <row r="592" spans="30:32" x14ac:dyDescent="0.25">
      <c r="AD592" s="165" t="str">
        <v>EURFUT1MZ2_Quote</v>
      </c>
      <c r="AE592" s="165" t="s">
        <v>596</v>
      </c>
      <c r="AF592" s="165">
        <f>_xll.ohObjectCreationTime(AE592)</f>
        <v>41709.402200046294</v>
      </c>
    </row>
    <row r="593" spans="30:32" x14ac:dyDescent="0.25">
      <c r="AD593" s="165" t="str">
        <v>EURFUT1MZ3_Quote</v>
      </c>
      <c r="AE593" s="165" t="s">
        <v>598</v>
      </c>
      <c r="AF593" s="165">
        <f>_xll.ohObjectCreationTime(AE593)</f>
        <v>41709.402200115743</v>
      </c>
    </row>
    <row r="594" spans="30:32" x14ac:dyDescent="0.25">
      <c r="AD594" s="165" t="str">
        <v>EURFUT1MZ4_Quote</v>
      </c>
      <c r="AE594" s="165" t="s">
        <v>381</v>
      </c>
      <c r="AF594" s="165">
        <f>_xll.ohObjectCreationTime(AE594)</f>
        <v>41709.402200150464</v>
      </c>
    </row>
    <row r="595" spans="30:32" x14ac:dyDescent="0.25">
      <c r="AD595" s="165" t="str">
        <v>EURFUT1MZ5_Quote</v>
      </c>
      <c r="AE595" s="165" t="s">
        <v>468</v>
      </c>
      <c r="AF595" s="165">
        <f>_xll.ohObjectCreationTime(AE595)</f>
        <v>41709.402200173608</v>
      </c>
    </row>
    <row r="596" spans="30:32" x14ac:dyDescent="0.25">
      <c r="AD596" s="165" t="str">
        <v>EURFUT1MZ6_Quote</v>
      </c>
      <c r="AE596" s="165" t="s">
        <v>635</v>
      </c>
      <c r="AF596" s="165">
        <f>_xll.ohObjectCreationTime(AE596)</f>
        <v>41709.402200208337</v>
      </c>
    </row>
    <row r="597" spans="30:32" x14ac:dyDescent="0.25">
      <c r="AD597" s="165" t="str">
        <v>EURFUT1MZ7_Quote</v>
      </c>
      <c r="AE597" s="165" t="s">
        <v>711</v>
      </c>
      <c r="AF597" s="165">
        <f>_xll.ohObjectCreationTime(AE597)</f>
        <v>41709.402200254626</v>
      </c>
    </row>
    <row r="598" spans="30:32" x14ac:dyDescent="0.25">
      <c r="AD598" s="165" t="str">
        <v>EURFUT1MZ8_Quote</v>
      </c>
      <c r="AE598" s="165" t="s">
        <v>540</v>
      </c>
      <c r="AF598" s="165">
        <f>_xll.ohObjectCreationTime(AE598)</f>
        <v>41709.402200289354</v>
      </c>
    </row>
    <row r="599" spans="30:32" x14ac:dyDescent="0.25">
      <c r="AD599" s="165" t="str">
        <v>EURFUT1MZ9_Quote</v>
      </c>
      <c r="AE599" s="165" t="s">
        <v>543</v>
      </c>
      <c r="AF599" s="165">
        <f>_xll.ohObjectCreationTime(AE599)</f>
        <v>41709.402200324075</v>
      </c>
    </row>
    <row r="600" spans="30:32" x14ac:dyDescent="0.25">
      <c r="AD600" s="165" t="str">
        <v>EURFUT3MF5ConvAdj_Quote</v>
      </c>
      <c r="AE600" s="165" t="s">
        <v>384</v>
      </c>
      <c r="AF600" s="165">
        <f>_xll.ohObjectCreationTime(AE600)</f>
        <v>41709.402200358796</v>
      </c>
    </row>
    <row r="601" spans="30:32" x14ac:dyDescent="0.25">
      <c r="AD601" s="165" t="str">
        <v>EURFUT3MF5_Quote</v>
      </c>
      <c r="AE601" s="165" t="s">
        <v>637</v>
      </c>
      <c r="AF601" s="165">
        <f>_xll.ohObjectCreationTime(AE601)</f>
        <v>41709.402200393517</v>
      </c>
    </row>
    <row r="602" spans="30:32" x14ac:dyDescent="0.25">
      <c r="AD602" s="165" t="str">
        <v>EURFUT3MG5ConvAdj_Quote</v>
      </c>
      <c r="AE602" s="165" t="s">
        <v>469</v>
      </c>
      <c r="AF602" s="165">
        <f>_xll.ohObjectCreationTime(AE602)</f>
        <v>41709.402200428238</v>
      </c>
    </row>
    <row r="603" spans="30:32" x14ac:dyDescent="0.25">
      <c r="AD603" s="165" t="str">
        <v>EURFUT3MG5_Quote</v>
      </c>
      <c r="AE603" s="165" t="s">
        <v>713</v>
      </c>
      <c r="AF603" s="165">
        <f>_xll.ohObjectCreationTime(AE603)</f>
        <v>41709.402200462966</v>
      </c>
    </row>
    <row r="604" spans="30:32" x14ac:dyDescent="0.25">
      <c r="AD604" s="165" t="str">
        <v>EURFUT3MH0ConvAdj_Quote</v>
      </c>
      <c r="AE604" s="165" t="s">
        <v>600</v>
      </c>
      <c r="AF604" s="165">
        <f>_xll.ohObjectCreationTime(AE604)</f>
        <v>41709.402200520832</v>
      </c>
    </row>
    <row r="605" spans="30:32" x14ac:dyDescent="0.25">
      <c r="AD605" s="165" t="str">
        <v>EURFUT3MH0_Quote</v>
      </c>
      <c r="AE605" s="165" t="s">
        <v>639</v>
      </c>
      <c r="AF605" s="165">
        <f>_xll.ohObjectCreationTime(AE605)</f>
        <v>41709.402200567129</v>
      </c>
    </row>
    <row r="606" spans="30:32" x14ac:dyDescent="0.25">
      <c r="AD606" s="165" t="str">
        <v>EURFUT3MH1ConvAdj_Quote</v>
      </c>
      <c r="AE606" s="165" t="s">
        <v>714</v>
      </c>
      <c r="AF606" s="165">
        <f>_xll.ohObjectCreationTime(AE606)</f>
        <v>41709.402200613426</v>
      </c>
    </row>
    <row r="607" spans="30:32" x14ac:dyDescent="0.25">
      <c r="AD607" s="165" t="str">
        <v>EURFUT3MH1_Quote</v>
      </c>
      <c r="AE607" s="165" t="s">
        <v>385</v>
      </c>
      <c r="AF607" s="165">
        <f>_xll.ohObjectCreationTime(AE607)</f>
        <v>41709.402200671298</v>
      </c>
    </row>
    <row r="608" spans="30:32" x14ac:dyDescent="0.25">
      <c r="AD608" s="165" t="str">
        <v>EURFUT3MH2ConvAdj_Quote</v>
      </c>
      <c r="AE608" s="165" t="s">
        <v>544</v>
      </c>
      <c r="AF608" s="165">
        <f>_xll.ohObjectCreationTime(AE608)</f>
        <v>41709.402200706019</v>
      </c>
    </row>
    <row r="609" spans="30:32" x14ac:dyDescent="0.25">
      <c r="AD609" s="165" t="str">
        <v>EURFUT3MH2_Quote</v>
      </c>
      <c r="AE609" s="165" t="s">
        <v>602</v>
      </c>
      <c r="AF609" s="165">
        <f>_xll.ohObjectCreationTime(AE609)</f>
        <v>41709.40220074074</v>
      </c>
    </row>
    <row r="610" spans="30:32" x14ac:dyDescent="0.25">
      <c r="AD610" s="165" t="str">
        <v>EURFUT3MH4ConvAdj_Quote</v>
      </c>
      <c r="AE610" s="165" t="s">
        <v>470</v>
      </c>
      <c r="AF610" s="165">
        <f>_xll.ohObjectCreationTime(AE610)</f>
        <v>41709.402200775461</v>
      </c>
    </row>
    <row r="611" spans="30:32" x14ac:dyDescent="0.25">
      <c r="AD611" s="165" t="str">
        <v>EURFUT3MH4_Quote</v>
      </c>
      <c r="AE611" s="165" t="s">
        <v>471</v>
      </c>
      <c r="AF611" s="165">
        <f>_xll.ohObjectCreationTime(AE611)</f>
        <v>41709.402200821758</v>
      </c>
    </row>
    <row r="612" spans="30:32" x14ac:dyDescent="0.25">
      <c r="AD612" s="165" t="str">
        <v>EURFUT3MH5ConvAdj_Quote</v>
      </c>
      <c r="AE612" s="165" t="s">
        <v>640</v>
      </c>
      <c r="AF612" s="165">
        <f>_xll.ohObjectCreationTime(AE612)</f>
        <v>41709.402200856479</v>
      </c>
    </row>
    <row r="613" spans="30:32" x14ac:dyDescent="0.25">
      <c r="AD613" s="165" t="str">
        <v>EURFUT3MH5_Quote</v>
      </c>
      <c r="AE613" s="165" t="s">
        <v>603</v>
      </c>
      <c r="AF613" s="165">
        <f>_xll.ohObjectCreationTime(AE613)</f>
        <v>41709.402200902776</v>
      </c>
    </row>
    <row r="614" spans="30:32" x14ac:dyDescent="0.25">
      <c r="AD614" s="165" t="str">
        <v>EURFUT3MH6ConvAdj_Quote</v>
      </c>
      <c r="AE614" s="165" t="s">
        <v>386</v>
      </c>
      <c r="AF614" s="165">
        <f>_xll.ohObjectCreationTime(AE614)</f>
        <v>41709.402200937497</v>
      </c>
    </row>
    <row r="615" spans="30:32" x14ac:dyDescent="0.25">
      <c r="AD615" s="165" t="str">
        <v>EURFUT3MH6_Quote</v>
      </c>
      <c r="AE615" s="165" t="s">
        <v>715</v>
      </c>
      <c r="AF615" s="165">
        <f>_xll.ohObjectCreationTime(AE615)</f>
        <v>41709.402200972225</v>
      </c>
    </row>
    <row r="616" spans="30:32" x14ac:dyDescent="0.25">
      <c r="AD616" s="165" t="str">
        <v>EURFUT3MH7ConvAdj_Quote</v>
      </c>
      <c r="AE616" s="165" t="s">
        <v>545</v>
      </c>
      <c r="AF616" s="165">
        <f>_xll.ohObjectCreationTime(AE616)</f>
        <v>41709.402201006946</v>
      </c>
    </row>
    <row r="617" spans="30:32" x14ac:dyDescent="0.25">
      <c r="AD617" s="165" t="str">
        <v>EURFUT3MH7_Quote</v>
      </c>
      <c r="AE617" s="165" t="s">
        <v>434</v>
      </c>
      <c r="AF617" s="165">
        <f>_xll.ohObjectCreationTime(AE617)</f>
        <v>41709.402201238423</v>
      </c>
    </row>
    <row r="618" spans="30:32" x14ac:dyDescent="0.25">
      <c r="AD618" s="165" t="str">
        <v>EURFUT3MH8ConvAdj_Quote</v>
      </c>
      <c r="AE618" s="165" t="s">
        <v>546</v>
      </c>
      <c r="AF618" s="165">
        <f>_xll.ohObjectCreationTime(AE618)</f>
        <v>41709.402201273151</v>
      </c>
    </row>
    <row r="619" spans="30:32" x14ac:dyDescent="0.25">
      <c r="AD619" s="165" t="str">
        <v>EURFUT3MH8_Quote</v>
      </c>
      <c r="AE619" s="165" t="s">
        <v>716</v>
      </c>
      <c r="AF619" s="165">
        <f>_xll.ohObjectCreationTime(AE619)</f>
        <v>41709.402201319448</v>
      </c>
    </row>
    <row r="620" spans="30:32" x14ac:dyDescent="0.25">
      <c r="AD620" s="165" t="str">
        <v>EURFUT3MH9ConvAdj_Quote</v>
      </c>
      <c r="AE620" s="165" t="s">
        <v>604</v>
      </c>
      <c r="AF620" s="165">
        <f>_xll.ohObjectCreationTime(AE620)</f>
        <v>41709.402201354169</v>
      </c>
    </row>
    <row r="621" spans="30:32" x14ac:dyDescent="0.25">
      <c r="AD621" s="165" t="str">
        <v>EURFUT3MH9_Quote</v>
      </c>
      <c r="AE621" s="165" t="s">
        <v>387</v>
      </c>
      <c r="AF621" s="165">
        <f>_xll.ohObjectCreationTime(AE621)</f>
        <v>41709.40220138889</v>
      </c>
    </row>
    <row r="622" spans="30:32" x14ac:dyDescent="0.25">
      <c r="AD622" s="165" t="str">
        <v>EURFUT3MJ4ConvAdj_Quote</v>
      </c>
      <c r="AE622" s="165" t="s">
        <v>641</v>
      </c>
      <c r="AF622" s="165">
        <f>_xll.ohObjectCreationTime(AE622)</f>
        <v>41709.402201435187</v>
      </c>
    </row>
    <row r="623" spans="30:32" x14ac:dyDescent="0.25">
      <c r="AD623" s="165" t="str">
        <v>EURFUT3MJ4_Quote</v>
      </c>
      <c r="AE623" s="165" t="s">
        <v>435</v>
      </c>
      <c r="AF623" s="165">
        <f>_xll.ohObjectCreationTime(AE623)</f>
        <v>41709.402201469908</v>
      </c>
    </row>
    <row r="624" spans="30:32" x14ac:dyDescent="0.25">
      <c r="AD624" s="165" t="str">
        <v>EURFUT3MK4ConvAdj_Quote</v>
      </c>
      <c r="AE624" s="165" t="s">
        <v>680</v>
      </c>
      <c r="AF624" s="165">
        <f>_xll.ohObjectCreationTime(AE624)</f>
        <v>41709.402201516205</v>
      </c>
    </row>
    <row r="625" spans="30:32" x14ac:dyDescent="0.25">
      <c r="AD625" s="165" t="str">
        <v>EURFUT3MK4_Quote</v>
      </c>
      <c r="AE625" s="165" t="s">
        <v>605</v>
      </c>
      <c r="AF625" s="165">
        <f>_xll.ohObjectCreationTime(AE625)</f>
        <v>41709.402201550925</v>
      </c>
    </row>
    <row r="626" spans="30:32" x14ac:dyDescent="0.25">
      <c r="AD626" s="165" t="str">
        <v>EURFUT3MM0ConvAdj_Quote</v>
      </c>
      <c r="AE626" s="165" t="s">
        <v>509</v>
      </c>
      <c r="AF626" s="165">
        <f>_xll.ohObjectCreationTime(AE626)</f>
        <v>41709.402201585646</v>
      </c>
    </row>
    <row r="627" spans="30:32" x14ac:dyDescent="0.25">
      <c r="AD627" s="165" t="str">
        <v>EURFUT3MM0_Quote</v>
      </c>
      <c r="AE627" s="165" t="s">
        <v>642</v>
      </c>
      <c r="AF627" s="165">
        <f>_xll.ohObjectCreationTime(AE627)</f>
        <v>41709.402201620367</v>
      </c>
    </row>
    <row r="628" spans="30:32" x14ac:dyDescent="0.25">
      <c r="AD628" s="165" t="str">
        <v>EURFUT3MM1ConvAdj_Quote</v>
      </c>
      <c r="AE628" s="165" t="s">
        <v>350</v>
      </c>
      <c r="AF628" s="165">
        <f>_xll.ohObjectCreationTime(AE628)</f>
        <v>41709.402201655095</v>
      </c>
    </row>
    <row r="629" spans="30:32" x14ac:dyDescent="0.25">
      <c r="AD629" s="165" t="str">
        <v>EURFUT3MM1_Quote</v>
      </c>
      <c r="AE629" s="165" t="s">
        <v>569</v>
      </c>
      <c r="AF629" s="165">
        <f>_xll.ohObjectCreationTime(AE629)</f>
        <v>41709.402201701392</v>
      </c>
    </row>
    <row r="630" spans="30:32" x14ac:dyDescent="0.25">
      <c r="AD630" s="165" t="str">
        <v>EURFUT3MM2ConvAdj_Quote</v>
      </c>
      <c r="AE630" s="165" t="s">
        <v>606</v>
      </c>
      <c r="AF630" s="165">
        <f>_xll.ohObjectCreationTime(AE630)</f>
        <v>41709.402201747682</v>
      </c>
    </row>
    <row r="631" spans="30:32" x14ac:dyDescent="0.25">
      <c r="AD631" s="165" t="str">
        <v>EURFUT3MM2_Quote</v>
      </c>
      <c r="AE631" s="165" t="s">
        <v>351</v>
      </c>
      <c r="AF631" s="165">
        <f>_xll.ohObjectCreationTime(AE631)</f>
        <v>41709.40220178241</v>
      </c>
    </row>
    <row r="632" spans="30:32" x14ac:dyDescent="0.25">
      <c r="AD632" s="165" t="str">
        <v>EURFUT3MM4ConvAdj_Quote</v>
      </c>
      <c r="AE632" s="165" t="s">
        <v>510</v>
      </c>
      <c r="AF632" s="165">
        <f>_xll.ohObjectCreationTime(AE632)</f>
        <v>41709.402201817131</v>
      </c>
    </row>
    <row r="633" spans="30:32" x14ac:dyDescent="0.25">
      <c r="AD633" s="165" t="str">
        <v>EURFUT3MM4_Quote</v>
      </c>
      <c r="AE633" s="165" t="s">
        <v>436</v>
      </c>
      <c r="AF633" s="165">
        <f>_xll.ohObjectCreationTime(AE633)</f>
        <v>41709.402201851852</v>
      </c>
    </row>
    <row r="634" spans="30:32" x14ac:dyDescent="0.25">
      <c r="AD634" s="165" t="str">
        <v>EURFUT3MM5ConvAdj_Quote</v>
      </c>
      <c r="AE634" s="165" t="s">
        <v>681</v>
      </c>
      <c r="AF634" s="165">
        <f>_xll.ohObjectCreationTime(AE634)</f>
        <v>41709.402201886573</v>
      </c>
    </row>
    <row r="635" spans="30:32" x14ac:dyDescent="0.25">
      <c r="AD635" s="165" t="str">
        <v>EURFUT3MM5_Quote</v>
      </c>
      <c r="AE635" s="165" t="s">
        <v>437</v>
      </c>
      <c r="AF635" s="165">
        <f>_xll.ohObjectCreationTime(AE635)</f>
        <v>41709.402201921293</v>
      </c>
    </row>
    <row r="636" spans="30:32" x14ac:dyDescent="0.25">
      <c r="AD636" s="165" t="str">
        <v>EURFUT3MM6ConvAdj_Quote</v>
      </c>
      <c r="AE636" s="165" t="s">
        <v>607</v>
      </c>
      <c r="AF636" s="165">
        <f>_xll.ohObjectCreationTime(AE636)</f>
        <v>41709.40220196759</v>
      </c>
    </row>
    <row r="637" spans="30:32" x14ac:dyDescent="0.25">
      <c r="AD637" s="165" t="str">
        <v>EURFUT3MM6_Quote</v>
      </c>
      <c r="AE637" s="165" t="s">
        <v>352</v>
      </c>
      <c r="AF637" s="165">
        <f>_xll.ohObjectCreationTime(AE637)</f>
        <v>41709.402202002311</v>
      </c>
    </row>
    <row r="638" spans="30:32" x14ac:dyDescent="0.25">
      <c r="AD638" s="165" t="str">
        <v>EURFUT3MM7ConvAdj_Quote</v>
      </c>
      <c r="AE638" s="165" t="s">
        <v>570</v>
      </c>
      <c r="AF638" s="165">
        <f>_xll.ohObjectCreationTime(AE638)</f>
        <v>41709.402202037039</v>
      </c>
    </row>
    <row r="639" spans="30:32" x14ac:dyDescent="0.25">
      <c r="AD639" s="165" t="str">
        <v>EURFUT3MM7_Quote</v>
      </c>
      <c r="AE639" s="165" t="s">
        <v>682</v>
      </c>
      <c r="AF639" s="165">
        <f>_xll.ohObjectCreationTime(AE639)</f>
        <v>41709.402202083336</v>
      </c>
    </row>
    <row r="640" spans="30:32" x14ac:dyDescent="0.25">
      <c r="AD640" s="165" t="str">
        <v>EURFUT3MM8ConvAdj_Quote</v>
      </c>
      <c r="AE640" s="165" t="s">
        <v>511</v>
      </c>
      <c r="AF640" s="165">
        <f>_xll.ohObjectCreationTime(AE640)</f>
        <v>41709.402202118057</v>
      </c>
    </row>
    <row r="641" spans="30:32" x14ac:dyDescent="0.25">
      <c r="AD641" s="165" t="str">
        <v>EURFUT3MM8_Quote</v>
      </c>
      <c r="AE641" s="165" t="s">
        <v>571</v>
      </c>
      <c r="AF641" s="165">
        <f>_xll.ohObjectCreationTime(AE641)</f>
        <v>41709.402202152778</v>
      </c>
    </row>
    <row r="642" spans="30:32" x14ac:dyDescent="0.25">
      <c r="AD642" s="165" t="str">
        <v>EURFUT3MM9ConvAdj_Quote</v>
      </c>
      <c r="AE642" s="165" t="s">
        <v>512</v>
      </c>
      <c r="AF642" s="165">
        <f>_xll.ohObjectCreationTime(AE642)</f>
        <v>41709.402202199075</v>
      </c>
    </row>
    <row r="643" spans="30:32" x14ac:dyDescent="0.25">
      <c r="AD643" s="165" t="str">
        <v>EURFUT3MM9_Quote</v>
      </c>
      <c r="AE643" s="165" t="s">
        <v>438</v>
      </c>
      <c r="AF643" s="165">
        <f>_xll.ohObjectCreationTime(AE643)</f>
        <v>41709.402202233796</v>
      </c>
    </row>
    <row r="644" spans="30:32" x14ac:dyDescent="0.25">
      <c r="AD644" s="165" t="str">
        <v>EURFUT3MN4ConvAdj_Quote</v>
      </c>
      <c r="AE644" s="165" t="s">
        <v>353</v>
      </c>
      <c r="AF644" s="165">
        <f>_xll.ohObjectCreationTime(AE644)</f>
        <v>41709.402202268517</v>
      </c>
    </row>
    <row r="645" spans="30:32" x14ac:dyDescent="0.25">
      <c r="AD645" s="165" t="str">
        <v>EURFUT3MN4_Quote</v>
      </c>
      <c r="AE645" s="165" t="s">
        <v>683</v>
      </c>
      <c r="AF645" s="165">
        <f>_xll.ohObjectCreationTime(AE645)</f>
        <v>41709.402202303238</v>
      </c>
    </row>
    <row r="646" spans="30:32" x14ac:dyDescent="0.25">
      <c r="AD646" s="165" t="str">
        <v>EURFUT3MQ4ConvAdj_Quote</v>
      </c>
      <c r="AE646" s="165" t="s">
        <v>608</v>
      </c>
      <c r="AF646" s="165">
        <f>_xll.ohObjectCreationTime(AE646)</f>
        <v>41709.402202349534</v>
      </c>
    </row>
    <row r="647" spans="30:32" x14ac:dyDescent="0.25">
      <c r="AD647" s="165" t="str">
        <v>EURFUT3MQ4_Quote</v>
      </c>
      <c r="AE647" s="165" t="s">
        <v>572</v>
      </c>
      <c r="AF647" s="165">
        <f>_xll.ohObjectCreationTime(AE647)</f>
        <v>41709.402202384263</v>
      </c>
    </row>
    <row r="648" spans="30:32" x14ac:dyDescent="0.25">
      <c r="AD648" s="165" t="str">
        <v>EURFUT3MU0ConvAdj_Quote</v>
      </c>
      <c r="AE648" s="165" t="s">
        <v>609</v>
      </c>
      <c r="AF648" s="165">
        <f>_xll.ohObjectCreationTime(AE648)</f>
        <v>41709.402202430552</v>
      </c>
    </row>
    <row r="649" spans="30:32" x14ac:dyDescent="0.25">
      <c r="AD649" s="165" t="str">
        <v>EURFUT3MU0_Quote</v>
      </c>
      <c r="AE649" s="165" t="s">
        <v>513</v>
      </c>
      <c r="AF649" s="165">
        <f>_xll.ohObjectCreationTime(AE649)</f>
        <v>41709.40220246528</v>
      </c>
    </row>
    <row r="650" spans="30:32" x14ac:dyDescent="0.25">
      <c r="AD650" s="165" t="str">
        <v>EURFUT3MU1ConvAdj_Quote</v>
      </c>
      <c r="AE650" s="165" t="s">
        <v>684</v>
      </c>
      <c r="AF650" s="165">
        <f>_xll.ohObjectCreationTime(AE650)</f>
        <v>41709.402202500001</v>
      </c>
    </row>
    <row r="651" spans="30:32" x14ac:dyDescent="0.25">
      <c r="AD651" s="165" t="str">
        <v>EURFUT3MU1_Quote</v>
      </c>
      <c r="AE651" s="165" t="s">
        <v>354</v>
      </c>
      <c r="AF651" s="165">
        <f>_xll.ohObjectCreationTime(AE651)</f>
        <v>41709.402202534722</v>
      </c>
    </row>
    <row r="652" spans="30:32" x14ac:dyDescent="0.25">
      <c r="AD652" s="165" t="str">
        <v>EURFUT3MU4ConvAdj_Quote</v>
      </c>
      <c r="AE652" s="165" t="s">
        <v>440</v>
      </c>
      <c r="AF652" s="165">
        <f>_xll.ohObjectCreationTime(AE652)</f>
        <v>41709.402202569443</v>
      </c>
    </row>
    <row r="653" spans="30:32" x14ac:dyDescent="0.25">
      <c r="AD653" s="165" t="str">
        <v>EURFUT3MU4_Quote</v>
      </c>
      <c r="AE653" s="165" t="s">
        <v>610</v>
      </c>
      <c r="AF653" s="165">
        <f>_xll.ohObjectCreationTime(AE653)</f>
        <v>41709.40220261574</v>
      </c>
    </row>
    <row r="654" spans="30:32" x14ac:dyDescent="0.25">
      <c r="AD654" s="165" t="str">
        <v>EURFUT3MU5ConvAdj_Quote</v>
      </c>
      <c r="AE654" s="165" t="s">
        <v>441</v>
      </c>
      <c r="AF654" s="165">
        <f>_xll.ohObjectCreationTime(AE654)</f>
        <v>41709.402202650461</v>
      </c>
    </row>
    <row r="655" spans="30:32" x14ac:dyDescent="0.25">
      <c r="AD655" s="165" t="str">
        <v>EURFUT3MU5_Quote</v>
      </c>
      <c r="AE655" s="165" t="s">
        <v>686</v>
      </c>
      <c r="AF655" s="165">
        <f>_xll.ohObjectCreationTime(AE655)</f>
        <v>41709.402202685182</v>
      </c>
    </row>
    <row r="656" spans="30:32" x14ac:dyDescent="0.25">
      <c r="AD656" s="165" t="str">
        <v>EURFUT3MU6ConvAdj_Quote</v>
      </c>
      <c r="AE656" s="165" t="s">
        <v>515</v>
      </c>
      <c r="AF656" s="165">
        <f>_xll.ohObjectCreationTime(AE656)</f>
        <v>41709.40220271991</v>
      </c>
    </row>
    <row r="657" spans="30:32" x14ac:dyDescent="0.25">
      <c r="AD657" s="165" t="str">
        <v>EURFUT3MU6_Quote</v>
      </c>
      <c r="AE657" s="165" t="s">
        <v>356</v>
      </c>
      <c r="AF657" s="165">
        <f>_xll.ohObjectCreationTime(AE657)</f>
        <v>41709.402202754631</v>
      </c>
    </row>
    <row r="658" spans="30:32" x14ac:dyDescent="0.25">
      <c r="AD658" s="165" t="str">
        <v>EURFUT3MU7ConvAdj_Quote</v>
      </c>
      <c r="AE658" s="165" t="s">
        <v>573</v>
      </c>
      <c r="AF658" s="165">
        <f>_xll.ohObjectCreationTime(AE658)</f>
        <v>41709.402202800928</v>
      </c>
    </row>
    <row r="659" spans="30:32" x14ac:dyDescent="0.25">
      <c r="AD659" s="165" t="str">
        <v>EURFUT3MU7_Quote</v>
      </c>
      <c r="AE659" s="165" t="s">
        <v>357</v>
      </c>
      <c r="AF659" s="165">
        <f>_xll.ohObjectCreationTime(AE659)</f>
        <v>41709.402202835648</v>
      </c>
    </row>
    <row r="660" spans="30:32" x14ac:dyDescent="0.25">
      <c r="AD660" s="165" t="str">
        <v>EURFUT3MU8ConvAdj_Quote</v>
      </c>
      <c r="AE660" s="165" t="s">
        <v>442</v>
      </c>
      <c r="AF660" s="165">
        <f>_xll.ohObjectCreationTime(AE660)</f>
        <v>41709.402202870369</v>
      </c>
    </row>
    <row r="661" spans="30:32" x14ac:dyDescent="0.25">
      <c r="AD661" s="165" t="str">
        <v>EURFUT3MU8_Quote</v>
      </c>
      <c r="AE661" s="165" t="s">
        <v>575</v>
      </c>
      <c r="AF661" s="165">
        <f>_xll.ohObjectCreationTime(AE661)</f>
        <v>41709.40220290509</v>
      </c>
    </row>
    <row r="662" spans="30:32" x14ac:dyDescent="0.25">
      <c r="AD662" s="165" t="str">
        <v>EURFUT3MU9ConvAdj_Quote</v>
      </c>
      <c r="AE662" s="165" t="s">
        <v>612</v>
      </c>
      <c r="AF662" s="165">
        <f>_xll.ohObjectCreationTime(AE662)</f>
        <v>41709.402202939818</v>
      </c>
    </row>
    <row r="663" spans="30:32" x14ac:dyDescent="0.25">
      <c r="AD663" s="165" t="str">
        <v>EURFUT3MU9_Quote</v>
      </c>
      <c r="AE663" s="165" t="s">
        <v>516</v>
      </c>
      <c r="AF663" s="165">
        <f>_xll.ohObjectCreationTime(AE663)</f>
        <v>41709.402202986108</v>
      </c>
    </row>
    <row r="664" spans="30:32" x14ac:dyDescent="0.25">
      <c r="AD664" s="165" t="str">
        <v>EURFUT3MV4ConvAdj_Quote</v>
      </c>
      <c r="AE664" s="165" t="s">
        <v>687</v>
      </c>
      <c r="AF664" s="165">
        <f>_xll.ohObjectCreationTime(AE664)</f>
        <v>41709.402203020836</v>
      </c>
    </row>
    <row r="665" spans="30:32" x14ac:dyDescent="0.25">
      <c r="AD665" s="165" t="str">
        <v>EURFUT3MV4_Quote</v>
      </c>
      <c r="AE665" s="165" t="s">
        <v>688</v>
      </c>
      <c r="AF665" s="165">
        <f>_xll.ohObjectCreationTime(AE665)</f>
        <v>41709.402203067133</v>
      </c>
    </row>
    <row r="666" spans="30:32" x14ac:dyDescent="0.25">
      <c r="AD666" s="165" t="str">
        <v>EURFUT3MX4ConvAdj_Quote</v>
      </c>
      <c r="AE666" s="165" t="s">
        <v>613</v>
      </c>
      <c r="AF666" s="165">
        <f>_xll.ohObjectCreationTime(AE666)</f>
        <v>41709.402203101854</v>
      </c>
    </row>
    <row r="667" spans="30:32" x14ac:dyDescent="0.25">
      <c r="AD667" s="165" t="str">
        <v>EURFUT3MX4_Quote</v>
      </c>
      <c r="AE667" s="165" t="s">
        <v>517</v>
      </c>
      <c r="AF667" s="165">
        <f>_xll.ohObjectCreationTime(AE667)</f>
        <v>41709.402203136575</v>
      </c>
    </row>
    <row r="668" spans="30:32" x14ac:dyDescent="0.25">
      <c r="AD668" s="165" t="str">
        <v>EURFUT3MZ0ConvAdj_Quote</v>
      </c>
      <c r="AE668" s="165" t="s">
        <v>444</v>
      </c>
      <c r="AF668" s="165">
        <f>_xll.ohObjectCreationTime(AE668)</f>
        <v>41709.402203171296</v>
      </c>
    </row>
    <row r="669" spans="30:32" x14ac:dyDescent="0.25">
      <c r="AD669" s="165" t="str">
        <v>EURFUT3MZ0_Quote</v>
      </c>
      <c r="AE669" s="165" t="s">
        <v>358</v>
      </c>
      <c r="AF669" s="165">
        <f>_xll.ohObjectCreationTime(AE669)</f>
        <v>41709.402203206017</v>
      </c>
    </row>
    <row r="670" spans="30:32" x14ac:dyDescent="0.25">
      <c r="AD670" s="165" t="str">
        <v>EURFUT3MZ1ConvAdj_Quote</v>
      </c>
      <c r="AE670" s="165" t="s">
        <v>576</v>
      </c>
      <c r="AF670" s="165">
        <f>_xll.ohObjectCreationTime(AE670)</f>
        <v>41709.402203240737</v>
      </c>
    </row>
    <row r="671" spans="30:32" x14ac:dyDescent="0.25">
      <c r="AD671" s="165" t="str">
        <v>EURFUT3MZ1_Quote</v>
      </c>
      <c r="AE671" s="165" t="s">
        <v>614</v>
      </c>
      <c r="AF671" s="165">
        <f>_xll.ohObjectCreationTime(AE671)</f>
        <v>41709.402203287034</v>
      </c>
    </row>
    <row r="672" spans="30:32" x14ac:dyDescent="0.25">
      <c r="AD672" s="165" t="str">
        <v>EURFUT3MZ4ConvAdj_Quote</v>
      </c>
      <c r="AE672" s="165" t="s">
        <v>360</v>
      </c>
      <c r="AF672" s="165">
        <f>_xll.ohObjectCreationTime(AE672)</f>
        <v>41709.402203333331</v>
      </c>
    </row>
    <row r="673" spans="30:32" x14ac:dyDescent="0.25">
      <c r="AD673" s="165" t="str">
        <v>EURFUT3MZ4_Quote</v>
      </c>
      <c r="AE673" s="165" t="s">
        <v>519</v>
      </c>
      <c r="AF673" s="165">
        <f>_xll.ohObjectCreationTime(AE673)</f>
        <v>41709.402203368052</v>
      </c>
    </row>
    <row r="674" spans="30:32" x14ac:dyDescent="0.25">
      <c r="AD674" s="165" t="str">
        <v>EURFUT3MZ5ConvAdj_Quote</v>
      </c>
      <c r="AE674" s="165" t="s">
        <v>690</v>
      </c>
      <c r="AF674" s="165">
        <f>_xll.ohObjectCreationTime(AE674)</f>
        <v>41709.40220340278</v>
      </c>
    </row>
    <row r="675" spans="30:32" x14ac:dyDescent="0.25">
      <c r="AD675" s="165" t="str">
        <v>EURFUT3MZ5_Quote</v>
      </c>
      <c r="AE675" s="165" t="s">
        <v>577</v>
      </c>
      <c r="AF675" s="165">
        <f>_xll.ohObjectCreationTime(AE675)</f>
        <v>41709.402203437501</v>
      </c>
    </row>
    <row r="676" spans="30:32" x14ac:dyDescent="0.25">
      <c r="AD676" s="165" t="str">
        <v>EURFUT3MZ6ConvAdj_Quote</v>
      </c>
      <c r="AE676" s="165" t="s">
        <v>445</v>
      </c>
      <c r="AF676" s="165">
        <f>_xll.ohObjectCreationTime(AE676)</f>
        <v>41709.402203472222</v>
      </c>
    </row>
    <row r="677" spans="30:32" x14ac:dyDescent="0.25">
      <c r="AD677" s="165" t="str">
        <v>EURFUT3MZ6_Quote</v>
      </c>
      <c r="AE677" s="165" t="s">
        <v>579</v>
      </c>
      <c r="AF677" s="165">
        <f>_xll.ohObjectCreationTime(AE677)</f>
        <v>41709.402203518519</v>
      </c>
    </row>
    <row r="678" spans="30:32" x14ac:dyDescent="0.25">
      <c r="AD678" s="165" t="str">
        <v>EURFUT3MZ7ConvAdj_Quote</v>
      </c>
      <c r="AE678" s="165" t="s">
        <v>691</v>
      </c>
      <c r="AF678" s="165">
        <f>_xll.ohObjectCreationTime(AE678)</f>
        <v>41709.40220355324</v>
      </c>
    </row>
    <row r="679" spans="30:32" x14ac:dyDescent="0.25">
      <c r="AD679" s="165" t="str">
        <v>EURFUT3MZ7_Quote</v>
      </c>
      <c r="AE679" s="165" t="s">
        <v>361</v>
      </c>
      <c r="AF679" s="165">
        <f>_xll.ohObjectCreationTime(AE679)</f>
        <v>41709.402203599537</v>
      </c>
    </row>
    <row r="680" spans="30:32" x14ac:dyDescent="0.25">
      <c r="AD680" s="165" t="str">
        <v>EURFUT3MZ8ConvAdj_Quote</v>
      </c>
      <c r="AE680" s="165" t="s">
        <v>447</v>
      </c>
      <c r="AF680" s="165">
        <f>_xll.ohObjectCreationTime(AE680)</f>
        <v>41709.402203634258</v>
      </c>
    </row>
    <row r="681" spans="30:32" x14ac:dyDescent="0.25">
      <c r="AD681" s="165" t="str">
        <v>EURFUT3MZ8_Quote</v>
      </c>
      <c r="AE681" s="165" t="s">
        <v>520</v>
      </c>
      <c r="AF681" s="165">
        <f>_xll.ohObjectCreationTime(AE681)</f>
        <v>41709.402203668978</v>
      </c>
    </row>
    <row r="682" spans="30:32" x14ac:dyDescent="0.25">
      <c r="AD682" s="165" t="str">
        <v>EURFUT3MZ9ConvAdj_Quote</v>
      </c>
      <c r="AE682" s="165" t="s">
        <v>616</v>
      </c>
      <c r="AF682" s="165">
        <f>_xll.ohObjectCreationTime(AE682)</f>
        <v>41709.402203703707</v>
      </c>
    </row>
    <row r="683" spans="30:32" x14ac:dyDescent="0.25">
      <c r="AD683" s="165" t="str">
        <v>EURFUT3MZ9_Quote</v>
      </c>
      <c r="AE683" s="165" t="s">
        <v>580</v>
      </c>
      <c r="AF683" s="165">
        <f>_xll.ohObjectCreationTime(AE683)</f>
        <v>41709.402203750004</v>
      </c>
    </row>
    <row r="684" spans="30:32" x14ac:dyDescent="0.25">
      <c r="AD684" s="165" t="str">
        <v>EURHW_MeanReversion_Quote</v>
      </c>
      <c r="AE684" s="165" t="s">
        <v>617</v>
      </c>
      <c r="AF684" s="165">
        <f>_xll.ohObjectCreationTime(AE684)</f>
        <v>41709.402203784724</v>
      </c>
    </row>
    <row r="685" spans="30:32" x14ac:dyDescent="0.25">
      <c r="AD685" s="165" t="str">
        <v>EURHW_Volatility_Quote</v>
      </c>
      <c r="AE685" s="165" t="s">
        <v>449</v>
      </c>
      <c r="AF685" s="165">
        <f>_xll.ohObjectCreationTime(AE685)</f>
        <v>41709.402203819445</v>
      </c>
    </row>
    <row r="686" spans="30:32" x14ac:dyDescent="0.25">
      <c r="AD686" s="165" t="str">
        <v>Euribor10M</v>
      </c>
      <c r="AE686" s="165" t="s">
        <v>522</v>
      </c>
      <c r="AF686" s="165">
        <f>_xll.ohObjectCreationTime(AE686)</f>
        <v>41709.402203854166</v>
      </c>
    </row>
    <row r="687" spans="30:32" x14ac:dyDescent="0.25">
      <c r="AD687" s="165" t="str">
        <v>Euribor10MLastFixing_Quote</v>
      </c>
      <c r="AE687" s="165" t="s">
        <v>693</v>
      </c>
      <c r="AF687" s="165">
        <f>_xll.ohObjectCreationTime(AE687)</f>
        <v>41709.402203900463</v>
      </c>
    </row>
    <row r="688" spans="30:32" x14ac:dyDescent="0.25">
      <c r="AD688" s="165" t="str">
        <v>Euribor11M</v>
      </c>
      <c r="AE688" s="165" t="s">
        <v>363</v>
      </c>
      <c r="AF688" s="165">
        <f>_xll.ohObjectCreationTime(AE688)</f>
        <v>41709.402203935184</v>
      </c>
    </row>
    <row r="689" spans="30:32" x14ac:dyDescent="0.25">
      <c r="AD689" s="165" t="str">
        <v>Euribor11MLastFixing_Quote</v>
      </c>
      <c r="AE689" s="165" t="s">
        <v>582</v>
      </c>
      <c r="AF689" s="165">
        <f>_xll.ohObjectCreationTime(AE689)</f>
        <v>41709.402203969905</v>
      </c>
    </row>
    <row r="690" spans="30:32" x14ac:dyDescent="0.25">
      <c r="AD690" s="165" t="str">
        <v>Euribor1M</v>
      </c>
      <c r="AE690" s="165" t="s">
        <v>619</v>
      </c>
      <c r="AF690" s="165">
        <f>_xll.ohObjectCreationTime(AE690)</f>
        <v>41709.402204016202</v>
      </c>
    </row>
    <row r="691" spans="30:32" x14ac:dyDescent="0.25">
      <c r="AD691" s="165" t="str">
        <v>Euribor1MLastFixing_Quote</v>
      </c>
      <c r="AE691" s="165" t="s">
        <v>524</v>
      </c>
      <c r="AF691" s="165">
        <f>_xll.ohObjectCreationTime(AE691)</f>
        <v>41709.402204050923</v>
      </c>
    </row>
    <row r="692" spans="30:32" x14ac:dyDescent="0.25">
      <c r="AD692" s="165" t="str">
        <v>Euribor1Y</v>
      </c>
      <c r="AE692" s="165" t="s">
        <v>365</v>
      </c>
      <c r="AF692" s="165">
        <f>_xll.ohObjectCreationTime(AE692)</f>
        <v>41709.402204085651</v>
      </c>
    </row>
    <row r="693" spans="30:32" x14ac:dyDescent="0.25">
      <c r="AD693" s="165" t="str">
        <v>Euribor1YLastFixing_Quote</v>
      </c>
      <c r="AE693" s="165" t="s">
        <v>450</v>
      </c>
      <c r="AF693" s="165">
        <f>_xll.ohObjectCreationTime(AE693)</f>
        <v>41709.402204131948</v>
      </c>
    </row>
    <row r="694" spans="30:32" x14ac:dyDescent="0.25">
      <c r="AD694" s="165" t="str">
        <v>Euribor2M</v>
      </c>
      <c r="AE694" s="165" t="s">
        <v>695</v>
      </c>
      <c r="AF694" s="165">
        <f>_xll.ohObjectCreationTime(AE694)</f>
        <v>41709.402204166669</v>
      </c>
    </row>
    <row r="695" spans="30:32" x14ac:dyDescent="0.25">
      <c r="AD695" s="165" t="str">
        <v>Euribor2MLastFixing_Quote</v>
      </c>
      <c r="AE695" s="165" t="s">
        <v>584</v>
      </c>
      <c r="AF695" s="165">
        <f>_xll.ohObjectCreationTime(AE695)</f>
        <v>41709.402204212965</v>
      </c>
    </row>
    <row r="696" spans="30:32" x14ac:dyDescent="0.25">
      <c r="AD696" s="165" t="str">
        <v>Euribor2W</v>
      </c>
      <c r="AE696" s="165" t="s">
        <v>525</v>
      </c>
      <c r="AF696" s="165">
        <f>_xll.ohObjectCreationTime(AE696)</f>
        <v>41709.402204247686</v>
      </c>
    </row>
    <row r="697" spans="30:32" x14ac:dyDescent="0.25">
      <c r="AD697" s="165" t="str">
        <v>Euribor2WLastFixing_Quote</v>
      </c>
      <c r="AE697" s="165" t="s">
        <v>696</v>
      </c>
      <c r="AF697" s="165">
        <f>_xll.ohObjectCreationTime(AE697)</f>
        <v>41709.402204282407</v>
      </c>
    </row>
    <row r="698" spans="30:32" x14ac:dyDescent="0.25">
      <c r="AD698" s="165" t="str">
        <v>Euribor36510M</v>
      </c>
      <c r="AE698" s="165" t="s">
        <v>451</v>
      </c>
      <c r="AF698" s="165">
        <f>_xll.ohObjectCreationTime(AE698)</f>
        <v>41709.402204328704</v>
      </c>
    </row>
    <row r="699" spans="30:32" x14ac:dyDescent="0.25">
      <c r="AD699" s="165" t="str">
        <v>Euribor36511M</v>
      </c>
      <c r="AE699" s="165" t="s">
        <v>621</v>
      </c>
      <c r="AF699" s="165">
        <f>_xll.ohObjectCreationTime(AE699)</f>
        <v>41709.402204363425</v>
      </c>
    </row>
    <row r="700" spans="30:32" x14ac:dyDescent="0.25">
      <c r="AD700" s="165" t="str">
        <v>Euribor3651M</v>
      </c>
      <c r="AE700" s="165" t="s">
        <v>366</v>
      </c>
      <c r="AF700" s="165">
        <f>_xll.ohObjectCreationTime(AE700)</f>
        <v>41709.402204398146</v>
      </c>
    </row>
    <row r="701" spans="30:32" x14ac:dyDescent="0.25">
      <c r="AD701" s="165" t="str">
        <v>Euribor3651Y</v>
      </c>
      <c r="AE701" s="165" t="s">
        <v>526</v>
      </c>
      <c r="AF701" s="165">
        <f>_xll.ohObjectCreationTime(AE701)</f>
        <v>41709.402204432874</v>
      </c>
    </row>
    <row r="702" spans="30:32" x14ac:dyDescent="0.25">
      <c r="AD702" s="165" t="str">
        <v>Euribor3652M</v>
      </c>
      <c r="AE702" s="165" t="s">
        <v>622</v>
      </c>
      <c r="AF702" s="165">
        <f>_xll.ohObjectCreationTime(AE702)</f>
        <v>41709.402204467595</v>
      </c>
    </row>
    <row r="703" spans="30:32" x14ac:dyDescent="0.25">
      <c r="AD703" s="165" t="str">
        <v>Euribor3652W</v>
      </c>
      <c r="AE703" s="165" t="s">
        <v>367</v>
      </c>
      <c r="AF703" s="165">
        <f>_xll.ohObjectCreationTime(AE703)</f>
        <v>41709.402204513892</v>
      </c>
    </row>
    <row r="704" spans="30:32" x14ac:dyDescent="0.25">
      <c r="AD704" s="165" t="str">
        <v>Euribor3653M</v>
      </c>
      <c r="AE704" s="165" t="s">
        <v>585</v>
      </c>
      <c r="AF704" s="165">
        <f>_xll.ohObjectCreationTime(AE704)</f>
        <v>41709.402204560189</v>
      </c>
    </row>
    <row r="705" spans="30:32" x14ac:dyDescent="0.25">
      <c r="AD705" s="165" t="str">
        <v>Euribor3653W</v>
      </c>
      <c r="AE705" s="165" t="s">
        <v>697</v>
      </c>
      <c r="AF705" s="165">
        <f>_xll.ohObjectCreationTime(AE705)</f>
        <v>41709.40220459491</v>
      </c>
    </row>
    <row r="706" spans="30:32" x14ac:dyDescent="0.25">
      <c r="AD706" s="165" t="str">
        <v>Euribor3654M</v>
      </c>
      <c r="AE706" s="165" t="s">
        <v>452</v>
      </c>
      <c r="AF706" s="165">
        <f>_xll.ohObjectCreationTime(AE706)</f>
        <v>41709.40220462963</v>
      </c>
    </row>
    <row r="707" spans="30:32" x14ac:dyDescent="0.25">
      <c r="AD707" s="165" t="str">
        <v>Euribor3655M</v>
      </c>
      <c r="AE707" s="165" t="s">
        <v>527</v>
      </c>
      <c r="AF707" s="165">
        <f>_xll.ohObjectCreationTime(AE707)</f>
        <v>41709.402204675927</v>
      </c>
    </row>
    <row r="708" spans="30:32" x14ac:dyDescent="0.25">
      <c r="AD708" s="165" t="str">
        <v>Euribor3656M</v>
      </c>
      <c r="AE708" s="165" t="s">
        <v>453</v>
      </c>
      <c r="AF708" s="165">
        <f>_xll.ohObjectCreationTime(AE708)</f>
        <v>41709.402204710648</v>
      </c>
    </row>
    <row r="709" spans="30:32" x14ac:dyDescent="0.25">
      <c r="AD709" s="165" t="str">
        <v>Euribor3657M</v>
      </c>
      <c r="AE709" s="165" t="s">
        <v>623</v>
      </c>
      <c r="AF709" s="165">
        <f>_xll.ohObjectCreationTime(AE709)</f>
        <v>41709.402204756945</v>
      </c>
    </row>
    <row r="710" spans="30:32" x14ac:dyDescent="0.25">
      <c r="AD710" s="165" t="str">
        <v>Euribor3658M</v>
      </c>
      <c r="AE710" s="165" t="s">
        <v>698</v>
      </c>
      <c r="AF710" s="165">
        <f>_xll.ohObjectCreationTime(AE710)</f>
        <v>41709.402204791666</v>
      </c>
    </row>
    <row r="711" spans="30:32" x14ac:dyDescent="0.25">
      <c r="AD711" s="165" t="str">
        <v>Euribor3659M</v>
      </c>
      <c r="AE711" s="165" t="s">
        <v>586</v>
      </c>
      <c r="AF711" s="165">
        <f>_xll.ohObjectCreationTime(AE711)</f>
        <v>41709.402204837963</v>
      </c>
    </row>
    <row r="712" spans="30:32" x14ac:dyDescent="0.25">
      <c r="AD712" s="165" t="str">
        <v>Euribor365SW</v>
      </c>
      <c r="AE712" s="165" t="s">
        <v>368</v>
      </c>
      <c r="AF712" s="165">
        <f>_xll.ohObjectCreationTime(AE712)</f>
        <v>41709.402204872684</v>
      </c>
    </row>
    <row r="713" spans="30:32" x14ac:dyDescent="0.25">
      <c r="AD713" s="165" t="str">
        <v>Euribor3M</v>
      </c>
      <c r="AE713" s="165" t="s">
        <v>699</v>
      </c>
      <c r="AF713" s="165">
        <f>_xll.ohObjectCreationTime(AE713)</f>
        <v>41709.402204918981</v>
      </c>
    </row>
    <row r="714" spans="30:32" x14ac:dyDescent="0.25">
      <c r="AD714" s="165" t="str">
        <v>Euribor3MLastFixing_Quote</v>
      </c>
      <c r="AE714" s="165" t="s">
        <v>587</v>
      </c>
      <c r="AF714" s="165">
        <f>_xll.ohObjectCreationTime(AE714)</f>
        <v>41709.402204953702</v>
      </c>
    </row>
    <row r="715" spans="30:32" x14ac:dyDescent="0.25">
      <c r="AD715" s="165" t="str">
        <v>Euribor3W</v>
      </c>
      <c r="AE715" s="165" t="s">
        <v>454</v>
      </c>
      <c r="AF715" s="165">
        <f>_xll.ohObjectCreationTime(AE715)</f>
        <v>41709.402204988422</v>
      </c>
    </row>
    <row r="716" spans="30:32" x14ac:dyDescent="0.25">
      <c r="AD716" s="165" t="str">
        <v>Euribor3WLastFixing_Quote</v>
      </c>
      <c r="AE716" s="165" t="s">
        <v>528</v>
      </c>
      <c r="AF716" s="165">
        <f>_xll.ohObjectCreationTime(AE716)</f>
        <v>41709.402205023151</v>
      </c>
    </row>
    <row r="717" spans="30:32" x14ac:dyDescent="0.25">
      <c r="AD717" s="165" t="str">
        <v>Euribor4M</v>
      </c>
      <c r="AE717" s="165" t="s">
        <v>624</v>
      </c>
      <c r="AF717" s="165">
        <f>_xll.ohObjectCreationTime(AE717)</f>
        <v>41709.402205069448</v>
      </c>
    </row>
    <row r="718" spans="30:32" x14ac:dyDescent="0.25">
      <c r="AD718" s="165" t="str">
        <v>Euribor4MLastFixing_Quote</v>
      </c>
      <c r="AE718" s="165" t="s">
        <v>369</v>
      </c>
      <c r="AF718" s="165">
        <f>_xll.ohObjectCreationTime(AE718)</f>
        <v>41709.402205104168</v>
      </c>
    </row>
    <row r="719" spans="30:32" x14ac:dyDescent="0.25">
      <c r="AD719" s="165" t="str">
        <v>Euribor5M</v>
      </c>
      <c r="AE719" s="165" t="s">
        <v>700</v>
      </c>
      <c r="AF719" s="165">
        <f>_xll.ohObjectCreationTime(AE719)</f>
        <v>41709.402205150465</v>
      </c>
    </row>
    <row r="720" spans="30:32" x14ac:dyDescent="0.25">
      <c r="AD720" s="165" t="str">
        <v>Euribor5MLastFixing_Quote</v>
      </c>
      <c r="AE720" s="165" t="s">
        <v>529</v>
      </c>
      <c r="AF720" s="165">
        <f>_xll.ohObjectCreationTime(AE720)</f>
        <v>41709.402205185186</v>
      </c>
    </row>
    <row r="721" spans="30:32" x14ac:dyDescent="0.25">
      <c r="AD721" s="165" t="str">
        <v>Euribor6M</v>
      </c>
      <c r="AE721" s="165" t="s">
        <v>588</v>
      </c>
      <c r="AF721" s="165">
        <f>_xll.ohObjectCreationTime(AE721)</f>
        <v>41709.402205231483</v>
      </c>
    </row>
    <row r="722" spans="30:32" x14ac:dyDescent="0.25">
      <c r="AD722" s="165" t="str">
        <v>Euribor6MLastFixing_Quote</v>
      </c>
      <c r="AE722" s="165" t="s">
        <v>455</v>
      </c>
      <c r="AF722" s="165">
        <f>_xll.ohObjectCreationTime(AE722)</f>
        <v>41709.402205266204</v>
      </c>
    </row>
    <row r="723" spans="30:32" x14ac:dyDescent="0.25">
      <c r="AD723" s="165" t="str">
        <v>Euribor7M</v>
      </c>
      <c r="AE723" s="165" t="s">
        <v>370</v>
      </c>
      <c r="AF723" s="165">
        <f>_xll.ohObjectCreationTime(AE723)</f>
        <v>41709.402205312501</v>
      </c>
    </row>
    <row r="724" spans="30:32" x14ac:dyDescent="0.25">
      <c r="AD724" s="165" t="str">
        <v>Euribor7MLastFixing_Quote</v>
      </c>
      <c r="AE724" s="165" t="s">
        <v>625</v>
      </c>
      <c r="AF724" s="165">
        <f>_xll.ohObjectCreationTime(AE724)</f>
        <v>41709.402205347222</v>
      </c>
    </row>
    <row r="725" spans="30:32" x14ac:dyDescent="0.25">
      <c r="AD725" s="165" t="str">
        <v>Euribor8M</v>
      </c>
      <c r="AE725" s="165" t="s">
        <v>456</v>
      </c>
      <c r="AF725" s="165">
        <f>_xll.ohObjectCreationTime(AE725)</f>
        <v>41709.402205393519</v>
      </c>
    </row>
    <row r="726" spans="30:32" x14ac:dyDescent="0.25">
      <c r="AD726" s="165" t="str">
        <v>Euribor8MLastFixing_Quote</v>
      </c>
      <c r="AE726" s="165" t="s">
        <v>530</v>
      </c>
      <c r="AF726" s="165">
        <f>_xll.ohObjectCreationTime(AE726)</f>
        <v>41709.40220542824</v>
      </c>
    </row>
    <row r="727" spans="30:32" x14ac:dyDescent="0.25">
      <c r="AD727" s="165" t="str">
        <v>Euribor9M</v>
      </c>
      <c r="AE727" s="165" t="s">
        <v>371</v>
      </c>
      <c r="AF727" s="165">
        <f>_xll.ohObjectCreationTime(AE727)</f>
        <v>41709.40220546296</v>
      </c>
    </row>
    <row r="728" spans="30:32" x14ac:dyDescent="0.25">
      <c r="AD728" s="165" t="str">
        <v>Euribor9MLastFixing_Quote</v>
      </c>
      <c r="AE728" s="165" t="s">
        <v>589</v>
      </c>
      <c r="AF728" s="165">
        <f>_xll.ohObjectCreationTime(AE728)</f>
        <v>41709.402205509257</v>
      </c>
    </row>
    <row r="729" spans="30:32" x14ac:dyDescent="0.25">
      <c r="AD729" s="165" t="str">
        <v>EuriborSW</v>
      </c>
      <c r="AE729" s="165" t="s">
        <v>701</v>
      </c>
      <c r="AF729" s="165">
        <f>_xll.ohObjectCreationTime(AE729)</f>
        <v>41709.402205543978</v>
      </c>
    </row>
    <row r="730" spans="30:32" x14ac:dyDescent="0.25">
      <c r="AD730" s="165" t="str">
        <v>EuriborSwapIfrFix10Y</v>
      </c>
      <c r="AE730" s="165" t="s">
        <v>626</v>
      </c>
      <c r="AF730" s="165">
        <f>_xll.ohObjectCreationTime(AE730)</f>
        <v>41709.402205590275</v>
      </c>
    </row>
    <row r="731" spans="30:32" x14ac:dyDescent="0.25">
      <c r="AD731" s="165" t="str">
        <v>EuriborSwapIfrFix11Y</v>
      </c>
      <c r="AE731" s="165" t="s">
        <v>627</v>
      </c>
      <c r="AF731" s="165">
        <f>_xll.ohObjectCreationTime(AE731)</f>
        <v>41709.402205636572</v>
      </c>
    </row>
    <row r="732" spans="30:32" x14ac:dyDescent="0.25">
      <c r="AD732" s="165" t="str">
        <v>EuriborSwapIfrFix12Y</v>
      </c>
      <c r="AE732" s="165" t="s">
        <v>531</v>
      </c>
      <c r="AF732" s="165">
        <f>_xll.ohObjectCreationTime(AE732)</f>
        <v>41709.402205682869</v>
      </c>
    </row>
    <row r="733" spans="30:32" x14ac:dyDescent="0.25">
      <c r="AD733" s="165" t="str">
        <v>EuriborSwapIfrFix13Y</v>
      </c>
      <c r="AE733" s="165" t="s">
        <v>457</v>
      </c>
      <c r="AF733" s="165">
        <f>_xll.ohObjectCreationTime(AE733)</f>
        <v>41709.40220571759</v>
      </c>
    </row>
    <row r="734" spans="30:32" x14ac:dyDescent="0.25">
      <c r="AD734" s="165" t="str">
        <v>EuriborSwapIfrFix14Y</v>
      </c>
      <c r="AE734" s="165" t="s">
        <v>372</v>
      </c>
      <c r="AF734" s="165">
        <f>_xll.ohObjectCreationTime(AE734)</f>
        <v>41709.402205752318</v>
      </c>
    </row>
    <row r="735" spans="30:32" x14ac:dyDescent="0.25">
      <c r="AD735" s="165" t="str">
        <v>EuriborSwapIfrFix15Y</v>
      </c>
      <c r="AE735" s="165" t="s">
        <v>702</v>
      </c>
      <c r="AF735" s="165">
        <f>_xll.ohObjectCreationTime(AE735)</f>
        <v>41709.402205787039</v>
      </c>
    </row>
    <row r="736" spans="30:32" x14ac:dyDescent="0.25">
      <c r="AD736" s="165" t="str">
        <v>EuriborSwapIfrFix16Y</v>
      </c>
      <c r="AE736" s="165" t="s">
        <v>590</v>
      </c>
      <c r="AF736" s="165">
        <f>_xll.ohObjectCreationTime(AE736)</f>
        <v>41709.402205833336</v>
      </c>
    </row>
    <row r="737" spans="30:32" x14ac:dyDescent="0.25">
      <c r="AD737" s="165" t="str">
        <v>EuriborSwapIfrFix17Y</v>
      </c>
      <c r="AE737" s="165" t="s">
        <v>459</v>
      </c>
      <c r="AF737" s="165">
        <f>_xll.ohObjectCreationTime(AE737)</f>
        <v>41709.402205868057</v>
      </c>
    </row>
    <row r="738" spans="30:32" x14ac:dyDescent="0.25">
      <c r="AD738" s="165" t="str">
        <v>EuriborSwapIfrFix18Y</v>
      </c>
      <c r="AE738" s="165" t="s">
        <v>628</v>
      </c>
      <c r="AF738" s="165">
        <f>_xll.ohObjectCreationTime(AE738)</f>
        <v>41709.402205914354</v>
      </c>
    </row>
    <row r="739" spans="30:32" x14ac:dyDescent="0.25">
      <c r="AD739" s="165" t="str">
        <v>EuriborSwapIfrFix19Y</v>
      </c>
      <c r="AE739" s="165" t="s">
        <v>532</v>
      </c>
      <c r="AF739" s="165">
        <f>_xll.ohObjectCreationTime(AE739)</f>
        <v>41709.402205949074</v>
      </c>
    </row>
    <row r="740" spans="30:32" x14ac:dyDescent="0.25">
      <c r="AD740" s="165" t="str">
        <v>EuriborSwapIfrFix1Y</v>
      </c>
      <c r="AE740" s="165" t="s">
        <v>591</v>
      </c>
      <c r="AF740" s="165">
        <f>_xll.ohObjectCreationTime(AE740)</f>
        <v>41709.402205995371</v>
      </c>
    </row>
    <row r="741" spans="30:32" x14ac:dyDescent="0.25">
      <c r="AD741" s="165" t="str">
        <v>EuriborSwapIfrFix20Y</v>
      </c>
      <c r="AE741" s="165" t="s">
        <v>373</v>
      </c>
      <c r="AF741" s="165">
        <f>_xll.ohObjectCreationTime(AE741)</f>
        <v>41709.402206041668</v>
      </c>
    </row>
    <row r="742" spans="30:32" x14ac:dyDescent="0.25">
      <c r="AD742" s="165" t="str">
        <v>EuriborSwapIfrFix21Y</v>
      </c>
      <c r="AE742" s="165" t="s">
        <v>703</v>
      </c>
      <c r="AF742" s="165">
        <f>_xll.ohObjectCreationTime(AE742)</f>
        <v>41709.402206076389</v>
      </c>
    </row>
    <row r="743" spans="30:32" x14ac:dyDescent="0.25">
      <c r="AD743" s="165" t="str">
        <v>EuriborSwapIfrFix22Y</v>
      </c>
      <c r="AE743" s="165" t="s">
        <v>705</v>
      </c>
      <c r="AF743" s="165">
        <f>_xll.ohObjectCreationTime(AE743)</f>
        <v>41709.402206122686</v>
      </c>
    </row>
    <row r="744" spans="30:32" x14ac:dyDescent="0.25">
      <c r="AD744" s="165" t="str">
        <v>EuriborSwapIfrFix23Y</v>
      </c>
      <c r="AE744" s="165" t="s">
        <v>375</v>
      </c>
      <c r="AF744" s="165">
        <f>_xll.ohObjectCreationTime(AE744)</f>
        <v>41709.402206157407</v>
      </c>
    </row>
    <row r="745" spans="30:32" x14ac:dyDescent="0.25">
      <c r="AD745" s="165" t="str">
        <v>EuriborSwapIfrFix24Y</v>
      </c>
      <c r="AE745" s="165" t="s">
        <v>592</v>
      </c>
      <c r="AF745" s="165">
        <f>_xll.ohObjectCreationTime(AE745)</f>
        <v>41709.402206203704</v>
      </c>
    </row>
    <row r="746" spans="30:32" x14ac:dyDescent="0.25">
      <c r="AD746" s="165" t="str">
        <v>EuriborSwapIfrFix25Y</v>
      </c>
      <c r="AE746" s="165" t="s">
        <v>460</v>
      </c>
      <c r="AF746" s="165">
        <f>_xll.ohObjectCreationTime(AE746)</f>
        <v>41709.402206238425</v>
      </c>
    </row>
    <row r="747" spans="30:32" x14ac:dyDescent="0.25">
      <c r="AD747" s="165" t="str">
        <v>EuriborSwapIfrFix26Y</v>
      </c>
      <c r="AE747" s="165" t="s">
        <v>534</v>
      </c>
      <c r="AF747" s="165">
        <f>_xll.ohObjectCreationTime(AE747)</f>
        <v>41709.402206284722</v>
      </c>
    </row>
    <row r="748" spans="30:32" x14ac:dyDescent="0.25">
      <c r="AD748" s="165" t="str">
        <v>EuriborSwapIfrFix27Y</v>
      </c>
      <c r="AE748" s="165" t="s">
        <v>629</v>
      </c>
      <c r="AF748" s="165">
        <f>_xll.ohObjectCreationTime(AE748)</f>
        <v>41709.402206319442</v>
      </c>
    </row>
    <row r="749" spans="30:32" x14ac:dyDescent="0.25">
      <c r="AD749" s="165" t="str">
        <v>EuriborSwapIfrFix28Y</v>
      </c>
      <c r="AE749" s="165" t="s">
        <v>462</v>
      </c>
      <c r="AF749" s="165">
        <f>_xll.ohObjectCreationTime(AE749)</f>
        <v>41709.402206365739</v>
      </c>
    </row>
    <row r="750" spans="30:32" x14ac:dyDescent="0.25">
      <c r="AD750" s="165" t="str">
        <v>EuriborSwapIfrFix29Y</v>
      </c>
      <c r="AE750" s="165" t="s">
        <v>631</v>
      </c>
      <c r="AF750" s="165">
        <f>_xll.ohObjectCreationTime(AE750)</f>
        <v>41709.40220640046</v>
      </c>
    </row>
    <row r="751" spans="30:32" x14ac:dyDescent="0.25">
      <c r="AD751" s="165" t="str">
        <v>EuriborSwapIfrFix2Y</v>
      </c>
      <c r="AE751" s="165" t="s">
        <v>706</v>
      </c>
      <c r="AF751" s="165">
        <f>_xll.ohObjectCreationTime(AE751)</f>
        <v>41709.402206446757</v>
      </c>
    </row>
    <row r="752" spans="30:32" x14ac:dyDescent="0.25">
      <c r="AD752" s="165" t="str">
        <v>EuriborSwapIfrFix30Y</v>
      </c>
      <c r="AE752" s="165" t="s">
        <v>594</v>
      </c>
      <c r="AF752" s="165">
        <f>_xll.ohObjectCreationTime(AE752)</f>
        <v>41709.402206481478</v>
      </c>
    </row>
    <row r="753" spans="30:32" x14ac:dyDescent="0.25">
      <c r="AD753" s="165" t="str">
        <v>EuriborSwapIfrFix31Y</v>
      </c>
      <c r="AE753" s="165" t="s">
        <v>376</v>
      </c>
      <c r="AF753" s="165">
        <f>_xll.ohObjectCreationTime(AE753)</f>
        <v>41709.402206527775</v>
      </c>
    </row>
    <row r="754" spans="30:32" x14ac:dyDescent="0.25">
      <c r="AD754" s="165" t="str">
        <v>EuriborSwapIfrFix32Y</v>
      </c>
      <c r="AE754" s="165" t="s">
        <v>535</v>
      </c>
      <c r="AF754" s="165">
        <f>_xll.ohObjectCreationTime(AE754)</f>
        <v>41709.402206562503</v>
      </c>
    </row>
    <row r="755" spans="30:32" x14ac:dyDescent="0.25">
      <c r="AD755" s="165" t="str">
        <v>EuriborSwapIfrFix33Y</v>
      </c>
      <c r="AE755" s="165" t="s">
        <v>466</v>
      </c>
      <c r="AF755" s="165">
        <f>_xll.ohObjectCreationTime(AE755)</f>
        <v>41709.402206608793</v>
      </c>
    </row>
    <row r="756" spans="30:32" x14ac:dyDescent="0.25">
      <c r="AD756" s="165" t="str">
        <v>EuriborSwapIfrFix34Y</v>
      </c>
      <c r="AE756" s="165" t="s">
        <v>378</v>
      </c>
      <c r="AF756" s="165">
        <f>_xll.ohObjectCreationTime(AE756)</f>
        <v>41709.402206643521</v>
      </c>
    </row>
    <row r="757" spans="30:32" x14ac:dyDescent="0.25">
      <c r="AD757" s="165" t="str">
        <v>EuriborSwapIfrFix35Y</v>
      </c>
      <c r="AE757" s="165" t="s">
        <v>464</v>
      </c>
      <c r="AF757" s="165">
        <f>_xll.ohObjectCreationTime(AE757)</f>
        <v>41709.402206678242</v>
      </c>
    </row>
    <row r="758" spans="30:32" x14ac:dyDescent="0.25">
      <c r="AD758" s="165" t="str">
        <v>EuriborSwapIfrFix36Y</v>
      </c>
      <c r="AE758" s="165" t="s">
        <v>708</v>
      </c>
      <c r="AF758" s="165">
        <f>_xll.ohObjectCreationTime(AE758)</f>
        <v>41709.402206724539</v>
      </c>
    </row>
    <row r="759" spans="30:32" x14ac:dyDescent="0.25">
      <c r="AD759" s="165" t="str">
        <v>EuriborSwapIfrFix37Y</v>
      </c>
      <c r="AE759" s="165" t="s">
        <v>537</v>
      </c>
      <c r="AF759" s="165">
        <f>_xll.ohObjectCreationTime(AE759)</f>
        <v>41709.40220675926</v>
      </c>
    </row>
    <row r="760" spans="30:32" x14ac:dyDescent="0.25">
      <c r="AD760" s="165" t="str">
        <v>EuriborSwapIfrFix38Y</v>
      </c>
      <c r="AE760" s="165" t="s">
        <v>595</v>
      </c>
      <c r="AF760" s="165">
        <f>_xll.ohObjectCreationTime(AE760)</f>
        <v>41709.402206805556</v>
      </c>
    </row>
    <row r="761" spans="30:32" x14ac:dyDescent="0.25">
      <c r="AD761" s="165" t="str">
        <v>EuriborSwapIfrFix39Y</v>
      </c>
      <c r="AE761" s="165" t="s">
        <v>632</v>
      </c>
      <c r="AF761" s="165">
        <f>_xll.ohObjectCreationTime(AE761)</f>
        <v>41709.402206840277</v>
      </c>
    </row>
    <row r="762" spans="30:32" x14ac:dyDescent="0.25">
      <c r="AD762" s="165" t="str">
        <v>EuriborSwapIfrFix3Y</v>
      </c>
      <c r="AE762" s="165" t="s">
        <v>1537</v>
      </c>
      <c r="AF762" s="165">
        <f>_xll.ohObjectCreationTime(AE762)</f>
        <v>41709.402207037034</v>
      </c>
    </row>
    <row r="763" spans="30:32" x14ac:dyDescent="0.25">
      <c r="AD763" s="165" t="str">
        <v>EuriborSwapIfrFix40Y</v>
      </c>
      <c r="AE763" s="165" t="s">
        <v>1534</v>
      </c>
      <c r="AF763" s="165">
        <f>_xll.ohObjectCreationTime(AE763)</f>
        <v>41709.402207071762</v>
      </c>
    </row>
    <row r="764" spans="30:32" x14ac:dyDescent="0.25">
      <c r="AD764" s="165" t="str">
        <v>EuriborSwapIfrFix41Y</v>
      </c>
      <c r="AE764" s="165" t="s">
        <v>382</v>
      </c>
      <c r="AF764" s="165">
        <f>_xll.ohObjectCreationTime(AE764)</f>
        <v>41709.402207118059</v>
      </c>
    </row>
    <row r="765" spans="30:32" x14ac:dyDescent="0.25">
      <c r="AD765" s="165" t="str">
        <v>EuriborSwapIfrFix42Y</v>
      </c>
      <c r="AE765" s="165" t="s">
        <v>1525</v>
      </c>
      <c r="AF765" s="165">
        <f>_xll.ohObjectCreationTime(AE765)</f>
        <v>41709.40220715278</v>
      </c>
    </row>
    <row r="766" spans="30:32" x14ac:dyDescent="0.25">
      <c r="AD766" s="165" t="str">
        <v>EuriborSwapIfrFix43Y</v>
      </c>
      <c r="AE766" s="165" t="s">
        <v>1427</v>
      </c>
      <c r="AF766" s="165">
        <f>_xll.ohObjectCreationTime(AE766)</f>
        <v>41709.402207199077</v>
      </c>
    </row>
    <row r="767" spans="30:32" x14ac:dyDescent="0.25">
      <c r="AD767" s="165" t="str">
        <v>EuriborSwapIfrFix44Y</v>
      </c>
      <c r="AE767" s="165" t="s">
        <v>1406</v>
      </c>
      <c r="AF767" s="165">
        <f>_xll.ohObjectCreationTime(AE767)</f>
        <v>41709.402207245374</v>
      </c>
    </row>
    <row r="768" spans="30:32" x14ac:dyDescent="0.25">
      <c r="AD768" s="165" t="str">
        <v>EuriborSwapIfrFix45Y</v>
      </c>
      <c r="AE768" s="165" t="s">
        <v>1515</v>
      </c>
      <c r="AF768" s="165">
        <f>_xll.ohObjectCreationTime(AE768)</f>
        <v>41709.402207280094</v>
      </c>
    </row>
    <row r="769" spans="30:32" x14ac:dyDescent="0.25">
      <c r="AD769" s="165" t="str">
        <v>EuriborSwapIfrFix46Y</v>
      </c>
      <c r="AE769" s="165" t="s">
        <v>1389</v>
      </c>
      <c r="AF769" s="165">
        <f>_xll.ohObjectCreationTime(AE769)</f>
        <v>41709.402207326391</v>
      </c>
    </row>
    <row r="770" spans="30:32" x14ac:dyDescent="0.25">
      <c r="AD770" s="165" t="str">
        <v>EuriborSwapIfrFix47Y</v>
      </c>
      <c r="AE770" s="165" t="s">
        <v>1553</v>
      </c>
      <c r="AF770" s="165">
        <f>_xll.ohObjectCreationTime(AE770)</f>
        <v>41709.402207372688</v>
      </c>
    </row>
    <row r="771" spans="30:32" x14ac:dyDescent="0.25">
      <c r="AD771" s="165" t="str">
        <v>EuriborSwapIfrFix48Y</v>
      </c>
      <c r="AE771" s="165" t="s">
        <v>712</v>
      </c>
      <c r="AF771" s="165">
        <f>_xll.ohObjectCreationTime(AE771)</f>
        <v>41709.402207407409</v>
      </c>
    </row>
    <row r="772" spans="30:32" x14ac:dyDescent="0.25">
      <c r="AD772" s="165" t="str">
        <v>EuriborSwapIfrFix49Y</v>
      </c>
      <c r="AE772" s="165" t="s">
        <v>1453</v>
      </c>
      <c r="AF772" s="165">
        <f>_xll.ohObjectCreationTime(AE772)</f>
        <v>41709.402207453706</v>
      </c>
    </row>
    <row r="773" spans="30:32" x14ac:dyDescent="0.25">
      <c r="AD773" s="165" t="str">
        <v>EuriborSwapIfrFix4Y</v>
      </c>
      <c r="AE773" s="165" t="s">
        <v>1391</v>
      </c>
      <c r="AF773" s="165">
        <f>_xll.ohObjectCreationTime(AE773)</f>
        <v>41709.402207500003</v>
      </c>
    </row>
    <row r="774" spans="30:32" x14ac:dyDescent="0.25">
      <c r="AD774" s="165" t="str">
        <v>EuriborSwapIfrFix50Y</v>
      </c>
      <c r="AE774" s="165" t="s">
        <v>1532</v>
      </c>
      <c r="AF774" s="165">
        <f>_xll.ohObjectCreationTime(AE774)</f>
        <v>41709.402207534724</v>
      </c>
    </row>
    <row r="775" spans="30:32" x14ac:dyDescent="0.25">
      <c r="AD775" s="165" t="str">
        <v>EuriborSwapIfrFix51Y</v>
      </c>
      <c r="AE775" s="165" t="s">
        <v>1488</v>
      </c>
      <c r="AF775" s="165">
        <f>_xll.ohObjectCreationTime(AE775)</f>
        <v>41709.402207581021</v>
      </c>
    </row>
    <row r="776" spans="30:32" x14ac:dyDescent="0.25">
      <c r="AD776" s="165" t="str">
        <v>EuriborSwapIfrFix52Y</v>
      </c>
      <c r="AE776" s="165" t="s">
        <v>1399</v>
      </c>
      <c r="AF776" s="165">
        <f>_xll.ohObjectCreationTime(AE776)</f>
        <v>41709.402207627318</v>
      </c>
    </row>
    <row r="777" spans="30:32" x14ac:dyDescent="0.25">
      <c r="AD777" s="165" t="str">
        <v>EuriborSwapIfrFix53Y</v>
      </c>
      <c r="AE777" s="165" t="s">
        <v>1509</v>
      </c>
      <c r="AF777" s="165">
        <f>_xll.ohObjectCreationTime(AE777)</f>
        <v>41709.402207662039</v>
      </c>
    </row>
    <row r="778" spans="30:32" x14ac:dyDescent="0.25">
      <c r="AD778" s="165" t="str">
        <v>EuriborSwapIfrFix54Y</v>
      </c>
      <c r="AE778" s="165" t="s">
        <v>1429</v>
      </c>
      <c r="AF778" s="165">
        <f>_xll.ohObjectCreationTime(AE778)</f>
        <v>41709.402207708335</v>
      </c>
    </row>
    <row r="779" spans="30:32" x14ac:dyDescent="0.25">
      <c r="AD779" s="165" t="str">
        <v>EuriborSwapIfrFix55Y</v>
      </c>
      <c r="AE779" s="165" t="s">
        <v>1464</v>
      </c>
      <c r="AF779" s="165">
        <f>_xll.ohObjectCreationTime(AE779)</f>
        <v>41709.402207754632</v>
      </c>
    </row>
    <row r="780" spans="30:32" x14ac:dyDescent="0.25">
      <c r="AD780" s="165" t="str">
        <v>EuriborSwapIfrFix56Y</v>
      </c>
      <c r="AE780" s="165" t="s">
        <v>1491</v>
      </c>
      <c r="AF780" s="165">
        <f>_xll.ohObjectCreationTime(AE780)</f>
        <v>41709.402207789353</v>
      </c>
    </row>
    <row r="781" spans="30:32" x14ac:dyDescent="0.25">
      <c r="AD781" s="165" t="str">
        <v>EuriborSwapIfrFix57Y</v>
      </c>
      <c r="AE781" s="165" t="s">
        <v>1370</v>
      </c>
      <c r="AF781" s="165">
        <f>_xll.ohObjectCreationTime(AE781)</f>
        <v>41709.40220783565</v>
      </c>
    </row>
    <row r="782" spans="30:32" x14ac:dyDescent="0.25">
      <c r="AD782" s="165" t="str">
        <v>EuriborSwapIfrFix58Y</v>
      </c>
      <c r="AE782" s="165" t="s">
        <v>1459</v>
      </c>
      <c r="AF782" s="165">
        <f>_xll.ohObjectCreationTime(AE782)</f>
        <v>41709.402207870371</v>
      </c>
    </row>
    <row r="783" spans="30:32" x14ac:dyDescent="0.25">
      <c r="AD783" s="165" t="str">
        <v>EuriborSwapIfrFix59Y</v>
      </c>
      <c r="AE783" s="165" t="s">
        <v>1375</v>
      </c>
      <c r="AF783" s="165">
        <f>_xll.ohObjectCreationTime(AE783)</f>
        <v>41709.402207916668</v>
      </c>
    </row>
    <row r="784" spans="30:32" x14ac:dyDescent="0.25">
      <c r="AD784" s="165" t="str">
        <v>EuriborSwapIfrFix5Y</v>
      </c>
      <c r="AE784" s="165" t="s">
        <v>1437</v>
      </c>
      <c r="AF784" s="165">
        <f>_xll.ohObjectCreationTime(AE784)</f>
        <v>41709.402207962965</v>
      </c>
    </row>
    <row r="785" spans="30:32" x14ac:dyDescent="0.25">
      <c r="AD785" s="165" t="str">
        <v>EuriborSwapIfrFix60Y</v>
      </c>
      <c r="AE785" s="165" t="s">
        <v>710</v>
      </c>
      <c r="AF785" s="165">
        <f>_xll.ohObjectCreationTime(AE785)</f>
        <v>41709.402207997686</v>
      </c>
    </row>
    <row r="786" spans="30:32" x14ac:dyDescent="0.25">
      <c r="AD786" s="165" t="str">
        <v>EuriborSwapIfrFix6Y</v>
      </c>
      <c r="AE786" s="165" t="s">
        <v>1410</v>
      </c>
      <c r="AF786" s="165">
        <f>_xll.ohObjectCreationTime(AE786)</f>
        <v>41709.402208043983</v>
      </c>
    </row>
    <row r="787" spans="30:32" x14ac:dyDescent="0.25">
      <c r="AD787" s="165" t="str">
        <v>EuriborSwapIfrFix7Y</v>
      </c>
      <c r="AE787" s="165" t="s">
        <v>1408</v>
      </c>
      <c r="AF787" s="165">
        <f>_xll.ohObjectCreationTime(AE787)</f>
        <v>41709.40220809028</v>
      </c>
    </row>
    <row r="788" spans="30:32" x14ac:dyDescent="0.25">
      <c r="AD788" s="165" t="str">
        <v>EuriborSwapIfrFix8Y</v>
      </c>
      <c r="AE788" s="165" t="s">
        <v>1500</v>
      </c>
      <c r="AF788" s="165">
        <f>_xll.ohObjectCreationTime(AE788)</f>
        <v>41709.402208125</v>
      </c>
    </row>
    <row r="789" spans="30:32" x14ac:dyDescent="0.25">
      <c r="AD789" s="165" t="str">
        <v>EuriborSwapIfrFix9Y</v>
      </c>
      <c r="AE789" s="165" t="s">
        <v>1465</v>
      </c>
      <c r="AF789" s="165">
        <f>_xll.ohObjectCreationTime(AE789)</f>
        <v>41709.402208171297</v>
      </c>
    </row>
    <row r="790" spans="30:32" x14ac:dyDescent="0.25">
      <c r="AD790" s="165" t="str">
        <v>EuriborSwapIsdaFixA10Y</v>
      </c>
      <c r="AE790" s="165" t="s">
        <v>1417</v>
      </c>
      <c r="AF790" s="165">
        <f>_xll.ohObjectCreationTime(AE790)</f>
        <v>41709.402208217594</v>
      </c>
    </row>
    <row r="791" spans="30:32" x14ac:dyDescent="0.25">
      <c r="AD791" s="165" t="str">
        <v>EuriborSwapIsdaFixA11Y</v>
      </c>
      <c r="AE791" s="165" t="s">
        <v>1548</v>
      </c>
      <c r="AF791" s="165">
        <f>_xll.ohObjectCreationTime(AE791)</f>
        <v>41709.402208252315</v>
      </c>
    </row>
    <row r="792" spans="30:32" x14ac:dyDescent="0.25">
      <c r="AD792" s="165" t="str">
        <v>EuriborSwapIsdaFixA12Y</v>
      </c>
      <c r="AE792" s="165" t="s">
        <v>1519</v>
      </c>
      <c r="AF792" s="165">
        <f>_xll.ohObjectCreationTime(AE792)</f>
        <v>41709.402208298612</v>
      </c>
    </row>
    <row r="793" spans="30:32" x14ac:dyDescent="0.25">
      <c r="AD793" s="165" t="str">
        <v>EuriborSwapIsdaFixA13Y</v>
      </c>
      <c r="AE793" s="165" t="s">
        <v>1409</v>
      </c>
      <c r="AF793" s="165">
        <f>_xll.ohObjectCreationTime(AE793)</f>
        <v>41709.402208344909</v>
      </c>
    </row>
    <row r="794" spans="30:32" x14ac:dyDescent="0.25">
      <c r="AD794" s="165" t="str">
        <v>EuriborSwapIsdaFixA14Y</v>
      </c>
      <c r="AE794" s="165" t="s">
        <v>1466</v>
      </c>
      <c r="AF794" s="165">
        <f>_xll.ohObjectCreationTime(AE794)</f>
        <v>41709.402208391206</v>
      </c>
    </row>
    <row r="795" spans="30:32" x14ac:dyDescent="0.25">
      <c r="AD795" s="165" t="str">
        <v>EuriborSwapIsdaFixA15Y</v>
      </c>
      <c r="AE795" s="165" t="s">
        <v>1444</v>
      </c>
      <c r="AF795" s="165">
        <f>_xll.ohObjectCreationTime(AE795)</f>
        <v>41709.402208425927</v>
      </c>
    </row>
    <row r="796" spans="30:32" x14ac:dyDescent="0.25">
      <c r="AD796" s="165" t="str">
        <v>EuriborSwapIsdaFixA16Y</v>
      </c>
      <c r="AE796" s="165" t="s">
        <v>1542</v>
      </c>
      <c r="AF796" s="165">
        <f>_xll.ohObjectCreationTime(AE796)</f>
        <v>41709.402208472224</v>
      </c>
    </row>
    <row r="797" spans="30:32" x14ac:dyDescent="0.25">
      <c r="AD797" s="165" t="str">
        <v>EuriborSwapIsdaFixA17Y</v>
      </c>
      <c r="AE797" s="165" t="s">
        <v>1371</v>
      </c>
      <c r="AF797" s="165">
        <f>_xll.ohObjectCreationTime(AE797)</f>
        <v>41709.402208506945</v>
      </c>
    </row>
    <row r="798" spans="30:32" x14ac:dyDescent="0.25">
      <c r="AD798" s="165" t="str">
        <v>EuriborSwapIsdaFixA18Y</v>
      </c>
      <c r="AE798" s="165" t="s">
        <v>1419</v>
      </c>
      <c r="AF798" s="165">
        <f>_xll.ohObjectCreationTime(AE798)</f>
        <v>41709.402208553242</v>
      </c>
    </row>
    <row r="799" spans="30:32" x14ac:dyDescent="0.25">
      <c r="AD799" s="165" t="str">
        <v>EuriborSwapIsdaFixA19Y</v>
      </c>
      <c r="AE799" s="165" t="s">
        <v>1512</v>
      </c>
      <c r="AF799" s="165">
        <f>_xll.ohObjectCreationTime(AE799)</f>
        <v>41709.402208599538</v>
      </c>
    </row>
    <row r="800" spans="30:32" x14ac:dyDescent="0.25">
      <c r="AD800" s="165" t="str">
        <v>EuriborSwapIsdaFixA1Y</v>
      </c>
      <c r="AE800" s="165" t="s">
        <v>1467</v>
      </c>
      <c r="AF800" s="165">
        <f>_xll.ohObjectCreationTime(AE800)</f>
        <v>41709.402208634259</v>
      </c>
    </row>
    <row r="801" spans="30:32" x14ac:dyDescent="0.25">
      <c r="AD801" s="165" t="str">
        <v>EuriborSwapIsdaFixA20Y</v>
      </c>
      <c r="AE801" s="165" t="s">
        <v>1411</v>
      </c>
      <c r="AF801" s="165">
        <f>_xll.ohObjectCreationTime(AE801)</f>
        <v>41709.402208680556</v>
      </c>
    </row>
    <row r="802" spans="30:32" x14ac:dyDescent="0.25">
      <c r="AD802" s="165" t="str">
        <v>EuriborSwapIsdaFixA21Y</v>
      </c>
      <c r="AE802" s="165" t="s">
        <v>1535</v>
      </c>
      <c r="AF802" s="165">
        <f>_xll.ohObjectCreationTime(AE802)</f>
        <v>41709.402208726853</v>
      </c>
    </row>
    <row r="803" spans="30:32" x14ac:dyDescent="0.25">
      <c r="AD803" s="165" t="str">
        <v>EuriborSwapIsdaFixA22Y</v>
      </c>
      <c r="AE803" s="165" t="s">
        <v>1373</v>
      </c>
      <c r="AF803" s="165">
        <f>_xll.ohObjectCreationTime(AE803)</f>
        <v>41709.402208761574</v>
      </c>
    </row>
    <row r="804" spans="30:32" x14ac:dyDescent="0.25">
      <c r="AD804" s="165" t="str">
        <v>EuriborSwapIsdaFixA23Y</v>
      </c>
      <c r="AE804" s="165" t="s">
        <v>1398</v>
      </c>
      <c r="AF804" s="165">
        <f>_xll.ohObjectCreationTime(AE804)</f>
        <v>41709.402208796295</v>
      </c>
    </row>
    <row r="805" spans="30:32" x14ac:dyDescent="0.25">
      <c r="AD805" s="165" t="str">
        <v>EuriborSwapIsdaFixA24Y</v>
      </c>
      <c r="AE805" s="165" t="s">
        <v>1426</v>
      </c>
      <c r="AF805" s="165">
        <f>_xll.ohObjectCreationTime(AE805)</f>
        <v>41709.402208842592</v>
      </c>
    </row>
    <row r="806" spans="30:32" x14ac:dyDescent="0.25">
      <c r="AD806" s="165" t="str">
        <v>EuriborSwapIsdaFixA25Y</v>
      </c>
      <c r="AE806" s="165" t="s">
        <v>1438</v>
      </c>
      <c r="AF806" s="165">
        <f>_xll.ohObjectCreationTime(AE806)</f>
        <v>41709.402208888889</v>
      </c>
    </row>
    <row r="807" spans="30:32" x14ac:dyDescent="0.25">
      <c r="AD807" s="165" t="str">
        <v>EuriborSwapIsdaFixA26Y</v>
      </c>
      <c r="AE807" s="165" t="s">
        <v>1544</v>
      </c>
      <c r="AF807" s="165">
        <f>_xll.ohObjectCreationTime(AE807)</f>
        <v>41709.40220892361</v>
      </c>
    </row>
    <row r="808" spans="30:32" x14ac:dyDescent="0.25">
      <c r="AD808" s="165" t="str">
        <v>EuriborSwapIsdaFixA27Y</v>
      </c>
      <c r="AE808" s="165" t="s">
        <v>1490</v>
      </c>
      <c r="AF808" s="165">
        <f>_xll.ohObjectCreationTime(AE808)</f>
        <v>41709.402208969906</v>
      </c>
    </row>
    <row r="809" spans="30:32" x14ac:dyDescent="0.25">
      <c r="AD809" s="165" t="str">
        <v>EuriborSwapIsdaFixA28Y</v>
      </c>
      <c r="AE809" s="165" t="s">
        <v>1436</v>
      </c>
      <c r="AF809" s="165">
        <f>_xll.ohObjectCreationTime(AE809)</f>
        <v>41709.402209016203</v>
      </c>
    </row>
    <row r="810" spans="30:32" x14ac:dyDescent="0.25">
      <c r="AD810" s="165" t="str">
        <v>EuriborSwapIsdaFixA29Y</v>
      </c>
      <c r="AE810" s="165" t="s">
        <v>1546</v>
      </c>
      <c r="AF810" s="165">
        <f>_xll.ohObjectCreationTime(AE810)</f>
        <v>41709.4022090625</v>
      </c>
    </row>
    <row r="811" spans="30:32" x14ac:dyDescent="0.25">
      <c r="AD811" s="165" t="str">
        <v>EuriborSwapIsdaFixA2Y</v>
      </c>
      <c r="AE811" s="165" t="s">
        <v>1503</v>
      </c>
      <c r="AF811" s="165">
        <f>_xll.ohObjectCreationTime(AE811)</f>
        <v>41709.402209097221</v>
      </c>
    </row>
    <row r="812" spans="30:32" x14ac:dyDescent="0.25">
      <c r="AD812" s="165" t="str">
        <v>EuriborSwapIsdaFixA30Y</v>
      </c>
      <c r="AE812" s="165" t="s">
        <v>1497</v>
      </c>
      <c r="AF812" s="165">
        <f>_xll.ohObjectCreationTime(AE812)</f>
        <v>41709.402209143518</v>
      </c>
    </row>
    <row r="813" spans="30:32" x14ac:dyDescent="0.25">
      <c r="AD813" s="165" t="str">
        <v>EuriborSwapIsdaFixA31Y</v>
      </c>
      <c r="AE813" s="165" t="s">
        <v>1484</v>
      </c>
      <c r="AF813" s="165">
        <f>_xll.ohObjectCreationTime(AE813)</f>
        <v>41709.402209189815</v>
      </c>
    </row>
    <row r="814" spans="30:32" x14ac:dyDescent="0.25">
      <c r="AD814" s="165" t="str">
        <v>EuriborSwapIsdaFixA32Y</v>
      </c>
      <c r="AE814" s="165" t="s">
        <v>1545</v>
      </c>
      <c r="AF814" s="165">
        <f>_xll.ohObjectCreationTime(AE814)</f>
        <v>41709.402209224536</v>
      </c>
    </row>
    <row r="815" spans="30:32" x14ac:dyDescent="0.25">
      <c r="AD815" s="165" t="str">
        <v>EuriborSwapIsdaFixA33Y</v>
      </c>
      <c r="AE815" s="165" t="s">
        <v>1363</v>
      </c>
      <c r="AF815" s="165">
        <f>_xll.ohObjectCreationTime(AE815)</f>
        <v>41709.402209270833</v>
      </c>
    </row>
    <row r="816" spans="30:32" x14ac:dyDescent="0.25">
      <c r="AD816" s="165" t="str">
        <v>EuriborSwapIsdaFixA34Y</v>
      </c>
      <c r="AE816" s="165" t="s">
        <v>1520</v>
      </c>
      <c r="AF816" s="165">
        <f>_xll.ohObjectCreationTime(AE816)</f>
        <v>41709.402209305554</v>
      </c>
    </row>
    <row r="817" spans="30:32" x14ac:dyDescent="0.25">
      <c r="AD817" s="165" t="str">
        <v>EuriborSwapIsdaFixA35Y</v>
      </c>
      <c r="AE817" s="165" t="s">
        <v>1393</v>
      </c>
      <c r="AF817" s="165">
        <f>_xll.ohObjectCreationTime(AE817)</f>
        <v>41709.402209351851</v>
      </c>
    </row>
    <row r="818" spans="30:32" x14ac:dyDescent="0.25">
      <c r="AD818" s="165" t="str">
        <v>EuriborSwapIsdaFixA36Y</v>
      </c>
      <c r="AE818" s="165" t="s">
        <v>1377</v>
      </c>
      <c r="AF818" s="165">
        <f>_xll.ohObjectCreationTime(AE818)</f>
        <v>41709.402209398148</v>
      </c>
    </row>
    <row r="819" spans="30:32" x14ac:dyDescent="0.25">
      <c r="AD819" s="165" t="str">
        <v>EuriborSwapIsdaFixA37Y</v>
      </c>
      <c r="AE819" s="165" t="s">
        <v>1405</v>
      </c>
      <c r="AF819" s="165">
        <f>_xll.ohObjectCreationTime(AE819)</f>
        <v>41709.402209432868</v>
      </c>
    </row>
    <row r="820" spans="30:32" x14ac:dyDescent="0.25">
      <c r="AD820" s="165" t="str">
        <v>EuriborSwapIsdaFixA38Y</v>
      </c>
      <c r="AE820" s="165" t="s">
        <v>1527</v>
      </c>
      <c r="AF820" s="165">
        <f>_xll.ohObjectCreationTime(AE820)</f>
        <v>41709.402209479165</v>
      </c>
    </row>
    <row r="821" spans="30:32" x14ac:dyDescent="0.25">
      <c r="AD821" s="165" t="str">
        <v>EuriborSwapIsdaFixA39Y</v>
      </c>
      <c r="AE821" s="165" t="s">
        <v>1477</v>
      </c>
      <c r="AF821" s="165">
        <f>_xll.ohObjectCreationTime(AE821)</f>
        <v>41709.402209525462</v>
      </c>
    </row>
    <row r="822" spans="30:32" x14ac:dyDescent="0.25">
      <c r="AD822" s="165" t="str">
        <v>EuriborSwapIsdaFixA3Y</v>
      </c>
      <c r="AE822" s="165" t="s">
        <v>1523</v>
      </c>
      <c r="AF822" s="165">
        <f>_xll.ohObjectCreationTime(AE822)</f>
        <v>41709.402209560183</v>
      </c>
    </row>
    <row r="823" spans="30:32" x14ac:dyDescent="0.25">
      <c r="AD823" s="165" t="str">
        <v>EuriborSwapIsdaFixA40Y</v>
      </c>
      <c r="AE823" s="165" t="s">
        <v>1476</v>
      </c>
      <c r="AF823" s="165">
        <f>_xll.ohObjectCreationTime(AE823)</f>
        <v>41709.40220960648</v>
      </c>
    </row>
    <row r="824" spans="30:32" x14ac:dyDescent="0.25">
      <c r="AD824" s="165" t="str">
        <v>EuriborSwapIsdaFixA41Y</v>
      </c>
      <c r="AE824" s="165" t="s">
        <v>541</v>
      </c>
      <c r="AF824" s="165">
        <f>_xll.ohObjectCreationTime(AE824)</f>
        <v>41709.402209652777</v>
      </c>
    </row>
    <row r="825" spans="30:32" x14ac:dyDescent="0.25">
      <c r="AD825" s="165" t="str">
        <v>EuriborSwapIsdaFixA42Y</v>
      </c>
      <c r="AE825" s="165" t="s">
        <v>1541</v>
      </c>
      <c r="AF825" s="165">
        <f>_xll.ohObjectCreationTime(AE825)</f>
        <v>41709.402209687498</v>
      </c>
    </row>
    <row r="826" spans="30:32" x14ac:dyDescent="0.25">
      <c r="AD826" s="165" t="str">
        <v>EuriborSwapIsdaFixA43Y</v>
      </c>
      <c r="AE826" s="165" t="s">
        <v>1384</v>
      </c>
      <c r="AF826" s="165">
        <f>_xll.ohObjectCreationTime(AE826)</f>
        <v>41709.402209733795</v>
      </c>
    </row>
    <row r="827" spans="30:32" x14ac:dyDescent="0.25">
      <c r="AD827" s="165" t="str">
        <v>EuriborSwapIsdaFixA44Y</v>
      </c>
      <c r="AE827" s="165" t="s">
        <v>1518</v>
      </c>
      <c r="AF827" s="165">
        <f>_xll.ohObjectCreationTime(AE827)</f>
        <v>41709.402209780092</v>
      </c>
    </row>
    <row r="828" spans="30:32" x14ac:dyDescent="0.25">
      <c r="AD828" s="165" t="str">
        <v>EuriborSwapIsdaFixA45Y</v>
      </c>
      <c r="AE828" s="165" t="s">
        <v>1554</v>
      </c>
      <c r="AF828" s="165">
        <f>_xll.ohObjectCreationTime(AE828)</f>
        <v>41709.402209826389</v>
      </c>
    </row>
    <row r="829" spans="30:32" x14ac:dyDescent="0.25">
      <c r="AD829" s="165" t="str">
        <v>EuriborSwapIsdaFixA46Y</v>
      </c>
      <c r="AE829" s="165" t="s">
        <v>1461</v>
      </c>
      <c r="AF829" s="165">
        <f>_xll.ohObjectCreationTime(AE829)</f>
        <v>41709.402209872685</v>
      </c>
    </row>
    <row r="830" spans="30:32" x14ac:dyDescent="0.25">
      <c r="AD830" s="165" t="str">
        <v>EuriborSwapIsdaFixA47Y</v>
      </c>
      <c r="AE830" s="165" t="s">
        <v>1463</v>
      </c>
      <c r="AF830" s="165">
        <f>_xll.ohObjectCreationTime(AE830)</f>
        <v>41709.402209907406</v>
      </c>
    </row>
    <row r="831" spans="30:32" x14ac:dyDescent="0.25">
      <c r="AD831" s="165" t="str">
        <v>EuriborSwapIsdaFixA48Y</v>
      </c>
      <c r="AE831" s="165" t="s">
        <v>1362</v>
      </c>
      <c r="AF831" s="165">
        <f>_xll.ohObjectCreationTime(AE831)</f>
        <v>41709.402209953703</v>
      </c>
    </row>
    <row r="832" spans="30:32" x14ac:dyDescent="0.25">
      <c r="AD832" s="165" t="str">
        <v>EuriborSwapIsdaFixA49Y</v>
      </c>
      <c r="AE832" s="165" t="s">
        <v>1431</v>
      </c>
      <c r="AF832" s="165">
        <f>_xll.ohObjectCreationTime(AE832)</f>
        <v>41709.40221</v>
      </c>
    </row>
    <row r="833" spans="30:32" x14ac:dyDescent="0.25">
      <c r="AD833" s="165" t="str">
        <v>EuriborSwapIsdaFixA4Y</v>
      </c>
      <c r="AE833" s="165" t="s">
        <v>1425</v>
      </c>
      <c r="AF833" s="165">
        <f>_xll.ohObjectCreationTime(AE833)</f>
        <v>41709.402210046297</v>
      </c>
    </row>
    <row r="834" spans="30:32" x14ac:dyDescent="0.25">
      <c r="AD834" s="165" t="str">
        <v>EuriborSwapIsdaFixA50Y</v>
      </c>
      <c r="AE834" s="165" t="s">
        <v>1522</v>
      </c>
      <c r="AF834" s="165">
        <f>_xll.ohObjectCreationTime(AE834)</f>
        <v>41709.402210081018</v>
      </c>
    </row>
    <row r="835" spans="30:32" x14ac:dyDescent="0.25">
      <c r="AD835" s="165" t="str">
        <v>EuriborSwapIsdaFixA51Y</v>
      </c>
      <c r="AE835" s="165" t="s">
        <v>1361</v>
      </c>
      <c r="AF835" s="165">
        <f>_xll.ohObjectCreationTime(AE835)</f>
        <v>41709.402210127315</v>
      </c>
    </row>
    <row r="836" spans="30:32" x14ac:dyDescent="0.25">
      <c r="AD836" s="165" t="str">
        <v>EuriborSwapIsdaFixA52Y</v>
      </c>
      <c r="AE836" s="165" t="s">
        <v>1432</v>
      </c>
      <c r="AF836" s="165">
        <f>_xll.ohObjectCreationTime(AE836)</f>
        <v>41709.402210173612</v>
      </c>
    </row>
    <row r="837" spans="30:32" x14ac:dyDescent="0.25">
      <c r="AD837" s="165" t="str">
        <v>EuriborSwapIsdaFixA53Y</v>
      </c>
      <c r="AE837" s="165" t="s">
        <v>1415</v>
      </c>
      <c r="AF837" s="165">
        <f>_xll.ohObjectCreationTime(AE837)</f>
        <v>41709.402210208333</v>
      </c>
    </row>
    <row r="838" spans="30:32" x14ac:dyDescent="0.25">
      <c r="AD838" s="165" t="str">
        <v>EuriborSwapIsdaFixA54Y</v>
      </c>
      <c r="AE838" s="165" t="s">
        <v>1451</v>
      </c>
      <c r="AF838" s="165">
        <f>_xll.ohObjectCreationTime(AE838)</f>
        <v>41709.40221025463</v>
      </c>
    </row>
    <row r="839" spans="30:32" x14ac:dyDescent="0.25">
      <c r="AD839" s="165" t="str">
        <v>EuriborSwapIsdaFixA55Y</v>
      </c>
      <c r="AE839" s="165" t="s">
        <v>1372</v>
      </c>
      <c r="AF839" s="165">
        <f>_xll.ohObjectCreationTime(AE839)</f>
        <v>41709.402210300927</v>
      </c>
    </row>
    <row r="840" spans="30:32" x14ac:dyDescent="0.25">
      <c r="AD840" s="165" t="str">
        <v>EuriborSwapIsdaFixA56Y</v>
      </c>
      <c r="AE840" s="165" t="s">
        <v>1533</v>
      </c>
      <c r="AF840" s="165">
        <f>_xll.ohObjectCreationTime(AE840)</f>
        <v>41709.402210335647</v>
      </c>
    </row>
    <row r="841" spans="30:32" x14ac:dyDescent="0.25">
      <c r="AD841" s="165" t="str">
        <v>EuriborSwapIsdaFixA57Y</v>
      </c>
      <c r="AE841" s="165" t="s">
        <v>597</v>
      </c>
      <c r="AF841" s="165">
        <f>_xll.ohObjectCreationTime(AE841)</f>
        <v>41709.402210381944</v>
      </c>
    </row>
    <row r="842" spans="30:32" x14ac:dyDescent="0.25">
      <c r="AD842" s="165" t="str">
        <v>EuriborSwapIsdaFixA58Y</v>
      </c>
      <c r="AE842" s="165" t="s">
        <v>1402</v>
      </c>
      <c r="AF842" s="165">
        <f>_xll.ohObjectCreationTime(AE842)</f>
        <v>41709.402210428241</v>
      </c>
    </row>
    <row r="843" spans="30:32" x14ac:dyDescent="0.25">
      <c r="AD843" s="165" t="str">
        <v>EuriborSwapIsdaFixA59Y</v>
      </c>
      <c r="AE843" s="165" t="s">
        <v>539</v>
      </c>
      <c r="AF843" s="165">
        <f>_xll.ohObjectCreationTime(AE843)</f>
        <v>41709.402210462962</v>
      </c>
    </row>
    <row r="844" spans="30:32" x14ac:dyDescent="0.25">
      <c r="AD844" s="165" t="str">
        <v>EuriborSwapIsdaFixA5Y</v>
      </c>
      <c r="AE844" s="165" t="s">
        <v>1386</v>
      </c>
      <c r="AF844" s="165">
        <f>_xll.ohObjectCreationTime(AE844)</f>
        <v>41709.402210509259</v>
      </c>
    </row>
    <row r="845" spans="30:32" x14ac:dyDescent="0.25">
      <c r="AD845" s="165" t="str">
        <v>EuriborSwapIsdaFixA60Y</v>
      </c>
      <c r="AE845" s="165" t="s">
        <v>1397</v>
      </c>
      <c r="AF845" s="165">
        <f>_xll.ohObjectCreationTime(AE845)</f>
        <v>41709.40221054398</v>
      </c>
    </row>
    <row r="846" spans="30:32" x14ac:dyDescent="0.25">
      <c r="AD846" s="165" t="str">
        <v>EuriborSwapIsdaFixA6Y</v>
      </c>
      <c r="AE846" s="165" t="s">
        <v>1454</v>
      </c>
      <c r="AF846" s="165">
        <f>_xll.ohObjectCreationTime(AE846)</f>
        <v>41709.402210590277</v>
      </c>
    </row>
    <row r="847" spans="30:32" x14ac:dyDescent="0.25">
      <c r="AD847" s="165" t="str">
        <v>EuriborSwapIsdaFixA7Y</v>
      </c>
      <c r="AE847" s="165" t="s">
        <v>1381</v>
      </c>
      <c r="AF847" s="165">
        <f>_xll.ohObjectCreationTime(AE847)</f>
        <v>41709.402210636574</v>
      </c>
    </row>
    <row r="848" spans="30:32" x14ac:dyDescent="0.25">
      <c r="AD848" s="165" t="str">
        <v>EuriborSwapIsdaFixA8Y</v>
      </c>
      <c r="AE848" s="165" t="s">
        <v>1378</v>
      </c>
      <c r="AF848" s="165">
        <f>_xll.ohObjectCreationTime(AE848)</f>
        <v>41709.402210671295</v>
      </c>
    </row>
    <row r="849" spans="30:32" x14ac:dyDescent="0.25">
      <c r="AD849" s="165" t="str">
        <v>EuriborSwapIsdaFixA9Y</v>
      </c>
      <c r="AE849" s="165" t="s">
        <v>1460</v>
      </c>
      <c r="AF849" s="165">
        <f>_xll.ohObjectCreationTime(AE849)</f>
        <v>41709.402210717592</v>
      </c>
    </row>
    <row r="850" spans="30:32" x14ac:dyDescent="0.25">
      <c r="AD850" s="165" t="str">
        <v>EuriborSwapIsdaFixB10Y</v>
      </c>
      <c r="AE850" s="165" t="s">
        <v>1388</v>
      </c>
      <c r="AF850" s="165">
        <f>_xll.ohObjectCreationTime(AE850)</f>
        <v>41709.402210763888</v>
      </c>
    </row>
    <row r="851" spans="30:32" x14ac:dyDescent="0.25">
      <c r="AD851" s="165" t="str">
        <v>EuriborSwapIsdaFixB11Y</v>
      </c>
      <c r="AE851" s="165" t="s">
        <v>1441</v>
      </c>
      <c r="AF851" s="165">
        <f>_xll.ohObjectCreationTime(AE851)</f>
        <v>41709.402210798609</v>
      </c>
    </row>
    <row r="852" spans="30:32" x14ac:dyDescent="0.25">
      <c r="AD852" s="165" t="str">
        <v>EuriborSwapIsdaFixB12Y</v>
      </c>
      <c r="AE852" s="165" t="s">
        <v>1468</v>
      </c>
      <c r="AF852" s="165">
        <f>_xll.ohObjectCreationTime(AE852)</f>
        <v>41709.402210844906</v>
      </c>
    </row>
    <row r="853" spans="30:32" x14ac:dyDescent="0.25">
      <c r="AD853" s="165" t="str">
        <v>EuriborSwapIsdaFixB13Y</v>
      </c>
      <c r="AE853" s="165" t="s">
        <v>1479</v>
      </c>
      <c r="AF853" s="165">
        <f>_xll.ohObjectCreationTime(AE853)</f>
        <v>41709.402210891203</v>
      </c>
    </row>
    <row r="854" spans="30:32" x14ac:dyDescent="0.25">
      <c r="AD854" s="165" t="str">
        <v>EuriborSwapIsdaFixB14Y</v>
      </c>
      <c r="AE854" s="165" t="s">
        <v>1456</v>
      </c>
      <c r="AF854" s="165">
        <f>_xll.ohObjectCreationTime(AE854)</f>
        <v>41709.4022109375</v>
      </c>
    </row>
    <row r="855" spans="30:32" x14ac:dyDescent="0.25">
      <c r="AD855" s="165" t="str">
        <v>EuriborSwapIsdaFixB15Y</v>
      </c>
      <c r="AE855" s="165" t="s">
        <v>1473</v>
      </c>
      <c r="AF855" s="165">
        <f>_xll.ohObjectCreationTime(AE855)</f>
        <v>41709.402210972221</v>
      </c>
    </row>
    <row r="856" spans="30:32" x14ac:dyDescent="0.25">
      <c r="AD856" s="165" t="str">
        <v>EuriborSwapIsdaFixB16Y</v>
      </c>
      <c r="AE856" s="165" t="s">
        <v>1374</v>
      </c>
      <c r="AF856" s="165">
        <f>_xll.ohObjectCreationTime(AE856)</f>
        <v>41709.402211018518</v>
      </c>
    </row>
    <row r="857" spans="30:32" x14ac:dyDescent="0.25">
      <c r="AD857" s="165" t="str">
        <v>EuriborSwapIsdaFixB17Y</v>
      </c>
      <c r="AE857" s="165" t="s">
        <v>1455</v>
      </c>
      <c r="AF857" s="165">
        <f>_xll.ohObjectCreationTime(AE857)</f>
        <v>41709.402211064815</v>
      </c>
    </row>
    <row r="858" spans="30:32" x14ac:dyDescent="0.25">
      <c r="AD858" s="165" t="str">
        <v>EuriborSwapIsdaFixB18Y</v>
      </c>
      <c r="AE858" s="165" t="s">
        <v>1442</v>
      </c>
      <c r="AF858" s="165">
        <f>_xll.ohObjectCreationTime(AE858)</f>
        <v>41709.402211099536</v>
      </c>
    </row>
    <row r="859" spans="30:32" x14ac:dyDescent="0.25">
      <c r="AD859" s="165" t="str">
        <v>EuriborSwapIsdaFixB19Y</v>
      </c>
      <c r="AE859" s="165" t="s">
        <v>1516</v>
      </c>
      <c r="AF859" s="165">
        <f>_xll.ohObjectCreationTime(AE859)</f>
        <v>41709.402211145833</v>
      </c>
    </row>
    <row r="860" spans="30:32" x14ac:dyDescent="0.25">
      <c r="AD860" s="165" t="str">
        <v>EuriborSwapIsdaFixB1Y</v>
      </c>
      <c r="AE860" s="165" t="s">
        <v>1526</v>
      </c>
      <c r="AF860" s="165">
        <f>_xll.ohObjectCreationTime(AE860)</f>
        <v>41709.402211192129</v>
      </c>
    </row>
    <row r="861" spans="30:32" x14ac:dyDescent="0.25">
      <c r="AD861" s="165" t="str">
        <v>EuriborSwapIsdaFixB20Y</v>
      </c>
      <c r="AE861" s="165" t="s">
        <v>1462</v>
      </c>
      <c r="AF861" s="165">
        <f>_xll.ohObjectCreationTime(AE861)</f>
        <v>41709.402211238426</v>
      </c>
    </row>
    <row r="862" spans="30:32" x14ac:dyDescent="0.25">
      <c r="AD862" s="165" t="str">
        <v>EuriborSwapIsdaFixB21Y</v>
      </c>
      <c r="AE862" s="165" t="s">
        <v>1366</v>
      </c>
      <c r="AF862" s="165">
        <f>_xll.ohObjectCreationTime(AE862)</f>
        <v>41709.402211284723</v>
      </c>
    </row>
    <row r="863" spans="30:32" x14ac:dyDescent="0.25">
      <c r="AD863" s="165" t="str">
        <v>EuriborSwapIsdaFixB22Y</v>
      </c>
      <c r="AE863" s="165" t="s">
        <v>1382</v>
      </c>
      <c r="AF863" s="165">
        <f>_xll.ohObjectCreationTime(AE863)</f>
        <v>41709.40221133102</v>
      </c>
    </row>
    <row r="864" spans="30:32" x14ac:dyDescent="0.25">
      <c r="AD864" s="165" t="str">
        <v>EuriborSwapIsdaFixB23Y</v>
      </c>
      <c r="AE864" s="165" t="s">
        <v>1555</v>
      </c>
      <c r="AF864" s="165">
        <f>_xll.ohObjectCreationTime(AE864)</f>
        <v>41709.402211365741</v>
      </c>
    </row>
    <row r="865" spans="30:32" x14ac:dyDescent="0.25">
      <c r="AD865" s="165" t="str">
        <v>EuriborSwapIsdaFixB24Y</v>
      </c>
      <c r="AE865" s="165" t="s">
        <v>1404</v>
      </c>
      <c r="AF865" s="165">
        <f>_xll.ohObjectCreationTime(AE865)</f>
        <v>41709.402211412038</v>
      </c>
    </row>
    <row r="866" spans="30:32" x14ac:dyDescent="0.25">
      <c r="AD866" s="165" t="str">
        <v>EuriborSwapIsdaFixB25Y</v>
      </c>
      <c r="AE866" s="165" t="s">
        <v>1495</v>
      </c>
      <c r="AF866" s="165">
        <f>_xll.ohObjectCreationTime(AE866)</f>
        <v>41709.402211458335</v>
      </c>
    </row>
    <row r="867" spans="30:32" x14ac:dyDescent="0.25">
      <c r="AD867" s="165" t="str">
        <v>EuriborSwapIsdaFixB26Y</v>
      </c>
      <c r="AE867" s="165" t="s">
        <v>1434</v>
      </c>
      <c r="AF867" s="165">
        <f>_xll.ohObjectCreationTime(AE867)</f>
        <v>41709.402211504632</v>
      </c>
    </row>
    <row r="868" spans="30:32" x14ac:dyDescent="0.25">
      <c r="AD868" s="165" t="str">
        <v>EuriborSwapIsdaFixB27Y</v>
      </c>
      <c r="AE868" s="165" t="s">
        <v>1421</v>
      </c>
      <c r="AF868" s="165">
        <f>_xll.ohObjectCreationTime(AE868)</f>
        <v>41709.402211550929</v>
      </c>
    </row>
    <row r="869" spans="30:32" x14ac:dyDescent="0.25">
      <c r="AD869" s="165" t="str">
        <v>EuriborSwapIsdaFixB28Y</v>
      </c>
      <c r="AE869" s="165" t="s">
        <v>1536</v>
      </c>
      <c r="AF869" s="165">
        <f>_xll.ohObjectCreationTime(AE869)</f>
        <v>41709.402211597226</v>
      </c>
    </row>
    <row r="870" spans="30:32" x14ac:dyDescent="0.25">
      <c r="AD870" s="165" t="str">
        <v>EuriborSwapIsdaFixB29Y</v>
      </c>
      <c r="AE870" s="165" t="s">
        <v>1486</v>
      </c>
      <c r="AF870" s="165">
        <f>_xll.ohObjectCreationTime(AE870)</f>
        <v>41709.402211631947</v>
      </c>
    </row>
    <row r="871" spans="30:32" x14ac:dyDescent="0.25">
      <c r="AD871" s="165" t="str">
        <v>EuriborSwapIsdaFixB2Y</v>
      </c>
      <c r="AE871" s="165" t="s">
        <v>1485</v>
      </c>
      <c r="AF871" s="165">
        <f>_xll.ohObjectCreationTime(AE871)</f>
        <v>41709.402211678243</v>
      </c>
    </row>
    <row r="872" spans="30:32" x14ac:dyDescent="0.25">
      <c r="AD872" s="165" t="str">
        <v>EuriborSwapIsdaFixB30Y</v>
      </c>
      <c r="AE872" s="165" t="s">
        <v>1529</v>
      </c>
      <c r="AF872" s="165">
        <f>_xll.ohObjectCreationTime(AE872)</f>
        <v>41709.40221172454</v>
      </c>
    </row>
    <row r="873" spans="30:32" x14ac:dyDescent="0.25">
      <c r="AD873" s="165" t="str">
        <v>EuriborSwapIsdaFixB31Y</v>
      </c>
      <c r="AE873" s="165" t="s">
        <v>1407</v>
      </c>
      <c r="AF873" s="165">
        <f>_xll.ohObjectCreationTime(AE873)</f>
        <v>41709.40221177083</v>
      </c>
    </row>
    <row r="874" spans="30:32" x14ac:dyDescent="0.25">
      <c r="AD874" s="165" t="str">
        <v>EuriborSwapIsdaFixB32Y</v>
      </c>
      <c r="AE874" s="165" t="s">
        <v>1413</v>
      </c>
      <c r="AF874" s="165">
        <f>_xll.ohObjectCreationTime(AE874)</f>
        <v>41709.402211805558</v>
      </c>
    </row>
    <row r="875" spans="30:32" x14ac:dyDescent="0.25">
      <c r="AD875" s="165" t="str">
        <v>EuriborSwapIsdaFixB33Y</v>
      </c>
      <c r="AE875" s="165" t="s">
        <v>1447</v>
      </c>
      <c r="AF875" s="165">
        <f>_xll.ohObjectCreationTime(AE875)</f>
        <v>41709.402211851855</v>
      </c>
    </row>
    <row r="876" spans="30:32" x14ac:dyDescent="0.25">
      <c r="AD876" s="165" t="str">
        <v>EuriborSwapIsdaFixB34Y</v>
      </c>
      <c r="AE876" s="165" t="s">
        <v>1499</v>
      </c>
      <c r="AF876" s="165">
        <f>_xll.ohObjectCreationTime(AE876)</f>
        <v>41709.402211898145</v>
      </c>
    </row>
    <row r="877" spans="30:32" x14ac:dyDescent="0.25">
      <c r="AD877" s="165" t="str">
        <v>EuriborSwapIsdaFixB35Y</v>
      </c>
      <c r="AE877" s="165" t="s">
        <v>1414</v>
      </c>
      <c r="AF877" s="165">
        <f>_xll.ohObjectCreationTime(AE877)</f>
        <v>41709.402211944442</v>
      </c>
    </row>
    <row r="878" spans="30:32" x14ac:dyDescent="0.25">
      <c r="AD878" s="165" t="str">
        <v>EuriborSwapIsdaFixB36Y</v>
      </c>
      <c r="AE878" s="165" t="s">
        <v>1483</v>
      </c>
      <c r="AF878" s="165">
        <f>_xll.ohObjectCreationTime(AE878)</f>
        <v>41709.40221197917</v>
      </c>
    </row>
    <row r="879" spans="30:32" x14ac:dyDescent="0.25">
      <c r="AD879" s="165" t="str">
        <v>EuriborSwapIsdaFixB37Y</v>
      </c>
      <c r="AE879" s="165" t="s">
        <v>1449</v>
      </c>
      <c r="AF879" s="165">
        <f>_xll.ohObjectCreationTime(AE879)</f>
        <v>41709.402212025459</v>
      </c>
    </row>
    <row r="880" spans="30:32" x14ac:dyDescent="0.25">
      <c r="AD880" s="165" t="str">
        <v>EuriborSwapIsdaFixB38Y</v>
      </c>
      <c r="AE880" s="165" t="s">
        <v>1457</v>
      </c>
      <c r="AF880" s="165">
        <f>_xll.ohObjectCreationTime(AE880)</f>
        <v>41709.402212071756</v>
      </c>
    </row>
    <row r="881" spans="30:32" x14ac:dyDescent="0.25">
      <c r="AD881" s="165" t="str">
        <v>EuriborSwapIsdaFixB39Y</v>
      </c>
      <c r="AE881" s="165" t="s">
        <v>1474</v>
      </c>
      <c r="AF881" s="165">
        <f>_xll.ohObjectCreationTime(AE881)</f>
        <v>41709.402212118053</v>
      </c>
    </row>
    <row r="882" spans="30:32" x14ac:dyDescent="0.25">
      <c r="AD882" s="165" t="str">
        <v>EuriborSwapIsdaFixB3Y</v>
      </c>
      <c r="AE882" s="165" t="s">
        <v>1538</v>
      </c>
      <c r="AF882" s="165">
        <f>_xll.ohObjectCreationTime(AE882)</f>
        <v>41709.40221216435</v>
      </c>
    </row>
    <row r="883" spans="30:32" x14ac:dyDescent="0.25">
      <c r="AD883" s="165" t="str">
        <v>EuriborSwapIsdaFixB40Y</v>
      </c>
      <c r="AE883" s="165" t="s">
        <v>1513</v>
      </c>
      <c r="AF883" s="165">
        <f>_xll.ohObjectCreationTime(AE883)</f>
        <v>41709.402212222223</v>
      </c>
    </row>
    <row r="884" spans="30:32" x14ac:dyDescent="0.25">
      <c r="AD884" s="165" t="str">
        <v>EuriborSwapIsdaFixB41Y</v>
      </c>
      <c r="AE884" s="165" t="s">
        <v>634</v>
      </c>
      <c r="AF884" s="165">
        <f>_xll.ohObjectCreationTime(AE884)</f>
        <v>41709.40221226852</v>
      </c>
    </row>
    <row r="885" spans="30:32" x14ac:dyDescent="0.25">
      <c r="AD885" s="165" t="str">
        <v>EuriborSwapIsdaFixB42Y</v>
      </c>
      <c r="AE885" s="165" t="s">
        <v>1379</v>
      </c>
      <c r="AF885" s="165">
        <f>_xll.ohObjectCreationTime(AE885)</f>
        <v>41709.402212314817</v>
      </c>
    </row>
    <row r="886" spans="30:32" x14ac:dyDescent="0.25">
      <c r="AD886" s="165" t="str">
        <v>EuriborSwapIsdaFixB43Y</v>
      </c>
      <c r="AE886" s="165" t="s">
        <v>1550</v>
      </c>
      <c r="AF886" s="165">
        <f>_xll.ohObjectCreationTime(AE886)</f>
        <v>41709.402212349538</v>
      </c>
    </row>
    <row r="887" spans="30:32" x14ac:dyDescent="0.25">
      <c r="AD887" s="165" t="str">
        <v>EuriborSwapIsdaFixB44Y</v>
      </c>
      <c r="AE887" s="165" t="s">
        <v>1365</v>
      </c>
      <c r="AF887" s="165">
        <f>_xll.ohObjectCreationTime(AE887)</f>
        <v>41709.402212395835</v>
      </c>
    </row>
    <row r="888" spans="30:32" x14ac:dyDescent="0.25">
      <c r="AD888" s="165" t="str">
        <v>EuriborSwapIsdaFixB45Y</v>
      </c>
      <c r="AE888" s="165" t="s">
        <v>1510</v>
      </c>
      <c r="AF888" s="165">
        <f>_xll.ohObjectCreationTime(AE888)</f>
        <v>41709.402212442132</v>
      </c>
    </row>
    <row r="889" spans="30:32" x14ac:dyDescent="0.25">
      <c r="AD889" s="165" t="str">
        <v>EuriborSwapIsdaFixB46Y</v>
      </c>
      <c r="AE889" s="165" t="s">
        <v>1367</v>
      </c>
      <c r="AF889" s="165">
        <f>_xll.ohObjectCreationTime(AE889)</f>
        <v>41709.402212476853</v>
      </c>
    </row>
    <row r="890" spans="30:32" x14ac:dyDescent="0.25">
      <c r="AD890" s="165" t="str">
        <v>EuriborSwapIsdaFixB47Y</v>
      </c>
      <c r="AE890" s="165" t="s">
        <v>1412</v>
      </c>
      <c r="AF890" s="165">
        <f>_xll.ohObjectCreationTime(AE890)</f>
        <v>41709.40221252315</v>
      </c>
    </row>
    <row r="891" spans="30:32" x14ac:dyDescent="0.25">
      <c r="AD891" s="165" t="str">
        <v>EuriborSwapIsdaFixB48Y</v>
      </c>
      <c r="AE891" s="165" t="s">
        <v>1452</v>
      </c>
      <c r="AF891" s="165">
        <f>_xll.ohObjectCreationTime(AE891)</f>
        <v>41709.402212569446</v>
      </c>
    </row>
    <row r="892" spans="30:32" x14ac:dyDescent="0.25">
      <c r="AD892" s="165" t="str">
        <v>EuriborSwapIsdaFixB49Y</v>
      </c>
      <c r="AE892" s="165" t="s">
        <v>1390</v>
      </c>
      <c r="AF892" s="165">
        <f>_xll.ohObjectCreationTime(AE892)</f>
        <v>41709.402212615743</v>
      </c>
    </row>
    <row r="893" spans="30:32" x14ac:dyDescent="0.25">
      <c r="AD893" s="165" t="str">
        <v>EuriborSwapIsdaFixB4Y</v>
      </c>
      <c r="AE893" s="165" t="s">
        <v>1508</v>
      </c>
      <c r="AF893" s="165">
        <f>_xll.ohObjectCreationTime(AE893)</f>
        <v>41709.40221266204</v>
      </c>
    </row>
    <row r="894" spans="30:32" x14ac:dyDescent="0.25">
      <c r="AD894" s="165" t="str">
        <v>EuriborSwapIsdaFixB50Y</v>
      </c>
      <c r="AE894" s="165" t="s">
        <v>1387</v>
      </c>
      <c r="AF894" s="165">
        <f>_xll.ohObjectCreationTime(AE894)</f>
        <v>41709.40221270833</v>
      </c>
    </row>
    <row r="895" spans="30:32" x14ac:dyDescent="0.25">
      <c r="AD895" s="165" t="str">
        <v>EuriborSwapIsdaFixB51Y</v>
      </c>
      <c r="AE895" s="165" t="s">
        <v>1478</v>
      </c>
      <c r="AF895" s="165">
        <f>_xll.ohObjectCreationTime(AE895)</f>
        <v>41709.402212754627</v>
      </c>
    </row>
    <row r="896" spans="30:32" x14ac:dyDescent="0.25">
      <c r="AD896" s="165" t="str">
        <v>EuriborSwapIsdaFixB52Y</v>
      </c>
      <c r="AE896" s="165" t="s">
        <v>1502</v>
      </c>
      <c r="AF896" s="165">
        <f>_xll.ohObjectCreationTime(AE896)</f>
        <v>41709.402212800924</v>
      </c>
    </row>
    <row r="897" spans="30:32" x14ac:dyDescent="0.25">
      <c r="AD897" s="165" t="str">
        <v>EuriborSwapIsdaFixB53Y</v>
      </c>
      <c r="AE897" s="165" t="s">
        <v>1482</v>
      </c>
      <c r="AF897" s="165">
        <f>_xll.ohObjectCreationTime(AE897)</f>
        <v>41709.402212847221</v>
      </c>
    </row>
    <row r="898" spans="30:32" x14ac:dyDescent="0.25">
      <c r="AD898" s="165" t="str">
        <v>EuriborSwapIsdaFixB54Y</v>
      </c>
      <c r="AE898" s="165" t="s">
        <v>1396</v>
      </c>
      <c r="AF898" s="165">
        <f>_xll.ohObjectCreationTime(AE898)</f>
        <v>41709.402212881942</v>
      </c>
    </row>
    <row r="899" spans="30:32" x14ac:dyDescent="0.25">
      <c r="AD899" s="165" t="str">
        <v>EuriborSwapIsdaFixB55Y</v>
      </c>
      <c r="AE899" s="165" t="s">
        <v>1416</v>
      </c>
      <c r="AF899" s="165">
        <f>_xll.ohObjectCreationTime(AE899)</f>
        <v>41709.402212928238</v>
      </c>
    </row>
    <row r="900" spans="30:32" x14ac:dyDescent="0.25">
      <c r="AD900" s="165" t="str">
        <v>EuriborSwapIsdaFixB56Y</v>
      </c>
      <c r="AE900" s="165" t="s">
        <v>1420</v>
      </c>
      <c r="AF900" s="165">
        <f>_xll.ohObjectCreationTime(AE900)</f>
        <v>41709.402212974535</v>
      </c>
    </row>
    <row r="901" spans="30:32" x14ac:dyDescent="0.25">
      <c r="AD901" s="165" t="str">
        <v>EuriborSwapIsdaFixB57Y</v>
      </c>
      <c r="AE901" s="165" t="s">
        <v>1475</v>
      </c>
      <c r="AF901" s="165">
        <f>_xll.ohObjectCreationTime(AE901)</f>
        <v>41709.402213020832</v>
      </c>
    </row>
    <row r="902" spans="30:32" x14ac:dyDescent="0.25">
      <c r="AD902" s="165" t="str">
        <v>EuriborSwapIsdaFixB58Y</v>
      </c>
      <c r="AE902" s="165" t="s">
        <v>1543</v>
      </c>
      <c r="AF902" s="165">
        <f>_xll.ohObjectCreationTime(AE902)</f>
        <v>41709.402213067129</v>
      </c>
    </row>
    <row r="903" spans="30:32" x14ac:dyDescent="0.25">
      <c r="AD903" s="165" t="str">
        <v>EuriborSwapIsdaFixB59Y</v>
      </c>
      <c r="AE903" s="165" t="s">
        <v>1400</v>
      </c>
      <c r="AF903" s="165">
        <f>_xll.ohObjectCreationTime(AE903)</f>
        <v>41709.402213113426</v>
      </c>
    </row>
    <row r="904" spans="30:32" x14ac:dyDescent="0.25">
      <c r="AD904" s="165" t="str">
        <v>EuriborSwapIsdaFixB5Y</v>
      </c>
      <c r="AE904" s="165" t="s">
        <v>1501</v>
      </c>
      <c r="AF904" s="165">
        <f>_xll.ohObjectCreationTime(AE904)</f>
        <v>41709.402213148147</v>
      </c>
    </row>
    <row r="905" spans="30:32" x14ac:dyDescent="0.25">
      <c r="AD905" s="165" t="str">
        <v>EuriborSwapIsdaFixB60Y</v>
      </c>
      <c r="AE905" s="165" t="s">
        <v>1423</v>
      </c>
      <c r="AF905" s="165">
        <f>_xll.ohObjectCreationTime(AE905)</f>
        <v>41709.402213194444</v>
      </c>
    </row>
    <row r="906" spans="30:32" x14ac:dyDescent="0.25">
      <c r="AD906" s="165" t="str">
        <v>EuriborSwapIsdaFixB6Y</v>
      </c>
      <c r="AE906" s="165" t="s">
        <v>1539</v>
      </c>
      <c r="AF906" s="165">
        <f>_xll.ohObjectCreationTime(AE906)</f>
        <v>41709.402213240741</v>
      </c>
    </row>
    <row r="907" spans="30:32" x14ac:dyDescent="0.25">
      <c r="AD907" s="165" t="str">
        <v>EuriborSwapIsdaFixB7Y</v>
      </c>
      <c r="AE907" s="165" t="s">
        <v>1369</v>
      </c>
      <c r="AF907" s="165">
        <f>_xll.ohObjectCreationTime(AE907)</f>
        <v>41709.402213287038</v>
      </c>
    </row>
    <row r="908" spans="30:32" x14ac:dyDescent="0.25">
      <c r="AD908" s="165" t="str">
        <v>EuriborSwapIsdaFixB8Y</v>
      </c>
      <c r="AE908" s="165" t="s">
        <v>1450</v>
      </c>
      <c r="AF908" s="165">
        <f>_xll.ohObjectCreationTime(AE908)</f>
        <v>41709.402213333335</v>
      </c>
    </row>
    <row r="909" spans="30:32" x14ac:dyDescent="0.25">
      <c r="AD909" s="165" t="str">
        <v>EuriborSwapIsdaFixB9Y</v>
      </c>
      <c r="AE909" s="165" t="s">
        <v>1506</v>
      </c>
      <c r="AF909" s="165">
        <f>_xll.ohObjectCreationTime(AE909)</f>
        <v>41709.402213368056</v>
      </c>
    </row>
    <row r="910" spans="30:32" x14ac:dyDescent="0.25">
      <c r="AD910" s="165" t="str">
        <v>EuriborSWLastFixing_Quote</v>
      </c>
      <c r="AE910" s="165" t="s">
        <v>1487</v>
      </c>
      <c r="AF910" s="165">
        <f>_xll.ohObjectCreationTime(AE910)</f>
        <v>41709.402213414352</v>
      </c>
    </row>
    <row r="911" spans="30:32" x14ac:dyDescent="0.25">
      <c r="AD911" s="165" t="str">
        <v>EURiborYC1M</v>
      </c>
      <c r="AE911" s="165" t="s">
        <v>1385</v>
      </c>
      <c r="AF911" s="165">
        <f>_xll.ohObjectCreationTime(AE911)</f>
        <v>41709.402213460649</v>
      </c>
    </row>
    <row r="912" spans="30:32" x14ac:dyDescent="0.25">
      <c r="AD912" s="165" t="str">
        <v>EURiborYC1M-Mx</v>
      </c>
      <c r="AE912" s="165" t="s">
        <v>1504</v>
      </c>
      <c r="AF912" s="165">
        <f>_xll.ohObjectCreationTime(AE912)</f>
        <v>41709.402213506946</v>
      </c>
    </row>
    <row r="913" spans="30:32" x14ac:dyDescent="0.25">
      <c r="AD913" s="165" t="str">
        <v>EURiborYC1Y</v>
      </c>
      <c r="AE913" s="165" t="s">
        <v>1435</v>
      </c>
      <c r="AF913" s="165">
        <f>_xll.ohObjectCreationTime(AE913)</f>
        <v>41709.402213553243</v>
      </c>
    </row>
    <row r="914" spans="30:32" x14ac:dyDescent="0.25">
      <c r="AD914" s="165" t="str">
        <v>EURiborYC1Y-Mx</v>
      </c>
      <c r="AE914" s="165" t="s">
        <v>1489</v>
      </c>
      <c r="AF914" s="165">
        <f>_xll.ohObjectCreationTime(AE914)</f>
        <v>41709.40221359954</v>
      </c>
    </row>
    <row r="915" spans="30:32" x14ac:dyDescent="0.25">
      <c r="AD915" s="165" t="str">
        <v>EURiborYC3M</v>
      </c>
      <c r="AE915" s="165" t="s">
        <v>1364</v>
      </c>
      <c r="AF915" s="165">
        <f>_xll.ohObjectCreationTime(AE915)</f>
        <v>41709.402213634261</v>
      </c>
    </row>
    <row r="916" spans="30:32" x14ac:dyDescent="0.25">
      <c r="AD916" s="165" t="str">
        <v>EURiborYC3M-Mx</v>
      </c>
      <c r="AE916" s="165" t="s">
        <v>1430</v>
      </c>
      <c r="AF916" s="165">
        <f>_xll.ohObjectCreationTime(AE916)</f>
        <v>41709.402213680558</v>
      </c>
    </row>
    <row r="917" spans="30:32" x14ac:dyDescent="0.25">
      <c r="AD917" s="165" t="str">
        <v>EURiborYC6M</v>
      </c>
      <c r="AE917" s="165" t="s">
        <v>1445</v>
      </c>
      <c r="AF917" s="165">
        <f>_xll.ohObjectCreationTime(AE917)</f>
        <v>41709.402213726855</v>
      </c>
    </row>
    <row r="918" spans="30:32" x14ac:dyDescent="0.25">
      <c r="AD918" s="165" t="str">
        <v>EURiborYC6M-Mx</v>
      </c>
      <c r="AE918" s="165" t="s">
        <v>1493</v>
      </c>
      <c r="AF918" s="165">
        <f>_xll.ohObjectCreationTime(AE918)</f>
        <v>41709.402213773152</v>
      </c>
    </row>
    <row r="919" spans="30:32" x14ac:dyDescent="0.25">
      <c r="AD919" s="165" t="str">
        <v>EURiborYCON</v>
      </c>
      <c r="AE919" s="165" t="s">
        <v>1496</v>
      </c>
      <c r="AF919" s="165">
        <f>_xll.ohObjectCreationTime(AE919)</f>
        <v>41709.402213819441</v>
      </c>
    </row>
    <row r="920" spans="30:32" x14ac:dyDescent="0.25">
      <c r="AD920" s="165" t="str">
        <v>EURiborYCON-Mx</v>
      </c>
      <c r="AE920" s="165" t="s">
        <v>1368</v>
      </c>
      <c r="AF920" s="165">
        <f>_xll.ohObjectCreationTime(AE920)</f>
        <v>41709.402213865738</v>
      </c>
    </row>
    <row r="921" spans="30:32" x14ac:dyDescent="0.25">
      <c r="AD921" s="165" t="str">
        <v>EURIMMFRA6MF0_Quote</v>
      </c>
      <c r="AE921" s="165" t="s">
        <v>1517</v>
      </c>
      <c r="AF921" s="165">
        <f>_xll.ohObjectCreationTime(AE921)</f>
        <v>41709.402213900466</v>
      </c>
    </row>
    <row r="922" spans="30:32" x14ac:dyDescent="0.25">
      <c r="AD922" s="165" t="str">
        <v>EURIMMFRA6MF1_Quote</v>
      </c>
      <c r="AE922" s="165" t="s">
        <v>1380</v>
      </c>
      <c r="AF922" s="165">
        <f>_xll.ohObjectCreationTime(AE922)</f>
        <v>41709.402213946756</v>
      </c>
    </row>
    <row r="923" spans="30:32" x14ac:dyDescent="0.25">
      <c r="AD923" s="165" t="str">
        <v>EURIMMFRA6MF2_Quote</v>
      </c>
      <c r="AE923" s="165" t="s">
        <v>1383</v>
      </c>
      <c r="AF923" s="165">
        <f>_xll.ohObjectCreationTime(AE923)</f>
        <v>41709.402213993053</v>
      </c>
    </row>
    <row r="924" spans="30:32" x14ac:dyDescent="0.25">
      <c r="AD924" s="165" t="str">
        <v>EURIMMFRA6MF3_Quote</v>
      </c>
      <c r="AE924" s="165" t="s">
        <v>1471</v>
      </c>
      <c r="AF924" s="165">
        <f>_xll.ohObjectCreationTime(AE924)</f>
        <v>41709.40221403935</v>
      </c>
    </row>
    <row r="925" spans="30:32" x14ac:dyDescent="0.25">
      <c r="AD925" s="165" t="str">
        <v>EURIMMFRA6MF4_Quote</v>
      </c>
      <c r="AE925" s="165" t="s">
        <v>1549</v>
      </c>
      <c r="AF925" s="165">
        <f>_xll.ohObjectCreationTime(AE925)</f>
        <v>41709.402214085647</v>
      </c>
    </row>
    <row r="926" spans="30:32" x14ac:dyDescent="0.25">
      <c r="AD926" s="165" t="str">
        <v>EURIMMFRA6MF5_Quote</v>
      </c>
      <c r="AE926" s="165" t="s">
        <v>1472</v>
      </c>
      <c r="AF926" s="165">
        <f>_xll.ohObjectCreationTime(AE926)</f>
        <v>41709.402214131944</v>
      </c>
    </row>
    <row r="927" spans="30:32" x14ac:dyDescent="0.25">
      <c r="AD927" s="165" t="str">
        <v>EURIMMFRA6MF6_Quote</v>
      </c>
      <c r="AE927" s="165" t="s">
        <v>1440</v>
      </c>
      <c r="AF927" s="165">
        <f>_xll.ohObjectCreationTime(AE927)</f>
        <v>41709.402214166665</v>
      </c>
    </row>
    <row r="928" spans="30:32" x14ac:dyDescent="0.25">
      <c r="AD928" s="165" t="str">
        <v>EURIMMFRA6MF7_Quote</v>
      </c>
      <c r="AE928" s="165" t="s">
        <v>1395</v>
      </c>
      <c r="AF928" s="165">
        <f>_xll.ohObjectCreationTime(AE928)</f>
        <v>41709.402214224538</v>
      </c>
    </row>
    <row r="929" spans="30:32" x14ac:dyDescent="0.25">
      <c r="AD929" s="165" t="str">
        <v>EURIMMFRA6MF8_Quote</v>
      </c>
      <c r="AE929" s="165" t="s">
        <v>1443</v>
      </c>
      <c r="AF929" s="165">
        <f>_xll.ohObjectCreationTime(AE929)</f>
        <v>41709.402214259258</v>
      </c>
    </row>
    <row r="930" spans="30:32" x14ac:dyDescent="0.25">
      <c r="AD930" s="165" t="str">
        <v>EURIMMFRA6MF9_Quote</v>
      </c>
      <c r="AE930" s="165" t="s">
        <v>1376</v>
      </c>
      <c r="AF930" s="165">
        <f>_xll.ohObjectCreationTime(AE930)</f>
        <v>41709.402214305555</v>
      </c>
    </row>
    <row r="931" spans="30:32" x14ac:dyDescent="0.25">
      <c r="AD931" s="165" t="str">
        <v>EURIMMFRA6MG0_Quote</v>
      </c>
      <c r="AE931" s="165" t="s">
        <v>1514</v>
      </c>
      <c r="AF931" s="165">
        <f>_xll.ohObjectCreationTime(AE931)</f>
        <v>41709.402214351852</v>
      </c>
    </row>
    <row r="932" spans="30:32" x14ac:dyDescent="0.25">
      <c r="AD932" s="165" t="str">
        <v>EURIMMFRA6MG1_Quote</v>
      </c>
      <c r="AE932" s="165" t="s">
        <v>1507</v>
      </c>
      <c r="AF932" s="165">
        <f>_xll.ohObjectCreationTime(AE932)</f>
        <v>41709.402214398149</v>
      </c>
    </row>
    <row r="933" spans="30:32" x14ac:dyDescent="0.25">
      <c r="AD933" s="165" t="str">
        <v>EURIMMFRA6MG2_Quote</v>
      </c>
      <c r="AE933" s="165" t="s">
        <v>1403</v>
      </c>
      <c r="AF933" s="165">
        <f>_xll.ohObjectCreationTime(AE933)</f>
        <v>41709.402214444446</v>
      </c>
    </row>
    <row r="934" spans="30:32" x14ac:dyDescent="0.25">
      <c r="AD934" s="165" t="str">
        <v>EURIMMFRA6MG3_Quote</v>
      </c>
      <c r="AE934" s="165" t="s">
        <v>1551</v>
      </c>
      <c r="AF934" s="165">
        <f>_xll.ohObjectCreationTime(AE934)</f>
        <v>41709.402214490743</v>
      </c>
    </row>
    <row r="935" spans="30:32" x14ac:dyDescent="0.25">
      <c r="AD935" s="165" t="str">
        <v>EURIMMFRA6MG4_Quote</v>
      </c>
      <c r="AE935" s="165" t="s">
        <v>1401</v>
      </c>
      <c r="AF935" s="165">
        <f>_xll.ohObjectCreationTime(AE935)</f>
        <v>41709.40221453704</v>
      </c>
    </row>
    <row r="936" spans="30:32" x14ac:dyDescent="0.25">
      <c r="AD936" s="165" t="str">
        <v>EURIMMFRA6MG5_Quote</v>
      </c>
      <c r="AE936" s="165" t="s">
        <v>1433</v>
      </c>
      <c r="AF936" s="165">
        <f>_xll.ohObjectCreationTime(AE936)</f>
        <v>41709.402214594906</v>
      </c>
    </row>
    <row r="937" spans="30:32" x14ac:dyDescent="0.25">
      <c r="AD937" s="165" t="str">
        <v>EURIMMFRA6MG6_Quote</v>
      </c>
      <c r="AE937" s="165" t="s">
        <v>1494</v>
      </c>
      <c r="AF937" s="165">
        <f>_xll.ohObjectCreationTime(AE937)</f>
        <v>41709.402214629627</v>
      </c>
    </row>
    <row r="938" spans="30:32" x14ac:dyDescent="0.25">
      <c r="AD938" s="165" t="str">
        <v>EURIMMFRA6MG7_Quote</v>
      </c>
      <c r="AE938" s="165" t="s">
        <v>1528</v>
      </c>
      <c r="AF938" s="165">
        <f>_xll.ohObjectCreationTime(AE938)</f>
        <v>41709.402214675923</v>
      </c>
    </row>
    <row r="939" spans="30:32" x14ac:dyDescent="0.25">
      <c r="AD939" s="165" t="str">
        <v>EURIMMFRA6MG8_Quote</v>
      </c>
      <c r="AE939" s="165" t="s">
        <v>1481</v>
      </c>
      <c r="AF939" s="165">
        <f>_xll.ohObjectCreationTime(AE939)</f>
        <v>41709.40221472222</v>
      </c>
    </row>
    <row r="940" spans="30:32" x14ac:dyDescent="0.25">
      <c r="AD940" s="165" t="str">
        <v>EURIMMFRA6MG9_Quote</v>
      </c>
      <c r="AE940" s="165" t="s">
        <v>1458</v>
      </c>
      <c r="AF940" s="165">
        <f>_xll.ohObjectCreationTime(AE940)</f>
        <v>41709.402214768517</v>
      </c>
    </row>
    <row r="941" spans="30:32" x14ac:dyDescent="0.25">
      <c r="AD941" s="165" t="str">
        <v>EURIMMFRA6MH0_Quote</v>
      </c>
      <c r="AE941" s="165" t="s">
        <v>1505</v>
      </c>
      <c r="AF941" s="165">
        <f>_xll.ohObjectCreationTime(AE941)</f>
        <v>41709.402214814814</v>
      </c>
    </row>
    <row r="942" spans="30:32" x14ac:dyDescent="0.25">
      <c r="AD942" s="165" t="str">
        <v>EURIMMFRA6MH1_Quote</v>
      </c>
      <c r="AE942" s="165" t="s">
        <v>1531</v>
      </c>
      <c r="AF942" s="165">
        <f>_xll.ohObjectCreationTime(AE942)</f>
        <v>41709.402214861111</v>
      </c>
    </row>
    <row r="943" spans="30:32" x14ac:dyDescent="0.25">
      <c r="AD943" s="165" t="str">
        <v>EURIMMFRA6MH2_Quote</v>
      </c>
      <c r="AE943" s="165" t="s">
        <v>1492</v>
      </c>
      <c r="AF943" s="165">
        <f>_xll.ohObjectCreationTime(AE943)</f>
        <v>41709.402214907408</v>
      </c>
    </row>
    <row r="944" spans="30:32" x14ac:dyDescent="0.25">
      <c r="AD944" s="165" t="str">
        <v>EURIMMFRA6MH3_Quote</v>
      </c>
      <c r="AE944" s="165" t="s">
        <v>1470</v>
      </c>
      <c r="AF944" s="165">
        <f>_xll.ohObjectCreationTime(AE944)</f>
        <v>41709.402214953705</v>
      </c>
    </row>
    <row r="945" spans="30:32" x14ac:dyDescent="0.25">
      <c r="AD945" s="165" t="str">
        <v>EURIMMFRA6MH4_Quote</v>
      </c>
      <c r="AE945" s="165" t="s">
        <v>1521</v>
      </c>
      <c r="AF945" s="165">
        <f>_xll.ohObjectCreationTime(AE945)</f>
        <v>41709.402215000002</v>
      </c>
    </row>
    <row r="946" spans="30:32" x14ac:dyDescent="0.25">
      <c r="AD946" s="165" t="str">
        <v>EURIMMFRA6MH5_Quote</v>
      </c>
      <c r="AE946" s="165" t="s">
        <v>1511</v>
      </c>
      <c r="AF946" s="165">
        <f>_xll.ohObjectCreationTime(AE946)</f>
        <v>41709.402215046299</v>
      </c>
    </row>
    <row r="947" spans="30:32" x14ac:dyDescent="0.25">
      <c r="AD947" s="165" t="str">
        <v>EURIMMFRA6MH6_Quote</v>
      </c>
      <c r="AE947" s="165" t="s">
        <v>1422</v>
      </c>
      <c r="AF947" s="165">
        <f>_xll.ohObjectCreationTime(AE947)</f>
        <v>41709.402215092596</v>
      </c>
    </row>
    <row r="948" spans="30:32" x14ac:dyDescent="0.25">
      <c r="AD948" s="165" t="str">
        <v>EURIMMFRA6MH7_Quote</v>
      </c>
      <c r="AE948" s="165" t="s">
        <v>1480</v>
      </c>
      <c r="AF948" s="165">
        <f>_xll.ohObjectCreationTime(AE948)</f>
        <v>41709.402215138885</v>
      </c>
    </row>
    <row r="949" spans="30:32" x14ac:dyDescent="0.25">
      <c r="AD949" s="165" t="str">
        <v>EURIMMFRA6MH8_Quote</v>
      </c>
      <c r="AE949" s="165" t="s">
        <v>1394</v>
      </c>
      <c r="AF949" s="165">
        <f>_xll.ohObjectCreationTime(AE949)</f>
        <v>41709.402215185182</v>
      </c>
    </row>
    <row r="950" spans="30:32" x14ac:dyDescent="0.25">
      <c r="AD950" s="165" t="str">
        <v>EURIMMFRA6MH9_Quote</v>
      </c>
      <c r="AE950" s="165" t="s">
        <v>1530</v>
      </c>
      <c r="AF950" s="165">
        <f>_xll.ohObjectCreationTime(AE950)</f>
        <v>41709.402215231479</v>
      </c>
    </row>
    <row r="951" spans="30:32" x14ac:dyDescent="0.25">
      <c r="AD951" s="165" t="str">
        <v>EURIMMFRA6MJ0_Quote</v>
      </c>
      <c r="AE951" s="165" t="s">
        <v>1424</v>
      </c>
      <c r="AF951" s="165">
        <f>_xll.ohObjectCreationTime(AE951)</f>
        <v>41709.402215277776</v>
      </c>
    </row>
    <row r="952" spans="30:32" x14ac:dyDescent="0.25">
      <c r="AD952" s="165" t="str">
        <v>EURIMMFRA6MJ1_Quote</v>
      </c>
      <c r="AE952" s="165" t="s">
        <v>1547</v>
      </c>
      <c r="AF952" s="165">
        <f>_xll.ohObjectCreationTime(AE952)</f>
        <v>41709.402215324073</v>
      </c>
    </row>
    <row r="953" spans="30:32" x14ac:dyDescent="0.25">
      <c r="AD953" s="165" t="str">
        <v>EURIMMFRA6MJ2_Quote</v>
      </c>
      <c r="AE953" s="165" t="s">
        <v>380</v>
      </c>
      <c r="AF953" s="165">
        <f>_xll.ohObjectCreationTime(AE953)</f>
        <v>41709.40221537037</v>
      </c>
    </row>
    <row r="954" spans="30:32" x14ac:dyDescent="0.25">
      <c r="AD954" s="165" t="str">
        <v>EURIMMFRA6MJ3_Quote</v>
      </c>
      <c r="AE954" s="165" t="s">
        <v>1540</v>
      </c>
      <c r="AF954" s="165">
        <f>_xll.ohObjectCreationTime(AE954)</f>
        <v>41709.402215405091</v>
      </c>
    </row>
    <row r="955" spans="30:32" x14ac:dyDescent="0.25">
      <c r="AD955" s="165" t="str">
        <v>EURIMMFRA6MJ4_Quote</v>
      </c>
      <c r="AE955" s="165" t="s">
        <v>1498</v>
      </c>
      <c r="AF955" s="165">
        <f>_xll.ohObjectCreationTime(AE955)</f>
        <v>41709.402215451388</v>
      </c>
    </row>
    <row r="956" spans="30:32" x14ac:dyDescent="0.25">
      <c r="AD956" s="165" t="str">
        <v>EURIMMFRA6MJ5_Quote</v>
      </c>
      <c r="AE956" s="165" t="s">
        <v>1446</v>
      </c>
      <c r="AF956" s="165">
        <f>_xll.ohObjectCreationTime(AE956)</f>
        <v>41709.402215497685</v>
      </c>
    </row>
    <row r="957" spans="30:32" x14ac:dyDescent="0.25">
      <c r="AD957" s="165" t="str">
        <v>EURIMMFRA6MJ6_Quote</v>
      </c>
      <c r="AE957" s="165" t="s">
        <v>1552</v>
      </c>
      <c r="AF957" s="165">
        <f>_xll.ohObjectCreationTime(AE957)</f>
        <v>41709.402215543982</v>
      </c>
    </row>
    <row r="958" spans="30:32" x14ac:dyDescent="0.25">
      <c r="AD958" s="165" t="str">
        <v>EURIMMFRA6MJ7_Quote</v>
      </c>
      <c r="AE958" s="165" t="s">
        <v>1469</v>
      </c>
      <c r="AF958" s="165">
        <f>_xll.ohObjectCreationTime(AE958)</f>
        <v>41709.402215590279</v>
      </c>
    </row>
    <row r="959" spans="30:32" x14ac:dyDescent="0.25">
      <c r="AD959" s="165" t="str">
        <v>EURIMMFRA6MJ8_Quote</v>
      </c>
      <c r="AE959" s="165" t="s">
        <v>1448</v>
      </c>
      <c r="AF959" s="165">
        <f>_xll.ohObjectCreationTime(AE959)</f>
        <v>41709.402215636575</v>
      </c>
    </row>
    <row r="960" spans="30:32" x14ac:dyDescent="0.25">
      <c r="AD960" s="165" t="str">
        <v>EURIMMFRA6MJ9_Quote</v>
      </c>
      <c r="AE960" s="165" t="s">
        <v>1524</v>
      </c>
      <c r="AF960" s="165">
        <f>_xll.ohObjectCreationTime(AE960)</f>
        <v>41709.402215694441</v>
      </c>
    </row>
    <row r="961" spans="30:32" x14ac:dyDescent="0.25">
      <c r="AD961" s="165" t="str">
        <v>EURIMMFRA6MK0_Quote</v>
      </c>
      <c r="AE961" s="165" t="s">
        <v>1392</v>
      </c>
      <c r="AF961" s="165">
        <f>_xll.ohObjectCreationTime(AE961)</f>
        <v>41709.402215740738</v>
      </c>
    </row>
    <row r="962" spans="30:32" x14ac:dyDescent="0.25">
      <c r="AD962" s="165" t="str">
        <v>EURIMMFRA6MK1_Quote</v>
      </c>
      <c r="AE962" s="165" t="s">
        <v>1418</v>
      </c>
      <c r="AF962" s="165">
        <f>_xll.ohObjectCreationTime(AE962)</f>
        <v>41709.402215787035</v>
      </c>
    </row>
    <row r="963" spans="30:32" x14ac:dyDescent="0.25">
      <c r="AD963" s="165" t="str">
        <v>EURIMMFRA6MK2_Quote</v>
      </c>
      <c r="AE963" s="165" t="s">
        <v>1439</v>
      </c>
      <c r="AF963" s="165">
        <f>_xll.ohObjectCreationTime(AE963)</f>
        <v>41709.402215833332</v>
      </c>
    </row>
    <row r="964" spans="30:32" x14ac:dyDescent="0.25">
      <c r="AD964" s="165" t="str">
        <v>EURIMMFRA6MK3_Quote</v>
      </c>
      <c r="AE964" s="165" t="s">
        <v>1428</v>
      </c>
      <c r="AF964" s="165">
        <f>_xll.ohObjectCreationTime(AE964)</f>
        <v>41709.402215879629</v>
      </c>
    </row>
    <row r="965" spans="30:32" x14ac:dyDescent="0.25">
      <c r="AD965" s="165" t="str">
        <v>EURIMMFRA6MK4_Quote</v>
      </c>
      <c r="AE965" s="165" t="s">
        <v>1061</v>
      </c>
      <c r="AF965" s="165">
        <f>_xll.ohObjectCreationTime(AE965)</f>
        <v>41709.402216446761</v>
      </c>
    </row>
    <row r="966" spans="30:32" x14ac:dyDescent="0.25">
      <c r="AD966" s="165" t="str">
        <v>EURIMMFRA6MK5_Quote</v>
      </c>
      <c r="AE966" s="165" t="s">
        <v>1041</v>
      </c>
      <c r="AF966" s="165">
        <f>_xll.ohObjectCreationTime(AE966)</f>
        <v>41709.402216493057</v>
      </c>
    </row>
    <row r="967" spans="30:32" x14ac:dyDescent="0.25">
      <c r="AD967" s="165" t="str">
        <v>EURIMMFRA6MK6_Quote</v>
      </c>
      <c r="AE967" s="165" t="s">
        <v>1190</v>
      </c>
      <c r="AF967" s="165">
        <f>_xll.ohObjectCreationTime(AE967)</f>
        <v>41709.402216539354</v>
      </c>
    </row>
    <row r="968" spans="30:32" x14ac:dyDescent="0.25">
      <c r="AD968" s="165" t="str">
        <v>EURIMMFRA6MK7_Quote</v>
      </c>
      <c r="AE968" s="165" t="s">
        <v>1088</v>
      </c>
      <c r="AF968" s="165">
        <f>_xll.ohObjectCreationTime(AE968)</f>
        <v>41709.402216585651</v>
      </c>
    </row>
    <row r="969" spans="30:32" x14ac:dyDescent="0.25">
      <c r="AD969" s="165" t="str">
        <v>EURIMMFRA6MK8_Quote</v>
      </c>
      <c r="AE969" s="165" t="s">
        <v>1069</v>
      </c>
      <c r="AF969" s="165">
        <f>_xll.ohObjectCreationTime(AE969)</f>
        <v>41709.402216631941</v>
      </c>
    </row>
    <row r="970" spans="30:32" x14ac:dyDescent="0.25">
      <c r="AD970" s="165" t="str">
        <v>EURIMMFRA6MK9_Quote</v>
      </c>
      <c r="AE970" s="165" t="s">
        <v>1075</v>
      </c>
      <c r="AF970" s="165">
        <f>_xll.ohObjectCreationTime(AE970)</f>
        <v>41709.402216678238</v>
      </c>
    </row>
    <row r="971" spans="30:32" x14ac:dyDescent="0.25">
      <c r="AD971" s="165" t="str">
        <v>EURIMMFRA6MM0_Quote</v>
      </c>
      <c r="AE971" s="165" t="s">
        <v>1136</v>
      </c>
      <c r="AF971" s="165">
        <f>_xll.ohObjectCreationTime(AE971)</f>
        <v>41709.402216724535</v>
      </c>
    </row>
    <row r="972" spans="30:32" x14ac:dyDescent="0.25">
      <c r="AD972" s="165" t="str">
        <v>EURIMMFRA6MM1_Quote</v>
      </c>
      <c r="AE972" s="165" t="s">
        <v>1167</v>
      </c>
      <c r="AF972" s="165">
        <f>_xll.ohObjectCreationTime(AE972)</f>
        <v>41709.402216770832</v>
      </c>
    </row>
    <row r="973" spans="30:32" x14ac:dyDescent="0.25">
      <c r="AD973" s="165" t="str">
        <v>EURIMMFRA6MM2_Quote</v>
      </c>
      <c r="AE973" s="165" t="s">
        <v>1028</v>
      </c>
      <c r="AF973" s="165">
        <f>_xll.ohObjectCreationTime(AE973)</f>
        <v>41709.402216817129</v>
      </c>
    </row>
    <row r="974" spans="30:32" x14ac:dyDescent="0.25">
      <c r="AD974" s="165" t="str">
        <v>EURIMMFRA6MM3_Quote</v>
      </c>
      <c r="AE974" s="165" t="s">
        <v>1181</v>
      </c>
      <c r="AF974" s="165">
        <f>_xll.ohObjectCreationTime(AE974)</f>
        <v>41709.402216863426</v>
      </c>
    </row>
    <row r="975" spans="30:32" x14ac:dyDescent="0.25">
      <c r="AD975" s="165" t="str">
        <v>EURIMMFRA6MM4_Quote</v>
      </c>
      <c r="AE975" s="165" t="s">
        <v>1126</v>
      </c>
      <c r="AF975" s="165">
        <f>_xll.ohObjectCreationTime(AE975)</f>
        <v>41709.402216909722</v>
      </c>
    </row>
    <row r="976" spans="30:32" x14ac:dyDescent="0.25">
      <c r="AD976" s="165" t="str">
        <v>EURIMMFRA6MM5_Quote</v>
      </c>
      <c r="AE976" s="165" t="s">
        <v>1194</v>
      </c>
      <c r="AF976" s="165">
        <f>_xll.ohObjectCreationTime(AE976)</f>
        <v>41709.402216956019</v>
      </c>
    </row>
    <row r="977" spans="30:32" x14ac:dyDescent="0.25">
      <c r="AD977" s="165" t="str">
        <v>EURIMMFRA6MM6_Quote</v>
      </c>
      <c r="AE977" s="165" t="s">
        <v>1117</v>
      </c>
      <c r="AF977" s="165">
        <f>_xll.ohObjectCreationTime(AE977)</f>
        <v>41709.402217002316</v>
      </c>
    </row>
    <row r="978" spans="30:32" x14ac:dyDescent="0.25">
      <c r="AD978" s="165" t="str">
        <v>EURIMMFRA6MM7_Quote</v>
      </c>
      <c r="AE978" s="165" t="s">
        <v>1211</v>
      </c>
      <c r="AF978" s="165">
        <f>_xll.ohObjectCreationTime(AE978)</f>
        <v>41709.402217048613</v>
      </c>
    </row>
    <row r="979" spans="30:32" x14ac:dyDescent="0.25">
      <c r="AD979" s="165" t="str">
        <v>EURIMMFRA6MM8_Quote</v>
      </c>
      <c r="AE979" s="165" t="s">
        <v>599</v>
      </c>
      <c r="AF979" s="165">
        <f>_xll.ohObjectCreationTime(AE979)</f>
        <v>41709.402217106479</v>
      </c>
    </row>
    <row r="980" spans="30:32" x14ac:dyDescent="0.25">
      <c r="AD980" s="165" t="str">
        <v>EURIMMFRA6MM9_Quote</v>
      </c>
      <c r="AE980" s="165" t="s">
        <v>1032</v>
      </c>
      <c r="AF980" s="165">
        <f>_xll.ohObjectCreationTime(AE980)</f>
        <v>41709.402217152776</v>
      </c>
    </row>
    <row r="981" spans="30:32" x14ac:dyDescent="0.25">
      <c r="AD981" s="165" t="str">
        <v>EURIMMFRA6MN0_Quote</v>
      </c>
      <c r="AE981" s="165" t="s">
        <v>1149</v>
      </c>
      <c r="AF981" s="165">
        <f>_xll.ohObjectCreationTime(AE981)</f>
        <v>41709.402217199073</v>
      </c>
    </row>
    <row r="982" spans="30:32" x14ac:dyDescent="0.25">
      <c r="AD982" s="165" t="str">
        <v>EURIMMFRA6MN1_Quote</v>
      </c>
      <c r="AE982" s="165" t="s">
        <v>1218</v>
      </c>
      <c r="AF982" s="165">
        <f>_xll.ohObjectCreationTime(AE982)</f>
        <v>41709.40221724537</v>
      </c>
    </row>
    <row r="983" spans="30:32" x14ac:dyDescent="0.25">
      <c r="AD983" s="165" t="str">
        <v>EURIMMFRA6MN2_Quote</v>
      </c>
      <c r="AE983" s="165" t="s">
        <v>1063</v>
      </c>
      <c r="AF983" s="165">
        <f>_xll.ohObjectCreationTime(AE983)</f>
        <v>41709.402217291667</v>
      </c>
    </row>
    <row r="984" spans="30:32" x14ac:dyDescent="0.25">
      <c r="AD984" s="165" t="str">
        <v>EURIMMFRA6MN3_Quote</v>
      </c>
      <c r="AE984" s="165" t="s">
        <v>1137</v>
      </c>
      <c r="AF984" s="165">
        <f>_xll.ohObjectCreationTime(AE984)</f>
        <v>41709.40221734954</v>
      </c>
    </row>
    <row r="985" spans="30:32" x14ac:dyDescent="0.25">
      <c r="AD985" s="165" t="str">
        <v>EURIMMFRA6MN4_Quote</v>
      </c>
      <c r="AE985" s="165" t="s">
        <v>1074</v>
      </c>
      <c r="AF985" s="165">
        <f>_xll.ohObjectCreationTime(AE985)</f>
        <v>41709.402217395836</v>
      </c>
    </row>
    <row r="986" spans="30:32" x14ac:dyDescent="0.25">
      <c r="AD986" s="165" t="str">
        <v>EURIMMFRA6MN5_Quote</v>
      </c>
      <c r="AE986" s="165" t="s">
        <v>1134</v>
      </c>
      <c r="AF986" s="165">
        <f>_xll.ohObjectCreationTime(AE986)</f>
        <v>41709.402217442126</v>
      </c>
    </row>
    <row r="987" spans="30:32" x14ac:dyDescent="0.25">
      <c r="AD987" s="165" t="str">
        <v>EURIMMFRA6MN6_Quote</v>
      </c>
      <c r="AE987" s="165" t="s">
        <v>1222</v>
      </c>
      <c r="AF987" s="165">
        <f>_xll.ohObjectCreationTime(AE987)</f>
        <v>41709.402217488423</v>
      </c>
    </row>
    <row r="988" spans="30:32" x14ac:dyDescent="0.25">
      <c r="AD988" s="165" t="str">
        <v>EURIMMFRA6MN7_Quote</v>
      </c>
      <c r="AE988" s="165" t="s">
        <v>1093</v>
      </c>
      <c r="AF988" s="165">
        <f>_xll.ohObjectCreationTime(AE988)</f>
        <v>41709.40221753472</v>
      </c>
    </row>
    <row r="989" spans="30:32" x14ac:dyDescent="0.25">
      <c r="AD989" s="165" t="str">
        <v>EURIMMFRA6MN8_Quote</v>
      </c>
      <c r="AE989" s="165" t="s">
        <v>1054</v>
      </c>
      <c r="AF989" s="165">
        <f>_xll.ohObjectCreationTime(AE989)</f>
        <v>41709.402217581017</v>
      </c>
    </row>
    <row r="990" spans="30:32" x14ac:dyDescent="0.25">
      <c r="AD990" s="165" t="str">
        <v>EURIMMFRA6MN9_Quote</v>
      </c>
      <c r="AE990" s="165" t="s">
        <v>1022</v>
      </c>
      <c r="AF990" s="165">
        <f>_xll.ohObjectCreationTime(AE990)</f>
        <v>41709.402217627314</v>
      </c>
    </row>
    <row r="991" spans="30:32" x14ac:dyDescent="0.25">
      <c r="AD991" s="165" t="str">
        <v>EURIMMFRA6MQ0_Quote</v>
      </c>
      <c r="AE991" s="165" t="s">
        <v>1171</v>
      </c>
      <c r="AF991" s="165">
        <f>_xll.ohObjectCreationTime(AE991)</f>
        <v>41709.402217673611</v>
      </c>
    </row>
    <row r="992" spans="30:32" x14ac:dyDescent="0.25">
      <c r="AD992" s="165" t="str">
        <v>EURIMMFRA6MQ1_Quote</v>
      </c>
      <c r="AE992" s="165" t="s">
        <v>1021</v>
      </c>
      <c r="AF992" s="165">
        <f>_xll.ohObjectCreationTime(AE992)</f>
        <v>41709.402217719908</v>
      </c>
    </row>
    <row r="993" spans="30:32" x14ac:dyDescent="0.25">
      <c r="AD993" s="165" t="str">
        <v>EURIMMFRA6MQ2_Quote</v>
      </c>
      <c r="AE993" s="165" t="s">
        <v>1144</v>
      </c>
      <c r="AF993" s="165">
        <f>_xll.ohObjectCreationTime(AE993)</f>
        <v>41709.402217766205</v>
      </c>
    </row>
    <row r="994" spans="30:32" x14ac:dyDescent="0.25">
      <c r="AD994" s="165" t="str">
        <v>EURIMMFRA6MQ3_Quote</v>
      </c>
      <c r="AE994" s="165" t="s">
        <v>1039</v>
      </c>
      <c r="AF994" s="165">
        <f>_xll.ohObjectCreationTime(AE994)</f>
        <v>41709.402217812501</v>
      </c>
    </row>
    <row r="995" spans="30:32" x14ac:dyDescent="0.25">
      <c r="AD995" s="165" t="str">
        <v>EURIMMFRA6MQ4_Quote</v>
      </c>
      <c r="AE995" s="165" t="s">
        <v>1182</v>
      </c>
      <c r="AF995" s="165">
        <f>_xll.ohObjectCreationTime(AE995)</f>
        <v>41709.402217858798</v>
      </c>
    </row>
    <row r="996" spans="30:32" x14ac:dyDescent="0.25">
      <c r="AD996" s="165" t="str">
        <v>EURIMMFRA6MQ5_Quote</v>
      </c>
      <c r="AE996" s="165" t="s">
        <v>1125</v>
      </c>
      <c r="AF996" s="165">
        <f>_xll.ohObjectCreationTime(AE996)</f>
        <v>41709.402217905095</v>
      </c>
    </row>
    <row r="997" spans="30:32" x14ac:dyDescent="0.25">
      <c r="AD997" s="165" t="str">
        <v>EURIMMFRA6MQ6_Quote</v>
      </c>
      <c r="AE997" s="165" t="s">
        <v>1057</v>
      </c>
      <c r="AF997" s="165">
        <f>_xll.ohObjectCreationTime(AE997)</f>
        <v>41709.402217951392</v>
      </c>
    </row>
    <row r="998" spans="30:32" x14ac:dyDescent="0.25">
      <c r="AD998" s="165" t="str">
        <v>EURIMMFRA6MQ7_Quote</v>
      </c>
      <c r="AE998" s="165" t="s">
        <v>1160</v>
      </c>
      <c r="AF998" s="165">
        <f>_xll.ohObjectCreationTime(AE998)</f>
        <v>41709.402217997682</v>
      </c>
    </row>
    <row r="999" spans="30:32" x14ac:dyDescent="0.25">
      <c r="AD999" s="165" t="str">
        <v>EURIMMFRA6MQ8_Quote</v>
      </c>
      <c r="AE999" s="165" t="s">
        <v>1203</v>
      </c>
      <c r="AF999" s="165">
        <f>_xll.ohObjectCreationTime(AE999)</f>
        <v>41709.402218043979</v>
      </c>
    </row>
    <row r="1000" spans="30:32" x14ac:dyDescent="0.25">
      <c r="AD1000" s="165" t="str">
        <v>EURIMMFRA6MQ9_Quote</v>
      </c>
      <c r="AE1000" s="165" t="s">
        <v>1073</v>
      </c>
      <c r="AF1000" s="165">
        <f>_xll.ohObjectCreationTime(AE1000)</f>
        <v>41709.402218090276</v>
      </c>
    </row>
    <row r="1001" spans="30:32" x14ac:dyDescent="0.25">
      <c r="AD1001" s="165" t="str">
        <v>EURIMMFRA6MU0_Quote</v>
      </c>
      <c r="AE1001" s="165" t="s">
        <v>1096</v>
      </c>
      <c r="AF1001" s="165">
        <f>_xll.ohObjectCreationTime(AE1001)</f>
        <v>41709.402218136573</v>
      </c>
    </row>
    <row r="1002" spans="30:32" x14ac:dyDescent="0.25">
      <c r="AD1002" s="165" t="str">
        <v>EURIMMFRA6MU1_Quote</v>
      </c>
      <c r="AE1002" s="165" t="s">
        <v>1148</v>
      </c>
      <c r="AF1002" s="165">
        <f>_xll.ohObjectCreationTime(AE1002)</f>
        <v>41709.402218194446</v>
      </c>
    </row>
    <row r="1003" spans="30:32" x14ac:dyDescent="0.25">
      <c r="AD1003" s="165" t="str">
        <v>EURIMMFRA6MU2_Quote</v>
      </c>
      <c r="AE1003" s="165" t="s">
        <v>1016</v>
      </c>
      <c r="AF1003" s="165">
        <f>_xll.ohObjectCreationTime(AE1003)</f>
        <v>41709.402218229166</v>
      </c>
    </row>
    <row r="1004" spans="30:32" x14ac:dyDescent="0.25">
      <c r="AD1004" s="165" t="str">
        <v>EURIMMFRA6MU3_Quote</v>
      </c>
      <c r="AE1004" s="165" t="s">
        <v>1225</v>
      </c>
      <c r="AF1004" s="165">
        <f>_xll.ohObjectCreationTime(AE1004)</f>
        <v>41709.402218275463</v>
      </c>
    </row>
    <row r="1005" spans="30:32" x14ac:dyDescent="0.25">
      <c r="AD1005" s="165" t="str">
        <v>EURIMMFRA6MU4_Quote</v>
      </c>
      <c r="AE1005" s="165" t="s">
        <v>1112</v>
      </c>
      <c r="AF1005" s="165">
        <f>_xll.ohObjectCreationTime(AE1005)</f>
        <v>41709.40221832176</v>
      </c>
    </row>
    <row r="1006" spans="30:32" x14ac:dyDescent="0.25">
      <c r="AD1006" s="165" t="str">
        <v>EURIMMFRA6MU5_Quote</v>
      </c>
      <c r="AE1006" s="165" t="s">
        <v>1201</v>
      </c>
      <c r="AF1006" s="165">
        <f>_xll.ohObjectCreationTime(AE1006)</f>
        <v>41709.402218368057</v>
      </c>
    </row>
    <row r="1007" spans="30:32" x14ac:dyDescent="0.25">
      <c r="AD1007" s="165" t="str">
        <v>EURIMMFRA6MU6_Quote</v>
      </c>
      <c r="AE1007" s="165" t="s">
        <v>1110</v>
      </c>
      <c r="AF1007" s="165">
        <f>_xll.ohObjectCreationTime(AE1007)</f>
        <v>41709.402218414354</v>
      </c>
    </row>
    <row r="1008" spans="30:32" x14ac:dyDescent="0.25">
      <c r="AD1008" s="165" t="str">
        <v>EURIMMFRA6MU7_Quote</v>
      </c>
      <c r="AE1008" s="165" t="s">
        <v>1147</v>
      </c>
      <c r="AF1008" s="165">
        <f>_xll.ohObjectCreationTime(AE1008)</f>
        <v>41709.40221847222</v>
      </c>
    </row>
    <row r="1009" spans="30:32" x14ac:dyDescent="0.25">
      <c r="AD1009" s="165" t="str">
        <v>EURIMMFRA6MU8_Quote</v>
      </c>
      <c r="AE1009" s="165" t="s">
        <v>1219</v>
      </c>
      <c r="AF1009" s="165">
        <f>_xll.ohObjectCreationTime(AE1009)</f>
        <v>41709.402218518517</v>
      </c>
    </row>
    <row r="1010" spans="30:32" x14ac:dyDescent="0.25">
      <c r="AD1010" s="165" t="str">
        <v>EURIMMFRA6MU9_Quote</v>
      </c>
      <c r="AE1010" s="165" t="s">
        <v>1129</v>
      </c>
      <c r="AF1010" s="165">
        <f>_xll.ohObjectCreationTime(AE1010)</f>
        <v>41709.402218564814</v>
      </c>
    </row>
    <row r="1011" spans="30:32" x14ac:dyDescent="0.25">
      <c r="AD1011" s="165" t="str">
        <v>EURIMMFRA6MV0_Quote</v>
      </c>
      <c r="AE1011" s="165" t="s">
        <v>1183</v>
      </c>
      <c r="AF1011" s="165">
        <f>_xll.ohObjectCreationTime(AE1011)</f>
        <v>41709.402218611111</v>
      </c>
    </row>
    <row r="1012" spans="30:32" x14ac:dyDescent="0.25">
      <c r="AD1012" s="165" t="str">
        <v>EURIMMFRA6MV1_Quote</v>
      </c>
      <c r="AE1012" s="165" t="s">
        <v>1162</v>
      </c>
      <c r="AF1012" s="165">
        <f>_xll.ohObjectCreationTime(AE1012)</f>
        <v>41709.402218657408</v>
      </c>
    </row>
    <row r="1013" spans="30:32" x14ac:dyDescent="0.25">
      <c r="AD1013" s="165" t="str">
        <v>EURIMMFRA6MV2_Quote</v>
      </c>
      <c r="AE1013" s="165" t="s">
        <v>1214</v>
      </c>
      <c r="AF1013" s="165">
        <f>_xll.ohObjectCreationTime(AE1013)</f>
        <v>41709.402218703704</v>
      </c>
    </row>
    <row r="1014" spans="30:32" x14ac:dyDescent="0.25">
      <c r="AD1014" s="165" t="str">
        <v>EURIMMFRA6MV3_Quote</v>
      </c>
      <c r="AE1014" s="165" t="s">
        <v>1122</v>
      </c>
      <c r="AF1014" s="165">
        <f>_xll.ohObjectCreationTime(AE1014)</f>
        <v>41709.402218750001</v>
      </c>
    </row>
    <row r="1015" spans="30:32" x14ac:dyDescent="0.25">
      <c r="AD1015" s="165" t="str">
        <v>EURIMMFRA6MV4_Quote</v>
      </c>
      <c r="AE1015" s="165" t="s">
        <v>1213</v>
      </c>
      <c r="AF1015" s="165">
        <f>_xll.ohObjectCreationTime(AE1015)</f>
        <v>41709.402218796298</v>
      </c>
    </row>
    <row r="1016" spans="30:32" x14ac:dyDescent="0.25">
      <c r="AD1016" s="165" t="str">
        <v>EURIMMFRA6MV5_Quote</v>
      </c>
      <c r="AE1016" s="165" t="s">
        <v>1020</v>
      </c>
      <c r="AF1016" s="165">
        <f>_xll.ohObjectCreationTime(AE1016)</f>
        <v>41709.402218842595</v>
      </c>
    </row>
    <row r="1017" spans="30:32" x14ac:dyDescent="0.25">
      <c r="AD1017" s="165" t="str">
        <v>EURIMMFRA6MV6_Quote</v>
      </c>
      <c r="AE1017" s="165" t="s">
        <v>1101</v>
      </c>
      <c r="AF1017" s="165">
        <f>_xll.ohObjectCreationTime(AE1017)</f>
        <v>41709.402218888892</v>
      </c>
    </row>
    <row r="1018" spans="30:32" x14ac:dyDescent="0.25">
      <c r="AD1018" s="165" t="str">
        <v>EURIMMFRA6MV7_Quote</v>
      </c>
      <c r="AE1018" s="165" t="s">
        <v>1227</v>
      </c>
      <c r="AF1018" s="165">
        <f>_xll.ohObjectCreationTime(AE1018)</f>
        <v>41709.402218935182</v>
      </c>
    </row>
    <row r="1019" spans="30:32" x14ac:dyDescent="0.25">
      <c r="AD1019" s="165" t="str">
        <v>EURIMMFRA6MV8_Quote</v>
      </c>
      <c r="AE1019" s="165" t="s">
        <v>1185</v>
      </c>
      <c r="AF1019" s="165">
        <f>_xll.ohObjectCreationTime(AE1019)</f>
        <v>41709.402218981479</v>
      </c>
    </row>
    <row r="1020" spans="30:32" x14ac:dyDescent="0.25">
      <c r="AD1020" s="165" t="str">
        <v>EURIMMFRA6MV9_Quote</v>
      </c>
      <c r="AE1020" s="165" t="s">
        <v>1037</v>
      </c>
      <c r="AF1020" s="165">
        <f>_xll.ohObjectCreationTime(AE1020)</f>
        <v>41709.402219039352</v>
      </c>
    </row>
    <row r="1021" spans="30:32" x14ac:dyDescent="0.25">
      <c r="AD1021" s="165" t="str">
        <v>EURIMMFRA6MX0_Quote</v>
      </c>
      <c r="AE1021" s="165" t="s">
        <v>1085</v>
      </c>
      <c r="AF1021" s="165">
        <f>_xll.ohObjectCreationTime(AE1021)</f>
        <v>41709.402219085649</v>
      </c>
    </row>
    <row r="1022" spans="30:32" x14ac:dyDescent="0.25">
      <c r="AD1022" s="165" t="str">
        <v>EURIMMFRA6MX1_Quote</v>
      </c>
      <c r="AE1022" s="165" t="s">
        <v>1142</v>
      </c>
      <c r="AF1022" s="165">
        <f>_xll.ohObjectCreationTime(AE1022)</f>
        <v>41709.402219131945</v>
      </c>
    </row>
    <row r="1023" spans="30:32" x14ac:dyDescent="0.25">
      <c r="AD1023" s="165" t="str">
        <v>EURIMMFRA6MX2_Quote</v>
      </c>
      <c r="AE1023" s="165" t="s">
        <v>1140</v>
      </c>
      <c r="AF1023" s="165">
        <f>_xll.ohObjectCreationTime(AE1023)</f>
        <v>41709.402219178242</v>
      </c>
    </row>
    <row r="1024" spans="30:32" x14ac:dyDescent="0.25">
      <c r="AD1024" s="165" t="str">
        <v>EURIMMFRA6MX3_Quote</v>
      </c>
      <c r="AE1024" s="165" t="s">
        <v>1072</v>
      </c>
      <c r="AF1024" s="165">
        <f>_xll.ohObjectCreationTime(AE1024)</f>
        <v>41709.402219236108</v>
      </c>
    </row>
    <row r="1025" spans="30:32" x14ac:dyDescent="0.25">
      <c r="AD1025" s="165" t="str">
        <v>EURIMMFRA6MX4_Quote</v>
      </c>
      <c r="AE1025" s="165" t="s">
        <v>1229</v>
      </c>
      <c r="AF1025" s="165">
        <f>_xll.ohObjectCreationTime(AE1025)</f>
        <v>41709.402219282405</v>
      </c>
    </row>
    <row r="1026" spans="30:32" x14ac:dyDescent="0.25">
      <c r="AD1026" s="165" t="str">
        <v>EURIMMFRA6MX5_Quote</v>
      </c>
      <c r="AE1026" s="165" t="s">
        <v>1090</v>
      </c>
      <c r="AF1026" s="165">
        <f>_xll.ohObjectCreationTime(AE1026)</f>
        <v>41709.402219328702</v>
      </c>
    </row>
    <row r="1027" spans="30:32" x14ac:dyDescent="0.25">
      <c r="AD1027" s="165" t="str">
        <v>EURIMMFRA6MX6_Quote</v>
      </c>
      <c r="AE1027" s="165" t="s">
        <v>1099</v>
      </c>
      <c r="AF1027" s="165">
        <f>_xll.ohObjectCreationTime(AE1027)</f>
        <v>41709.402219374999</v>
      </c>
    </row>
    <row r="1028" spans="30:32" x14ac:dyDescent="0.25">
      <c r="AD1028" s="165" t="str">
        <v>EURIMMFRA6MX7_Quote</v>
      </c>
      <c r="AE1028" s="165" t="s">
        <v>1217</v>
      </c>
      <c r="AF1028" s="165">
        <f>_xll.ohObjectCreationTime(AE1028)</f>
        <v>41709.402219421296</v>
      </c>
    </row>
    <row r="1029" spans="30:32" x14ac:dyDescent="0.25">
      <c r="AD1029" s="165" t="str">
        <v>EURIMMFRA6MX8_Quote</v>
      </c>
      <c r="AE1029" s="165" t="s">
        <v>1139</v>
      </c>
      <c r="AF1029" s="165">
        <f>_xll.ohObjectCreationTime(AE1029)</f>
        <v>41709.402219479169</v>
      </c>
    </row>
    <row r="1030" spans="30:32" x14ac:dyDescent="0.25">
      <c r="AD1030" s="165" t="str">
        <v>EURIMMFRA6MX9_Quote</v>
      </c>
      <c r="AE1030" s="165" t="s">
        <v>1156</v>
      </c>
      <c r="AF1030" s="165">
        <f>_xll.ohObjectCreationTime(AE1030)</f>
        <v>41709.402219525466</v>
      </c>
    </row>
    <row r="1031" spans="30:32" x14ac:dyDescent="0.25">
      <c r="AD1031" s="165" t="str">
        <v>EURIMMFRA6MZ0_Quote</v>
      </c>
      <c r="AE1031" s="165" t="s">
        <v>1184</v>
      </c>
      <c r="AF1031" s="165">
        <f>_xll.ohObjectCreationTime(AE1031)</f>
        <v>41709.402219571763</v>
      </c>
    </row>
    <row r="1032" spans="30:32" x14ac:dyDescent="0.25">
      <c r="AD1032" s="165" t="str">
        <v>EURIMMFRA6MZ1_Quote</v>
      </c>
      <c r="AE1032" s="165" t="s">
        <v>1087</v>
      </c>
      <c r="AF1032" s="165">
        <f>_xll.ohObjectCreationTime(AE1032)</f>
        <v>41709.402219618052</v>
      </c>
    </row>
    <row r="1033" spans="30:32" x14ac:dyDescent="0.25">
      <c r="AD1033" s="165" t="str">
        <v>EURIMMFRA6MZ2_Quote</v>
      </c>
      <c r="AE1033" s="165" t="s">
        <v>1205</v>
      </c>
      <c r="AF1033" s="165">
        <f>_xll.ohObjectCreationTime(AE1033)</f>
        <v>41709.402219664349</v>
      </c>
    </row>
    <row r="1034" spans="30:32" x14ac:dyDescent="0.25">
      <c r="AD1034" s="165" t="str">
        <v>EURIMMFRA6MZ3_Quote</v>
      </c>
      <c r="AE1034" s="165" t="s">
        <v>1064</v>
      </c>
      <c r="AF1034" s="165">
        <f>_xll.ohObjectCreationTime(AE1034)</f>
        <v>41709.402219710646</v>
      </c>
    </row>
    <row r="1035" spans="30:32" x14ac:dyDescent="0.25">
      <c r="AD1035" s="165" t="str">
        <v>EURIMMFRA6MZ4_Quote</v>
      </c>
      <c r="AE1035" s="165" t="s">
        <v>1146</v>
      </c>
      <c r="AF1035" s="165">
        <f>_xll.ohObjectCreationTime(AE1035)</f>
        <v>41709.402219768519</v>
      </c>
    </row>
    <row r="1036" spans="30:32" x14ac:dyDescent="0.25">
      <c r="AD1036" s="165" t="str">
        <v>EURIMMFRA6MZ5_Quote</v>
      </c>
      <c r="AE1036" s="165" t="s">
        <v>1176</v>
      </c>
      <c r="AF1036" s="165">
        <f>_xll.ohObjectCreationTime(AE1036)</f>
        <v>41709.402219814816</v>
      </c>
    </row>
    <row r="1037" spans="30:32" x14ac:dyDescent="0.25">
      <c r="AD1037" s="165" t="str">
        <v>EURIMMFRA6MZ6_Quote</v>
      </c>
      <c r="AE1037" s="165" t="s">
        <v>1092</v>
      </c>
      <c r="AF1037" s="165">
        <f>_xll.ohObjectCreationTime(AE1037)</f>
        <v>41709.402219861113</v>
      </c>
    </row>
    <row r="1038" spans="30:32" x14ac:dyDescent="0.25">
      <c r="AD1038" s="165" t="str">
        <v>EURIMMFRA6MZ7_Quote</v>
      </c>
      <c r="AE1038" s="165" t="s">
        <v>1179</v>
      </c>
      <c r="AF1038" s="165">
        <f>_xll.ohObjectCreationTime(AE1038)</f>
        <v>41709.40221990741</v>
      </c>
    </row>
    <row r="1039" spans="30:32" x14ac:dyDescent="0.25">
      <c r="AD1039" s="165" t="str">
        <v>EURIMMFRA6MZ8_Quote</v>
      </c>
      <c r="AE1039" s="165" t="s">
        <v>1208</v>
      </c>
      <c r="AF1039" s="165">
        <f>_xll.ohObjectCreationTime(AE1039)</f>
        <v>41709.402219953707</v>
      </c>
    </row>
    <row r="1040" spans="30:32" x14ac:dyDescent="0.25">
      <c r="AD1040" s="165" t="str">
        <v>EURIMMFRA6MZ9_Quote</v>
      </c>
      <c r="AE1040" s="165" t="s">
        <v>1043</v>
      </c>
      <c r="AF1040" s="165">
        <f>_xll.ohObjectCreationTime(AE1040)</f>
        <v>41709.402220000004</v>
      </c>
    </row>
    <row r="1041" spans="30:32" x14ac:dyDescent="0.25">
      <c r="AD1041" s="165" t="str">
        <v>EurLibor10M</v>
      </c>
      <c r="AE1041" s="165" t="s">
        <v>1068</v>
      </c>
      <c r="AF1041" s="165">
        <f>_xll.ohObjectCreationTime(AE1041)</f>
        <v>41709.402220046293</v>
      </c>
    </row>
    <row r="1042" spans="30:32" x14ac:dyDescent="0.25">
      <c r="AD1042" s="165" t="str">
        <v>EurLibor11M</v>
      </c>
      <c r="AE1042" s="165" t="s">
        <v>1215</v>
      </c>
      <c r="AF1042" s="165">
        <f>_xll.ohObjectCreationTime(AE1042)</f>
        <v>41709.402220104166</v>
      </c>
    </row>
    <row r="1043" spans="30:32" x14ac:dyDescent="0.25">
      <c r="AD1043" s="165" t="str">
        <v>EurLibor1M</v>
      </c>
      <c r="AE1043" s="165" t="s">
        <v>1116</v>
      </c>
      <c r="AF1043" s="165">
        <f>_xll.ohObjectCreationTime(AE1043)</f>
        <v>41709.402220150463</v>
      </c>
    </row>
    <row r="1044" spans="30:32" x14ac:dyDescent="0.25">
      <c r="AD1044" s="165" t="str">
        <v>EurLibor1Y</v>
      </c>
      <c r="AE1044" s="165" t="s">
        <v>1035</v>
      </c>
      <c r="AF1044" s="165">
        <f>_xll.ohObjectCreationTime(AE1044)</f>
        <v>41709.40222019676</v>
      </c>
    </row>
    <row r="1045" spans="30:32" x14ac:dyDescent="0.25">
      <c r="AD1045" s="165" t="str">
        <v>EurLibor2M</v>
      </c>
      <c r="AE1045" s="165" t="s">
        <v>1199</v>
      </c>
      <c r="AF1045" s="165">
        <f>_xll.ohObjectCreationTime(AE1045)</f>
        <v>41709.402220243057</v>
      </c>
    </row>
    <row r="1046" spans="30:32" x14ac:dyDescent="0.25">
      <c r="AD1046" s="165" t="str">
        <v>EurLibor2W</v>
      </c>
      <c r="AE1046" s="165" t="s">
        <v>1119</v>
      </c>
      <c r="AF1046" s="165">
        <f>_xll.ohObjectCreationTime(AE1046)</f>
        <v>41709.402220289354</v>
      </c>
    </row>
    <row r="1047" spans="30:32" x14ac:dyDescent="0.25">
      <c r="AD1047" s="165" t="str">
        <v>EurLibor3M</v>
      </c>
      <c r="AE1047" s="165" t="s">
        <v>1164</v>
      </c>
      <c r="AF1047" s="165">
        <f>_xll.ohObjectCreationTime(AE1047)</f>
        <v>41709.40222034722</v>
      </c>
    </row>
    <row r="1048" spans="30:32" x14ac:dyDescent="0.25">
      <c r="AD1048" s="165" t="str">
        <v>EurLibor4M</v>
      </c>
      <c r="AE1048" s="165" t="s">
        <v>1216</v>
      </c>
      <c r="AF1048" s="165">
        <f>_xll.ohObjectCreationTime(AE1048)</f>
        <v>41709.402220393516</v>
      </c>
    </row>
    <row r="1049" spans="30:32" x14ac:dyDescent="0.25">
      <c r="AD1049" s="165" t="str">
        <v>EurLibor5M</v>
      </c>
      <c r="AE1049" s="165" t="s">
        <v>1158</v>
      </c>
      <c r="AF1049" s="165">
        <f>_xll.ohObjectCreationTime(AE1049)</f>
        <v>41709.402220439813</v>
      </c>
    </row>
    <row r="1050" spans="30:32" x14ac:dyDescent="0.25">
      <c r="AD1050" s="165" t="str">
        <v>EurLibor6M</v>
      </c>
      <c r="AE1050" s="165" t="s">
        <v>1197</v>
      </c>
      <c r="AF1050" s="165">
        <f>_xll.ohObjectCreationTime(AE1050)</f>
        <v>41709.402220497686</v>
      </c>
    </row>
    <row r="1051" spans="30:32" x14ac:dyDescent="0.25">
      <c r="AD1051" s="165" t="str">
        <v>EurLibor7M</v>
      </c>
      <c r="AE1051" s="165" t="s">
        <v>1083</v>
      </c>
      <c r="AF1051" s="165">
        <f>_xll.ohObjectCreationTime(AE1051)</f>
        <v>41709.402220543983</v>
      </c>
    </row>
    <row r="1052" spans="30:32" x14ac:dyDescent="0.25">
      <c r="AD1052" s="165" t="str">
        <v>EurLibor8M</v>
      </c>
      <c r="AE1052" s="165" t="s">
        <v>1058</v>
      </c>
      <c r="AF1052" s="165">
        <f>_xll.ohObjectCreationTime(AE1052)</f>
        <v>41709.40222059028</v>
      </c>
    </row>
    <row r="1053" spans="30:32" x14ac:dyDescent="0.25">
      <c r="AD1053" s="165" t="str">
        <v>EurLibor9M</v>
      </c>
      <c r="AE1053" s="165" t="s">
        <v>1170</v>
      </c>
      <c r="AF1053" s="165">
        <f>_xll.ohObjectCreationTime(AE1053)</f>
        <v>41709.402220636577</v>
      </c>
    </row>
    <row r="1054" spans="30:32" x14ac:dyDescent="0.25">
      <c r="AD1054" s="165" t="str">
        <v>EurLiborON</v>
      </c>
      <c r="AE1054" s="165" t="s">
        <v>1155</v>
      </c>
      <c r="AF1054" s="165">
        <f>_xll.ohObjectCreationTime(AE1054)</f>
        <v>41709.402220682867</v>
      </c>
    </row>
    <row r="1055" spans="30:32" x14ac:dyDescent="0.25">
      <c r="AD1055" s="165" t="str">
        <v>EurLiborSW</v>
      </c>
      <c r="AE1055" s="165" t="s">
        <v>1065</v>
      </c>
      <c r="AF1055" s="165">
        <f>_xll.ohObjectCreationTime(AE1055)</f>
        <v>41709.40222074074</v>
      </c>
    </row>
    <row r="1056" spans="30:32" x14ac:dyDescent="0.25">
      <c r="AD1056" s="165" t="str">
        <v>EurLiborSwapIfrFix10Y</v>
      </c>
      <c r="AE1056" s="165" t="s">
        <v>1030</v>
      </c>
      <c r="AF1056" s="165">
        <f>_xll.ohObjectCreationTime(AE1056)</f>
        <v>41709.402220775461</v>
      </c>
    </row>
    <row r="1057" spans="30:32" x14ac:dyDescent="0.25">
      <c r="AD1057" s="165" t="str">
        <v>EurLiborSwapIfrFix11Y</v>
      </c>
      <c r="AE1057" s="165" t="s">
        <v>1157</v>
      </c>
      <c r="AF1057" s="165">
        <f>_xll.ohObjectCreationTime(AE1057)</f>
        <v>41709.402220833334</v>
      </c>
    </row>
    <row r="1058" spans="30:32" x14ac:dyDescent="0.25">
      <c r="AD1058" s="165" t="str">
        <v>EurLiborSwapIfrFix12Y</v>
      </c>
      <c r="AE1058" s="165" t="s">
        <v>1178</v>
      </c>
      <c r="AF1058" s="165">
        <f>_xll.ohObjectCreationTime(AE1058)</f>
        <v>41709.40222087963</v>
      </c>
    </row>
    <row r="1059" spans="30:32" x14ac:dyDescent="0.25">
      <c r="AD1059" s="165" t="str">
        <v>EurLiborSwapIfrFix13Y</v>
      </c>
      <c r="AE1059" s="165" t="s">
        <v>1010</v>
      </c>
      <c r="AF1059" s="165">
        <f>_xll.ohObjectCreationTime(AE1059)</f>
        <v>41709.402220925927</v>
      </c>
    </row>
    <row r="1060" spans="30:32" x14ac:dyDescent="0.25">
      <c r="AD1060" s="165" t="str">
        <v>EurLiborSwapIfrFix14Y</v>
      </c>
      <c r="AE1060" s="165" t="s">
        <v>1221</v>
      </c>
      <c r="AF1060" s="165">
        <f>_xll.ohObjectCreationTime(AE1060)</f>
        <v>41709.402220983793</v>
      </c>
    </row>
    <row r="1061" spans="30:32" x14ac:dyDescent="0.25">
      <c r="AD1061" s="165" t="str">
        <v>EurLiborSwapIfrFix15Y</v>
      </c>
      <c r="AE1061" s="165" t="s">
        <v>1026</v>
      </c>
      <c r="AF1061" s="165">
        <f>_xll.ohObjectCreationTime(AE1061)</f>
        <v>41709.40222103009</v>
      </c>
    </row>
    <row r="1062" spans="30:32" x14ac:dyDescent="0.25">
      <c r="AD1062" s="165" t="str">
        <v>EurLiborSwapIfrFix16Y</v>
      </c>
      <c r="AE1062" s="165" t="s">
        <v>1027</v>
      </c>
      <c r="AF1062" s="165">
        <f>_xll.ohObjectCreationTime(AE1062)</f>
        <v>41709.402221076387</v>
      </c>
    </row>
    <row r="1063" spans="30:32" x14ac:dyDescent="0.25">
      <c r="AD1063" s="165" t="str">
        <v>EurLiborSwapIfrFix17Y</v>
      </c>
      <c r="AE1063" s="165" t="s">
        <v>1165</v>
      </c>
      <c r="AF1063" s="165">
        <f>_xll.ohObjectCreationTime(AE1063)</f>
        <v>41709.402221122684</v>
      </c>
    </row>
    <row r="1064" spans="30:32" x14ac:dyDescent="0.25">
      <c r="AD1064" s="165" t="str">
        <v>EurLiborSwapIfrFix18Y</v>
      </c>
      <c r="AE1064" s="165" t="s">
        <v>1143</v>
      </c>
      <c r="AF1064" s="165">
        <f>_xll.ohObjectCreationTime(AE1064)</f>
        <v>41709.402221168981</v>
      </c>
    </row>
    <row r="1065" spans="30:32" x14ac:dyDescent="0.25">
      <c r="AD1065" s="165" t="str">
        <v>EurLiborSwapIfrFix19Y</v>
      </c>
      <c r="AE1065" s="165" t="s">
        <v>1029</v>
      </c>
      <c r="AF1065" s="165">
        <f>_xll.ohObjectCreationTime(AE1065)</f>
        <v>41709.402221215278</v>
      </c>
    </row>
    <row r="1066" spans="30:32" x14ac:dyDescent="0.25">
      <c r="AD1066" s="165" t="str">
        <v>EurLiborSwapIfrFix1Y</v>
      </c>
      <c r="AE1066" s="165" t="s">
        <v>1173</v>
      </c>
      <c r="AF1066" s="165">
        <f>_xll.ohObjectCreationTime(AE1066)</f>
        <v>41709.402221273151</v>
      </c>
    </row>
    <row r="1067" spans="30:32" x14ac:dyDescent="0.25">
      <c r="AD1067" s="165" t="str">
        <v>EurLiborSwapIfrFix20Y</v>
      </c>
      <c r="AE1067" s="165" t="s">
        <v>1078</v>
      </c>
      <c r="AF1067" s="165">
        <f>_xll.ohObjectCreationTime(AE1067)</f>
        <v>41709.402221319448</v>
      </c>
    </row>
    <row r="1068" spans="30:32" x14ac:dyDescent="0.25">
      <c r="AD1068" s="165" t="str">
        <v>EurLiborSwapIfrFix21Y</v>
      </c>
      <c r="AE1068" s="165" t="s">
        <v>1047</v>
      </c>
      <c r="AF1068" s="165">
        <f>_xll.ohObjectCreationTime(AE1068)</f>
        <v>41709.402221365737</v>
      </c>
    </row>
    <row r="1069" spans="30:32" x14ac:dyDescent="0.25">
      <c r="AD1069" s="165" t="str">
        <v>EurLiborSwapIfrFix22Y</v>
      </c>
      <c r="AE1069" s="165" t="s">
        <v>1224</v>
      </c>
      <c r="AF1069" s="165">
        <f>_xll.ohObjectCreationTime(AE1069)</f>
        <v>41709.402221412034</v>
      </c>
    </row>
    <row r="1070" spans="30:32" x14ac:dyDescent="0.25">
      <c r="AD1070" s="165" t="str">
        <v>EurLiborSwapIfrFix23Y</v>
      </c>
      <c r="AE1070" s="165" t="s">
        <v>1023</v>
      </c>
      <c r="AF1070" s="165">
        <f>_xll.ohObjectCreationTime(AE1070)</f>
        <v>41709.402221458331</v>
      </c>
    </row>
    <row r="1071" spans="30:32" x14ac:dyDescent="0.25">
      <c r="AD1071" s="165" t="str">
        <v>EurLiborSwapIfrFix24Y</v>
      </c>
      <c r="AE1071" s="165" t="s">
        <v>1187</v>
      </c>
      <c r="AF1071" s="165">
        <f>_xll.ohObjectCreationTime(AE1071)</f>
        <v>41709.402221516204</v>
      </c>
    </row>
    <row r="1072" spans="30:32" x14ac:dyDescent="0.25">
      <c r="AD1072" s="165" t="str">
        <v>EurLiborSwapIfrFix25Y</v>
      </c>
      <c r="AE1072" s="165" t="s">
        <v>1141</v>
      </c>
      <c r="AF1072" s="165">
        <f>_xll.ohObjectCreationTime(AE1072)</f>
        <v>41709.402221574077</v>
      </c>
    </row>
    <row r="1073" spans="30:32" x14ac:dyDescent="0.25">
      <c r="AD1073" s="165" t="str">
        <v>EurLiborSwapIfrFix26Y</v>
      </c>
      <c r="AE1073" s="165" t="s">
        <v>1052</v>
      </c>
      <c r="AF1073" s="165">
        <f>_xll.ohObjectCreationTime(AE1073)</f>
        <v>41709.402221620374</v>
      </c>
    </row>
    <row r="1074" spans="30:32" x14ac:dyDescent="0.25">
      <c r="AD1074" s="165" t="str">
        <v>EurLiborSwapIfrFix27Y</v>
      </c>
      <c r="AE1074" s="165" t="s">
        <v>601</v>
      </c>
      <c r="AF1074" s="165">
        <f>_xll.ohObjectCreationTime(AE1074)</f>
        <v>41709.402221666664</v>
      </c>
    </row>
    <row r="1075" spans="30:32" x14ac:dyDescent="0.25">
      <c r="AD1075" s="165" t="str">
        <v>EurLiborSwapIfrFix28Y</v>
      </c>
      <c r="AE1075" s="165" t="s">
        <v>1128</v>
      </c>
      <c r="AF1075" s="165">
        <f>_xll.ohObjectCreationTime(AE1075)</f>
        <v>41709.40222171296</v>
      </c>
    </row>
    <row r="1076" spans="30:32" x14ac:dyDescent="0.25">
      <c r="AD1076" s="165" t="str">
        <v>EurLiborSwapIfrFix29Y</v>
      </c>
      <c r="AE1076" s="165" t="s">
        <v>1198</v>
      </c>
      <c r="AF1076" s="165">
        <f>_xll.ohObjectCreationTime(AE1076)</f>
        <v>41709.402221759257</v>
      </c>
    </row>
    <row r="1077" spans="30:32" x14ac:dyDescent="0.25">
      <c r="AD1077" s="165" t="str">
        <v>EurLiborSwapIfrFix2Y</v>
      </c>
      <c r="AE1077" s="165" t="s">
        <v>1172</v>
      </c>
      <c r="AF1077" s="165">
        <f>_xll.ohObjectCreationTime(AE1077)</f>
        <v>41709.40222181713</v>
      </c>
    </row>
    <row r="1078" spans="30:32" x14ac:dyDescent="0.25">
      <c r="AD1078" s="165" t="str">
        <v>EurLiborSwapIfrFix30Y</v>
      </c>
      <c r="AE1078" s="165" t="s">
        <v>1118</v>
      </c>
      <c r="AF1078" s="165">
        <f>_xll.ohObjectCreationTime(AE1078)</f>
        <v>41709.402221863427</v>
      </c>
    </row>
    <row r="1079" spans="30:32" x14ac:dyDescent="0.25">
      <c r="AD1079" s="165" t="str">
        <v>EurLiborSwapIfrFix31Y</v>
      </c>
      <c r="AE1079" s="165" t="s">
        <v>1130</v>
      </c>
      <c r="AF1079" s="165">
        <f>_xll.ohObjectCreationTime(AE1079)</f>
        <v>41709.402221909724</v>
      </c>
    </row>
    <row r="1080" spans="30:32" x14ac:dyDescent="0.25">
      <c r="AD1080" s="165" t="str">
        <v>EurLiborSwapIfrFix32Y</v>
      </c>
      <c r="AE1080" s="165" t="s">
        <v>1210</v>
      </c>
      <c r="AF1080" s="165">
        <f>_xll.ohObjectCreationTime(AE1080)</f>
        <v>41709.402221956021</v>
      </c>
    </row>
    <row r="1081" spans="30:32" x14ac:dyDescent="0.25">
      <c r="AD1081" s="165" t="str">
        <v>EurLiborSwapIfrFix33Y</v>
      </c>
      <c r="AE1081" s="165" t="s">
        <v>1152</v>
      </c>
      <c r="AF1081" s="165">
        <f>_xll.ohObjectCreationTime(AE1081)</f>
        <v>41709.402222013887</v>
      </c>
    </row>
    <row r="1082" spans="30:32" x14ac:dyDescent="0.25">
      <c r="AD1082" s="165" t="str">
        <v>EurLiborSwapIfrFix34Y</v>
      </c>
      <c r="AE1082" s="165" t="s">
        <v>1207</v>
      </c>
      <c r="AF1082" s="165">
        <f>_xll.ohObjectCreationTime(AE1082)</f>
        <v>41709.402222060184</v>
      </c>
    </row>
    <row r="1083" spans="30:32" x14ac:dyDescent="0.25">
      <c r="AD1083" s="165" t="str">
        <v>EurLiborSwapIfrFix35Y</v>
      </c>
      <c r="AE1083" s="165" t="s">
        <v>1094</v>
      </c>
      <c r="AF1083" s="165">
        <f>_xll.ohObjectCreationTime(AE1083)</f>
        <v>41709.402222106481</v>
      </c>
    </row>
    <row r="1084" spans="30:32" x14ac:dyDescent="0.25">
      <c r="AD1084" s="165" t="str">
        <v>EurLiborSwapIfrFix36Y</v>
      </c>
      <c r="AE1084" s="165" t="s">
        <v>1024</v>
      </c>
      <c r="AF1084" s="165">
        <f>_xll.ohObjectCreationTime(AE1084)</f>
        <v>41709.402222164354</v>
      </c>
    </row>
    <row r="1085" spans="30:32" x14ac:dyDescent="0.25">
      <c r="AD1085" s="165" t="str">
        <v>EurLiborSwapIfrFix37Y</v>
      </c>
      <c r="AE1085" s="165" t="s">
        <v>1212</v>
      </c>
      <c r="AF1085" s="165">
        <f>_xll.ohObjectCreationTime(AE1085)</f>
        <v>41709.402222210651</v>
      </c>
    </row>
    <row r="1086" spans="30:32" x14ac:dyDescent="0.25">
      <c r="AD1086" s="165" t="str">
        <v>EurLiborSwapIfrFix38Y</v>
      </c>
      <c r="AE1086" s="165" t="s">
        <v>1177</v>
      </c>
      <c r="AF1086" s="165">
        <f>_xll.ohObjectCreationTime(AE1086)</f>
        <v>41709.402222256947</v>
      </c>
    </row>
    <row r="1087" spans="30:32" x14ac:dyDescent="0.25">
      <c r="AD1087" s="165" t="str">
        <v>EurLiborSwapIfrFix39Y</v>
      </c>
      <c r="AE1087" s="165" t="s">
        <v>1082</v>
      </c>
      <c r="AF1087" s="165">
        <f>_xll.ohObjectCreationTime(AE1087)</f>
        <v>41709.402222303244</v>
      </c>
    </row>
    <row r="1088" spans="30:32" x14ac:dyDescent="0.25">
      <c r="AD1088" s="165" t="str">
        <v>EurLiborSwapIfrFix3Y</v>
      </c>
      <c r="AE1088" s="165" t="s">
        <v>1120</v>
      </c>
      <c r="AF1088" s="165">
        <f>_xll.ohObjectCreationTime(AE1088)</f>
        <v>41709.402222349534</v>
      </c>
    </row>
    <row r="1089" spans="30:32" x14ac:dyDescent="0.25">
      <c r="AD1089" s="165" t="str">
        <v>EurLiborSwapIfrFix40Y</v>
      </c>
      <c r="AE1089" s="165" t="s">
        <v>1077</v>
      </c>
      <c r="AF1089" s="165">
        <f>_xll.ohObjectCreationTime(AE1089)</f>
        <v>41709.402222407407</v>
      </c>
    </row>
    <row r="1090" spans="30:32" x14ac:dyDescent="0.25">
      <c r="AD1090" s="165" t="str">
        <v>EurLiborSwapIfrFix41Y</v>
      </c>
      <c r="AE1090" s="165" t="s">
        <v>1025</v>
      </c>
      <c r="AF1090" s="165">
        <f>_xll.ohObjectCreationTime(AE1090)</f>
        <v>41709.402222453704</v>
      </c>
    </row>
    <row r="1091" spans="30:32" x14ac:dyDescent="0.25">
      <c r="AD1091" s="165" t="str">
        <v>EurLiborSwapIfrFix42Y</v>
      </c>
      <c r="AE1091" s="165" t="s">
        <v>1220</v>
      </c>
      <c r="AF1091" s="165">
        <f>_xll.ohObjectCreationTime(AE1091)</f>
        <v>41709.402222511577</v>
      </c>
    </row>
    <row r="1092" spans="30:32" x14ac:dyDescent="0.25">
      <c r="AD1092" s="165" t="str">
        <v>EurLiborSwapIfrFix43Y</v>
      </c>
      <c r="AE1092" s="165" t="s">
        <v>1067</v>
      </c>
      <c r="AF1092" s="165">
        <f>_xll.ohObjectCreationTime(AE1092)</f>
        <v>41709.402222557874</v>
      </c>
    </row>
    <row r="1093" spans="30:32" x14ac:dyDescent="0.25">
      <c r="AD1093" s="165" t="str">
        <v>EurLiborSwapIfrFix44Y</v>
      </c>
      <c r="AE1093" s="165" t="s">
        <v>1133</v>
      </c>
      <c r="AF1093" s="165">
        <f>_xll.ohObjectCreationTime(AE1093)</f>
        <v>41709.402222615739</v>
      </c>
    </row>
    <row r="1094" spans="30:32" x14ac:dyDescent="0.25">
      <c r="AD1094" s="165" t="str">
        <v>EurLiborSwapIfrFix45Y</v>
      </c>
      <c r="AE1094" s="165" t="s">
        <v>1012</v>
      </c>
      <c r="AF1094" s="165">
        <f>_xll.ohObjectCreationTime(AE1094)</f>
        <v>41709.402222662036</v>
      </c>
    </row>
    <row r="1095" spans="30:32" x14ac:dyDescent="0.25">
      <c r="AD1095" s="165" t="str">
        <v>EurLiborSwapIfrFix46Y</v>
      </c>
      <c r="AE1095" s="165" t="s">
        <v>1104</v>
      </c>
      <c r="AF1095" s="165">
        <f>_xll.ohObjectCreationTime(AE1095)</f>
        <v>41709.402222708333</v>
      </c>
    </row>
    <row r="1096" spans="30:32" x14ac:dyDescent="0.25">
      <c r="AD1096" s="165" t="str">
        <v>EurLiborSwapIfrFix47Y</v>
      </c>
      <c r="AE1096" s="165" t="s">
        <v>1159</v>
      </c>
      <c r="AF1096" s="165">
        <f>_xll.ohObjectCreationTime(AE1096)</f>
        <v>41709.402222766206</v>
      </c>
    </row>
    <row r="1097" spans="30:32" x14ac:dyDescent="0.25">
      <c r="AD1097" s="165" t="str">
        <v>EurLiborSwapIfrFix48Y</v>
      </c>
      <c r="AE1097" s="165" t="s">
        <v>1105</v>
      </c>
      <c r="AF1097" s="165">
        <f>_xll.ohObjectCreationTime(AE1097)</f>
        <v>41709.402222812503</v>
      </c>
    </row>
    <row r="1098" spans="30:32" x14ac:dyDescent="0.25">
      <c r="AD1098" s="165" t="str">
        <v>EurLiborSwapIfrFix49Y</v>
      </c>
      <c r="AE1098" s="165" t="s">
        <v>638</v>
      </c>
      <c r="AF1098" s="165">
        <f>_xll.ohObjectCreationTime(AE1098)</f>
        <v>41709.402222858793</v>
      </c>
    </row>
    <row r="1099" spans="30:32" x14ac:dyDescent="0.25">
      <c r="AD1099" s="165" t="str">
        <v>EurLiborSwapIfrFix4Y</v>
      </c>
      <c r="AE1099" s="165" t="s">
        <v>1081</v>
      </c>
      <c r="AF1099" s="165">
        <f>_xll.ohObjectCreationTime(AE1099)</f>
        <v>41709.402222916666</v>
      </c>
    </row>
    <row r="1100" spans="30:32" x14ac:dyDescent="0.25">
      <c r="AD1100" s="165" t="str">
        <v>EurLiborSwapIfrFix50Y</v>
      </c>
      <c r="AE1100" s="165" t="s">
        <v>1192</v>
      </c>
      <c r="AF1100" s="165">
        <f>_xll.ohObjectCreationTime(AE1100)</f>
        <v>41709.402222962963</v>
      </c>
    </row>
    <row r="1101" spans="30:32" x14ac:dyDescent="0.25">
      <c r="AD1101" s="165" t="str">
        <v>EurLiborSwapIfrFix51Y</v>
      </c>
      <c r="AE1101" s="165" t="s">
        <v>1127</v>
      </c>
      <c r="AF1101" s="165">
        <f>_xll.ohObjectCreationTime(AE1101)</f>
        <v>41709.40222300926</v>
      </c>
    </row>
    <row r="1102" spans="30:32" x14ac:dyDescent="0.25">
      <c r="AD1102" s="165" t="str">
        <v>EurLiborSwapIfrFix52Y</v>
      </c>
      <c r="AE1102" s="165" t="s">
        <v>1076</v>
      </c>
      <c r="AF1102" s="165">
        <f>_xll.ohObjectCreationTime(AE1102)</f>
        <v>41709.402223055557</v>
      </c>
    </row>
    <row r="1103" spans="30:32" x14ac:dyDescent="0.25">
      <c r="AD1103" s="165" t="str">
        <v>EurLiborSwapIfrFix53Y</v>
      </c>
      <c r="AE1103" s="165" t="s">
        <v>1124</v>
      </c>
      <c r="AF1103" s="165">
        <f>_xll.ohObjectCreationTime(AE1103)</f>
        <v>41709.402223113429</v>
      </c>
    </row>
    <row r="1104" spans="30:32" x14ac:dyDescent="0.25">
      <c r="AD1104" s="165" t="str">
        <v>EurLiborSwapIfrFix54Y</v>
      </c>
      <c r="AE1104" s="165" t="s">
        <v>1123</v>
      </c>
      <c r="AF1104" s="165">
        <f>_xll.ohObjectCreationTime(AE1104)</f>
        <v>41709.402223159719</v>
      </c>
    </row>
    <row r="1105" spans="30:32" x14ac:dyDescent="0.25">
      <c r="AD1105" s="165" t="str">
        <v>EurLiborSwapIfrFix55Y</v>
      </c>
      <c r="AE1105" s="165" t="s">
        <v>1180</v>
      </c>
      <c r="AF1105" s="165">
        <f>_xll.ohObjectCreationTime(AE1105)</f>
        <v>41709.402223217592</v>
      </c>
    </row>
    <row r="1106" spans="30:32" x14ac:dyDescent="0.25">
      <c r="AD1106" s="165" t="str">
        <v>EurLiborSwapIfrFix56Y</v>
      </c>
      <c r="AE1106" s="165" t="s">
        <v>1095</v>
      </c>
      <c r="AF1106" s="165">
        <f>_xll.ohObjectCreationTime(AE1106)</f>
        <v>41709.402223263889</v>
      </c>
    </row>
    <row r="1107" spans="30:32" x14ac:dyDescent="0.25">
      <c r="AD1107" s="165" t="str">
        <v>EurLiborSwapIfrFix57Y</v>
      </c>
      <c r="AE1107" s="165" t="s">
        <v>1191</v>
      </c>
      <c r="AF1107" s="165">
        <f>_xll.ohObjectCreationTime(AE1107)</f>
        <v>41709.402223321762</v>
      </c>
    </row>
    <row r="1108" spans="30:32" x14ac:dyDescent="0.25">
      <c r="AD1108" s="165" t="str">
        <v>EurLiborSwapIfrFix58Y</v>
      </c>
      <c r="AE1108" s="165" t="s">
        <v>1166</v>
      </c>
      <c r="AF1108" s="165">
        <f>_xll.ohObjectCreationTime(AE1108)</f>
        <v>41709.402223368059</v>
      </c>
    </row>
    <row r="1109" spans="30:32" x14ac:dyDescent="0.25">
      <c r="AD1109" s="165" t="str">
        <v>EurLiborSwapIfrFix59Y</v>
      </c>
      <c r="AE1109" s="165" t="s">
        <v>1204</v>
      </c>
      <c r="AF1109" s="165">
        <f>_xll.ohObjectCreationTime(AE1109)</f>
        <v>41709.402223414349</v>
      </c>
    </row>
    <row r="1110" spans="30:32" x14ac:dyDescent="0.25">
      <c r="AD1110" s="165" t="str">
        <v>EurLiborSwapIfrFix5Y</v>
      </c>
      <c r="AE1110" s="165" t="s">
        <v>1055</v>
      </c>
      <c r="AF1110" s="165">
        <f>_xll.ohObjectCreationTime(AE1110)</f>
        <v>41709.402223472222</v>
      </c>
    </row>
    <row r="1111" spans="30:32" x14ac:dyDescent="0.25">
      <c r="AD1111" s="165" t="str">
        <v>EurLiborSwapIfrFix60Y</v>
      </c>
      <c r="AE1111" s="165" t="s">
        <v>1102</v>
      </c>
      <c r="AF1111" s="165">
        <f>_xll.ohObjectCreationTime(AE1111)</f>
        <v>41709.402223518518</v>
      </c>
    </row>
    <row r="1112" spans="30:32" x14ac:dyDescent="0.25">
      <c r="AD1112" s="165" t="str">
        <v>EurLiborSwapIfrFix6Y</v>
      </c>
      <c r="AE1112" s="165" t="s">
        <v>1168</v>
      </c>
      <c r="AF1112" s="165">
        <f>_xll.ohObjectCreationTime(AE1112)</f>
        <v>41709.402223564815</v>
      </c>
    </row>
    <row r="1113" spans="30:32" x14ac:dyDescent="0.25">
      <c r="AD1113" s="165" t="str">
        <v>EurLiborSwapIfrFix7Y</v>
      </c>
      <c r="AE1113" s="165" t="s">
        <v>1223</v>
      </c>
      <c r="AF1113" s="165">
        <f>_xll.ohObjectCreationTime(AE1113)</f>
        <v>41709.402223611112</v>
      </c>
    </row>
    <row r="1114" spans="30:32" x14ac:dyDescent="0.25">
      <c r="AD1114" s="165" t="str">
        <v>EurLiborSwapIfrFix8Y</v>
      </c>
      <c r="AE1114" s="165" t="s">
        <v>636</v>
      </c>
      <c r="AF1114" s="165">
        <f>_xll.ohObjectCreationTime(AE1114)</f>
        <v>41709.402223668978</v>
      </c>
    </row>
    <row r="1115" spans="30:32" x14ac:dyDescent="0.25">
      <c r="AD1115" s="165" t="str">
        <v>EurLiborSwapIfrFix9Y</v>
      </c>
      <c r="AE1115" s="165" t="s">
        <v>1045</v>
      </c>
      <c r="AF1115" s="165">
        <f>_xll.ohObjectCreationTime(AE1115)</f>
        <v>41709.402223715275</v>
      </c>
    </row>
    <row r="1116" spans="30:32" x14ac:dyDescent="0.25">
      <c r="AD1116" s="165" t="str">
        <v>EurLiborSwapIsdaFixA10Y</v>
      </c>
      <c r="AE1116" s="165" t="s">
        <v>1193</v>
      </c>
      <c r="AF1116" s="165">
        <f>_xll.ohObjectCreationTime(AE1116)</f>
        <v>41709.402223761572</v>
      </c>
    </row>
    <row r="1117" spans="30:32" x14ac:dyDescent="0.25">
      <c r="AD1117" s="165" t="str">
        <v>EurLiborSwapIsdaFixA11Y</v>
      </c>
      <c r="AE1117" s="165" t="s">
        <v>1169</v>
      </c>
      <c r="AF1117" s="165">
        <f>_xll.ohObjectCreationTime(AE1117)</f>
        <v>41709.402223819445</v>
      </c>
    </row>
    <row r="1118" spans="30:32" x14ac:dyDescent="0.25">
      <c r="AD1118" s="165" t="str">
        <v>EurLiborSwapIsdaFixA12Y</v>
      </c>
      <c r="AE1118" s="165" t="s">
        <v>1006</v>
      </c>
      <c r="AF1118" s="165">
        <f>_xll.ohObjectCreationTime(AE1118)</f>
        <v>41709.402223865742</v>
      </c>
    </row>
    <row r="1119" spans="30:32" x14ac:dyDescent="0.25">
      <c r="AD1119" s="165" t="str">
        <v>EurLiborSwapIsdaFixA13Y</v>
      </c>
      <c r="AE1119" s="165" t="s">
        <v>1188</v>
      </c>
      <c r="AF1119" s="165">
        <f>_xll.ohObjectCreationTime(AE1119)</f>
        <v>41709.402223912039</v>
      </c>
    </row>
    <row r="1120" spans="30:32" x14ac:dyDescent="0.25">
      <c r="AD1120" s="165" t="str">
        <v>EurLiborSwapIsdaFixA14Y</v>
      </c>
      <c r="AE1120" s="165" t="s">
        <v>1053</v>
      </c>
      <c r="AF1120" s="165">
        <f>_xll.ohObjectCreationTime(AE1120)</f>
        <v>41709.402223958336</v>
      </c>
    </row>
    <row r="1121" spans="30:32" x14ac:dyDescent="0.25">
      <c r="AD1121" s="165" t="str">
        <v>EurLiborSwapIsdaFixA15Y</v>
      </c>
      <c r="AE1121" s="165" t="s">
        <v>1189</v>
      </c>
      <c r="AF1121" s="165">
        <f>_xll.ohObjectCreationTime(AE1121)</f>
        <v>41709.402224004632</v>
      </c>
    </row>
    <row r="1122" spans="30:32" x14ac:dyDescent="0.25">
      <c r="AD1122" s="165" t="str">
        <v>EurLiborSwapIsdaFixA16Y</v>
      </c>
      <c r="AE1122" s="165" t="s">
        <v>1080</v>
      </c>
      <c r="AF1122" s="165">
        <f>_xll.ohObjectCreationTime(AE1122)</f>
        <v>41709.402224062498</v>
      </c>
    </row>
    <row r="1123" spans="30:32" x14ac:dyDescent="0.25">
      <c r="AD1123" s="165" t="str">
        <v>EurLiborSwapIsdaFixA17Y</v>
      </c>
      <c r="AE1123" s="165" t="s">
        <v>1097</v>
      </c>
      <c r="AF1123" s="165">
        <f>_xll.ohObjectCreationTime(AE1123)</f>
        <v>41709.402224108795</v>
      </c>
    </row>
    <row r="1124" spans="30:32" x14ac:dyDescent="0.25">
      <c r="AD1124" s="165" t="str">
        <v>EurLiborSwapIsdaFixA18Y</v>
      </c>
      <c r="AE1124" s="165" t="s">
        <v>1033</v>
      </c>
      <c r="AF1124" s="165">
        <f>_xll.ohObjectCreationTime(AE1124)</f>
        <v>41709.402224155092</v>
      </c>
    </row>
    <row r="1125" spans="30:32" x14ac:dyDescent="0.25">
      <c r="AD1125" s="165" t="str">
        <v>EurLiborSwapIsdaFixA19Y</v>
      </c>
      <c r="AE1125" s="165" t="s">
        <v>1070</v>
      </c>
      <c r="AF1125" s="165">
        <f>_xll.ohObjectCreationTime(AE1125)</f>
        <v>41709.402224212965</v>
      </c>
    </row>
    <row r="1126" spans="30:32" x14ac:dyDescent="0.25">
      <c r="AD1126" s="165" t="str">
        <v>EurLiborSwapIsdaFixA1Y</v>
      </c>
      <c r="AE1126" s="165" t="s">
        <v>1103</v>
      </c>
      <c r="AF1126" s="165">
        <f>_xll.ohObjectCreationTime(AE1126)</f>
        <v>41709.402224259262</v>
      </c>
    </row>
    <row r="1127" spans="30:32" x14ac:dyDescent="0.25">
      <c r="AD1127" s="165" t="str">
        <v>EurLiborSwapIsdaFixA20Y</v>
      </c>
      <c r="AE1127" s="165" t="s">
        <v>1008</v>
      </c>
      <c r="AF1127" s="165">
        <f>_xll.ohObjectCreationTime(AE1127)</f>
        <v>41709.402224305559</v>
      </c>
    </row>
    <row r="1128" spans="30:32" x14ac:dyDescent="0.25">
      <c r="AD1128" s="165" t="str">
        <v>EurLiborSwapIsdaFixA21Y</v>
      </c>
      <c r="AE1128" s="165" t="s">
        <v>1196</v>
      </c>
      <c r="AF1128" s="165">
        <f>_xll.ohObjectCreationTime(AE1128)</f>
        <v>41709.402224351848</v>
      </c>
    </row>
    <row r="1129" spans="30:32" x14ac:dyDescent="0.25">
      <c r="AD1129" s="165" t="str">
        <v>EurLiborSwapIsdaFixA22Y</v>
      </c>
      <c r="AE1129" s="165" t="s">
        <v>1062</v>
      </c>
      <c r="AF1129" s="165">
        <f>_xll.ohObjectCreationTime(AE1129)</f>
        <v>41709.402224409721</v>
      </c>
    </row>
    <row r="1130" spans="30:32" x14ac:dyDescent="0.25">
      <c r="AD1130" s="165" t="str">
        <v>EurLiborSwapIsdaFixA23Y</v>
      </c>
      <c r="AE1130" s="165" t="s">
        <v>1079</v>
      </c>
      <c r="AF1130" s="165">
        <f>_xll.ohObjectCreationTime(AE1130)</f>
        <v>41709.402224456018</v>
      </c>
    </row>
    <row r="1131" spans="30:32" x14ac:dyDescent="0.25">
      <c r="AD1131" s="165" t="str">
        <v>EurLiborSwapIsdaFixA24Y</v>
      </c>
      <c r="AE1131" s="165" t="s">
        <v>1107</v>
      </c>
      <c r="AF1131" s="165">
        <f>_xll.ohObjectCreationTime(AE1131)</f>
        <v>41709.402224513891</v>
      </c>
    </row>
    <row r="1132" spans="30:32" x14ac:dyDescent="0.25">
      <c r="AD1132" s="165" t="str">
        <v>EurLiborSwapIsdaFixA25Y</v>
      </c>
      <c r="AE1132" s="165" t="s">
        <v>1163</v>
      </c>
      <c r="AF1132" s="165">
        <f>_xll.ohObjectCreationTime(AE1132)</f>
        <v>41709.402224571757</v>
      </c>
    </row>
    <row r="1133" spans="30:32" x14ac:dyDescent="0.25">
      <c r="AD1133" s="165" t="str">
        <v>EurLiborSwapIsdaFixA26Y</v>
      </c>
      <c r="AE1133" s="165" t="s">
        <v>1113</v>
      </c>
      <c r="AF1133" s="165">
        <f>_xll.ohObjectCreationTime(AE1133)</f>
        <v>41709.402224618054</v>
      </c>
    </row>
    <row r="1134" spans="30:32" x14ac:dyDescent="0.25">
      <c r="AD1134" s="165" t="str">
        <v>EurLiborSwapIsdaFixA27Y</v>
      </c>
      <c r="AE1134" s="165" t="s">
        <v>1051</v>
      </c>
      <c r="AF1134" s="165">
        <f>_xll.ohObjectCreationTime(AE1134)</f>
        <v>41709.402224664351</v>
      </c>
    </row>
    <row r="1135" spans="30:32" x14ac:dyDescent="0.25">
      <c r="AD1135" s="165" t="str">
        <v>EurLiborSwapIsdaFixA28Y</v>
      </c>
      <c r="AE1135" s="165" t="s">
        <v>1206</v>
      </c>
      <c r="AF1135" s="165">
        <f>_xll.ohObjectCreationTime(AE1135)</f>
        <v>41709.402224722224</v>
      </c>
    </row>
    <row r="1136" spans="30:32" x14ac:dyDescent="0.25">
      <c r="AD1136" s="165" t="str">
        <v>EurLiborSwapIsdaFixA29Y</v>
      </c>
      <c r="AE1136" s="165" t="s">
        <v>1098</v>
      </c>
      <c r="AF1136" s="165">
        <f>_xll.ohObjectCreationTime(AE1136)</f>
        <v>41709.402224768521</v>
      </c>
    </row>
    <row r="1137" spans="30:32" x14ac:dyDescent="0.25">
      <c r="AD1137" s="165" t="str">
        <v>EurLiborSwapIsdaFixA2Y</v>
      </c>
      <c r="AE1137" s="165" t="s">
        <v>1161</v>
      </c>
      <c r="AF1137" s="165">
        <f>_xll.ohObjectCreationTime(AE1137)</f>
        <v>41709.402224814818</v>
      </c>
    </row>
    <row r="1138" spans="30:32" x14ac:dyDescent="0.25">
      <c r="AD1138" s="165" t="str">
        <v>EurLiborSwapIsdaFixA30Y</v>
      </c>
      <c r="AE1138" s="165" t="s">
        <v>1014</v>
      </c>
      <c r="AF1138" s="165">
        <f>_xll.ohObjectCreationTime(AE1138)</f>
        <v>41709.402224872683</v>
      </c>
    </row>
    <row r="1139" spans="30:32" x14ac:dyDescent="0.25">
      <c r="AD1139" s="165" t="str">
        <v>EurLiborSwapIsdaFixA31Y</v>
      </c>
      <c r="AE1139" s="165" t="s">
        <v>1153</v>
      </c>
      <c r="AF1139" s="165">
        <f>_xll.ohObjectCreationTime(AE1139)</f>
        <v>41709.40222491898</v>
      </c>
    </row>
    <row r="1140" spans="30:32" x14ac:dyDescent="0.25">
      <c r="AD1140" s="165" t="str">
        <v>EurLiborSwapIsdaFixA32Y</v>
      </c>
      <c r="AE1140" s="165" t="s">
        <v>1154</v>
      </c>
      <c r="AF1140" s="165">
        <f>_xll.ohObjectCreationTime(AE1140)</f>
        <v>41709.402224976853</v>
      </c>
    </row>
    <row r="1141" spans="30:32" x14ac:dyDescent="0.25">
      <c r="AD1141" s="165" t="str">
        <v>EurLiborSwapIsdaFixA33Y</v>
      </c>
      <c r="AE1141" s="165" t="s">
        <v>1228</v>
      </c>
      <c r="AF1141" s="165">
        <f>_xll.ohObjectCreationTime(AE1141)</f>
        <v>41709.40222502315</v>
      </c>
    </row>
    <row r="1142" spans="30:32" x14ac:dyDescent="0.25">
      <c r="AD1142" s="165" t="str">
        <v>EurLiborSwapIsdaFixA34Y</v>
      </c>
      <c r="AE1142" s="165" t="s">
        <v>1109</v>
      </c>
      <c r="AF1142" s="165">
        <f>_xll.ohObjectCreationTime(AE1142)</f>
        <v>41709.402225069447</v>
      </c>
    </row>
    <row r="1143" spans="30:32" x14ac:dyDescent="0.25">
      <c r="AD1143" s="165" t="str">
        <v>EurLiborSwapIsdaFixA35Y</v>
      </c>
      <c r="AE1143" s="165" t="s">
        <v>1059</v>
      </c>
      <c r="AF1143" s="165">
        <f>_xll.ohObjectCreationTime(AE1143)</f>
        <v>41709.402225115744</v>
      </c>
    </row>
    <row r="1144" spans="30:32" x14ac:dyDescent="0.25">
      <c r="AD1144" s="165" t="str">
        <v>EurLiborSwapIsdaFixA36Y</v>
      </c>
      <c r="AE1144" s="165" t="s">
        <v>1151</v>
      </c>
      <c r="AF1144" s="165">
        <f>_xll.ohObjectCreationTime(AE1144)</f>
        <v>41709.40222517361</v>
      </c>
    </row>
    <row r="1145" spans="30:32" x14ac:dyDescent="0.25">
      <c r="AD1145" s="165" t="str">
        <v>EurLiborSwapIsdaFixA37Y</v>
      </c>
      <c r="AE1145" s="165" t="s">
        <v>1091</v>
      </c>
      <c r="AF1145" s="165">
        <f>_xll.ohObjectCreationTime(AE1145)</f>
        <v>41709.402225219907</v>
      </c>
    </row>
    <row r="1146" spans="30:32" x14ac:dyDescent="0.25">
      <c r="AD1146" s="165" t="str">
        <v>EurLiborSwapIsdaFixA38Y</v>
      </c>
      <c r="AE1146" s="165" t="s">
        <v>1031</v>
      </c>
      <c r="AF1146" s="165">
        <f>_xll.ohObjectCreationTime(AE1146)</f>
        <v>41709.40222527778</v>
      </c>
    </row>
    <row r="1147" spans="30:32" x14ac:dyDescent="0.25">
      <c r="AD1147" s="165" t="str">
        <v>EurLiborSwapIsdaFixA39Y</v>
      </c>
      <c r="AE1147" s="165" t="s">
        <v>1071</v>
      </c>
      <c r="AF1147" s="165">
        <f>_xll.ohObjectCreationTime(AE1147)</f>
        <v>41709.402225324076</v>
      </c>
    </row>
    <row r="1148" spans="30:32" x14ac:dyDescent="0.25">
      <c r="AD1148" s="165" t="str">
        <v>EurLiborSwapIsdaFixA3Y</v>
      </c>
      <c r="AE1148" s="165" t="s">
        <v>1150</v>
      </c>
      <c r="AF1148" s="165">
        <f>_xll.ohObjectCreationTime(AE1148)</f>
        <v>41709.402225370373</v>
      </c>
    </row>
    <row r="1149" spans="30:32" x14ac:dyDescent="0.25">
      <c r="AD1149" s="165" t="str">
        <v>EurLiborSwapIsdaFixA40Y</v>
      </c>
      <c r="AE1149" s="165" t="s">
        <v>1132</v>
      </c>
      <c r="AF1149" s="165">
        <f>_xll.ohObjectCreationTime(AE1149)</f>
        <v>41709.402225428239</v>
      </c>
    </row>
    <row r="1150" spans="30:32" x14ac:dyDescent="0.25">
      <c r="AD1150" s="165" t="str">
        <v>EurLiborSwapIsdaFixA41Y</v>
      </c>
      <c r="AE1150" s="165" t="s">
        <v>1049</v>
      </c>
      <c r="AF1150" s="165">
        <f>_xll.ohObjectCreationTime(AE1150)</f>
        <v>41709.402225474536</v>
      </c>
    </row>
    <row r="1151" spans="30:32" x14ac:dyDescent="0.25">
      <c r="AD1151" s="165" t="str">
        <v>EurLiborSwapIsdaFixA42Y</v>
      </c>
      <c r="AE1151" s="165" t="s">
        <v>1202</v>
      </c>
      <c r="AF1151" s="165">
        <f>_xll.ohObjectCreationTime(AE1151)</f>
        <v>41709.402225520833</v>
      </c>
    </row>
    <row r="1152" spans="30:32" x14ac:dyDescent="0.25">
      <c r="AD1152" s="165" t="str">
        <v>EurLiborSwapIsdaFixA43Y</v>
      </c>
      <c r="AE1152" s="165" t="s">
        <v>1089</v>
      </c>
      <c r="AF1152" s="165">
        <f>_xll.ohObjectCreationTime(AE1152)</f>
        <v>41709.402225578706</v>
      </c>
    </row>
    <row r="1153" spans="30:32" x14ac:dyDescent="0.25">
      <c r="AD1153" s="165" t="str">
        <v>EurLiborSwapIsdaFixA44Y</v>
      </c>
      <c r="AE1153" s="165" t="s">
        <v>1135</v>
      </c>
      <c r="AF1153" s="165">
        <f>_xll.ohObjectCreationTime(AE1153)</f>
        <v>41709.402225625003</v>
      </c>
    </row>
    <row r="1154" spans="30:32" x14ac:dyDescent="0.25">
      <c r="AD1154" s="165" t="str">
        <v>EurLiborSwapIsdaFixA45Y</v>
      </c>
      <c r="AE1154" s="165" t="s">
        <v>1019</v>
      </c>
      <c r="AF1154" s="165">
        <f>_xll.ohObjectCreationTime(AE1154)</f>
        <v>41709.402225682868</v>
      </c>
    </row>
    <row r="1155" spans="30:32" x14ac:dyDescent="0.25">
      <c r="AD1155" s="165" t="str">
        <v>EurLiborSwapIsdaFixA46Y</v>
      </c>
      <c r="AE1155" s="165" t="s">
        <v>1056</v>
      </c>
      <c r="AF1155" s="165">
        <f>_xll.ohObjectCreationTime(AE1155)</f>
        <v>41709.402225729165</v>
      </c>
    </row>
    <row r="1156" spans="30:32" x14ac:dyDescent="0.25">
      <c r="AD1156" s="165" t="str">
        <v>EurLiborSwapIsdaFixA47Y</v>
      </c>
      <c r="AE1156" s="165" t="s">
        <v>1115</v>
      </c>
      <c r="AF1156" s="165">
        <f>_xll.ohObjectCreationTime(AE1156)</f>
        <v>41709.402225775462</v>
      </c>
    </row>
    <row r="1157" spans="30:32" x14ac:dyDescent="0.25">
      <c r="AD1157" s="165" t="str">
        <v>EurLiborSwapIsdaFixA48Y</v>
      </c>
      <c r="AE1157" s="165" t="s">
        <v>1121</v>
      </c>
      <c r="AF1157" s="165">
        <f>_xll.ohObjectCreationTime(AE1157)</f>
        <v>41709.402225821759</v>
      </c>
    </row>
    <row r="1158" spans="30:32" x14ac:dyDescent="0.25">
      <c r="AD1158" s="165" t="str">
        <v>EurLiborSwapIsdaFixA49Y</v>
      </c>
      <c r="AE1158" s="165" t="s">
        <v>1100</v>
      </c>
      <c r="AF1158" s="165">
        <f>_xll.ohObjectCreationTime(AE1158)</f>
        <v>41709.402225879632</v>
      </c>
    </row>
    <row r="1159" spans="30:32" x14ac:dyDescent="0.25">
      <c r="AD1159" s="165" t="str">
        <v>EurLiborSwapIsdaFixA4Y</v>
      </c>
      <c r="AE1159" s="165" t="s">
        <v>1108</v>
      </c>
      <c r="AF1159" s="165">
        <f>_xll.ohObjectCreationTime(AE1159)</f>
        <v>41709.402225925929</v>
      </c>
    </row>
    <row r="1160" spans="30:32" x14ac:dyDescent="0.25">
      <c r="AD1160" s="165" t="str">
        <v>EurLiborSwapIsdaFixA50Y</v>
      </c>
      <c r="AE1160" s="165" t="s">
        <v>1138</v>
      </c>
      <c r="AF1160" s="165">
        <f>_xll.ohObjectCreationTime(AE1160)</f>
        <v>41709.402225983795</v>
      </c>
    </row>
    <row r="1161" spans="30:32" x14ac:dyDescent="0.25">
      <c r="AD1161" s="165" t="str">
        <v>EurLiborSwapIsdaFixA51Y</v>
      </c>
      <c r="AE1161" s="165" t="s">
        <v>1066</v>
      </c>
      <c r="AF1161" s="165">
        <f>_xll.ohObjectCreationTime(AE1161)</f>
        <v>41709.402226030092</v>
      </c>
    </row>
    <row r="1162" spans="30:32" x14ac:dyDescent="0.25">
      <c r="AD1162" s="165" t="str">
        <v>EurLiborSwapIsdaFixA52Y</v>
      </c>
      <c r="AE1162" s="165" t="s">
        <v>1131</v>
      </c>
      <c r="AF1162" s="165">
        <f>_xll.ohObjectCreationTime(AE1162)</f>
        <v>41709.402226076389</v>
      </c>
    </row>
    <row r="1163" spans="30:32" x14ac:dyDescent="0.25">
      <c r="AD1163" s="165" t="str">
        <v>EurLiborSwapIsdaFixA53Y</v>
      </c>
      <c r="AE1163" s="165" t="s">
        <v>1050</v>
      </c>
      <c r="AF1163" s="165">
        <f>_xll.ohObjectCreationTime(AE1163)</f>
        <v>41709.402226134262</v>
      </c>
    </row>
    <row r="1164" spans="30:32" x14ac:dyDescent="0.25">
      <c r="AD1164" s="165" t="str">
        <v>EurLiborSwapIsdaFixA54Y</v>
      </c>
      <c r="AE1164" s="165" t="s">
        <v>1226</v>
      </c>
      <c r="AF1164" s="165">
        <f>_xll.ohObjectCreationTime(AE1164)</f>
        <v>41709.402226192127</v>
      </c>
    </row>
    <row r="1165" spans="30:32" x14ac:dyDescent="0.25">
      <c r="AD1165" s="165" t="str">
        <v>EurLiborSwapIsdaFixA55Y</v>
      </c>
      <c r="AE1165" s="165" t="s">
        <v>1175</v>
      </c>
      <c r="AF1165" s="165">
        <f>_xll.ohObjectCreationTime(AE1165)</f>
        <v>41709.402226238424</v>
      </c>
    </row>
    <row r="1166" spans="30:32" x14ac:dyDescent="0.25">
      <c r="AD1166" s="165" t="str">
        <v>EurLiborSwapIsdaFixA56Y</v>
      </c>
      <c r="AE1166" s="165" t="s">
        <v>1106</v>
      </c>
      <c r="AF1166" s="165">
        <f>_xll.ohObjectCreationTime(AE1166)</f>
        <v>41709.402226296297</v>
      </c>
    </row>
    <row r="1167" spans="30:32" x14ac:dyDescent="0.25">
      <c r="AD1167" s="165" t="str">
        <v>EurLiborSwapIsdaFixA57Y</v>
      </c>
      <c r="AE1167" s="165" t="s">
        <v>1018</v>
      </c>
      <c r="AF1167" s="165">
        <f>_xll.ohObjectCreationTime(AE1167)</f>
        <v>41709.402226342594</v>
      </c>
    </row>
    <row r="1168" spans="30:32" x14ac:dyDescent="0.25">
      <c r="AD1168" s="165" t="str">
        <v>EurLiborSwapIsdaFixA58Y</v>
      </c>
      <c r="AE1168" s="165" t="s">
        <v>1084</v>
      </c>
      <c r="AF1168" s="165">
        <f>_xll.ohObjectCreationTime(AE1168)</f>
        <v>41709.402226388891</v>
      </c>
    </row>
    <row r="1169" spans="30:32" x14ac:dyDescent="0.25">
      <c r="AD1169" s="165" t="str">
        <v>EurLiborSwapIsdaFixA59Y</v>
      </c>
      <c r="AE1169" s="165" t="s">
        <v>1200</v>
      </c>
      <c r="AF1169" s="165">
        <f>_xll.ohObjectCreationTime(AE1169)</f>
        <v>41709.402226446757</v>
      </c>
    </row>
    <row r="1170" spans="30:32" x14ac:dyDescent="0.25">
      <c r="AD1170" s="165" t="str">
        <v>EurLiborSwapIsdaFixA5Y</v>
      </c>
      <c r="AE1170" s="165" t="s">
        <v>1174</v>
      </c>
      <c r="AF1170" s="165">
        <f>_xll.ohObjectCreationTime(AE1170)</f>
        <v>41709.402226493054</v>
      </c>
    </row>
    <row r="1171" spans="30:32" x14ac:dyDescent="0.25">
      <c r="AD1171" s="165" t="str">
        <v>EurLiborSwapIsdaFixA60Y</v>
      </c>
      <c r="AE1171" s="165" t="s">
        <v>1195</v>
      </c>
      <c r="AF1171" s="165">
        <f>_xll.ohObjectCreationTime(AE1171)</f>
        <v>41709.402226550927</v>
      </c>
    </row>
    <row r="1172" spans="30:32" x14ac:dyDescent="0.25">
      <c r="AD1172" s="165" t="str">
        <v>EurLiborSwapIsdaFixA6Y</v>
      </c>
      <c r="AE1172" s="165" t="s">
        <v>1114</v>
      </c>
      <c r="AF1172" s="165">
        <f>_xll.ohObjectCreationTime(AE1172)</f>
        <v>41709.402226597223</v>
      </c>
    </row>
    <row r="1173" spans="30:32" x14ac:dyDescent="0.25">
      <c r="AD1173" s="165" t="str">
        <v>EurLiborSwapIsdaFixA7Y</v>
      </c>
      <c r="AE1173" s="165" t="s">
        <v>1111</v>
      </c>
      <c r="AF1173" s="165">
        <f>_xll.ohObjectCreationTime(AE1173)</f>
        <v>41709.402226655089</v>
      </c>
    </row>
    <row r="1174" spans="30:32" x14ac:dyDescent="0.25">
      <c r="AD1174" s="165" t="str">
        <v>EurLiborSwapIsdaFixA8Y</v>
      </c>
      <c r="AE1174" s="165" t="s">
        <v>1060</v>
      </c>
      <c r="AF1174" s="165">
        <f>_xll.ohObjectCreationTime(AE1174)</f>
        <v>41709.402226701386</v>
      </c>
    </row>
    <row r="1175" spans="30:32" x14ac:dyDescent="0.25">
      <c r="AD1175" s="165" t="str">
        <v>EurLiborSwapIsdaFixA9Y</v>
      </c>
      <c r="AE1175" s="165" t="s">
        <v>1186</v>
      </c>
      <c r="AF1175" s="165">
        <f>_xll.ohObjectCreationTime(AE1175)</f>
        <v>41709.402226759259</v>
      </c>
    </row>
    <row r="1176" spans="30:32" x14ac:dyDescent="0.25">
      <c r="AD1176" s="165" t="str">
        <v>EurLiborSwapIsdaFixB10Y</v>
      </c>
      <c r="AE1176" s="165" t="s">
        <v>1086</v>
      </c>
      <c r="AF1176" s="165">
        <f>_xll.ohObjectCreationTime(AE1176)</f>
        <v>41709.402226805556</v>
      </c>
    </row>
    <row r="1177" spans="30:32" x14ac:dyDescent="0.25">
      <c r="AD1177" s="165" t="str">
        <v>EurLiborSwapIsdaFixB11Y</v>
      </c>
      <c r="AE1177" s="165" t="s">
        <v>1145</v>
      </c>
      <c r="AF1177" s="165">
        <f>_xll.ohObjectCreationTime(AE1177)</f>
        <v>41709.402226851853</v>
      </c>
    </row>
    <row r="1178" spans="30:32" x14ac:dyDescent="0.25">
      <c r="AD1178" s="165" t="str">
        <v>EurLiborSwapIsdaFixB12Y</v>
      </c>
      <c r="AE1178" s="165" t="s">
        <v>1209</v>
      </c>
      <c r="AF1178" s="165">
        <f>_xll.ohObjectCreationTime(AE1178)</f>
        <v>41709.402226909719</v>
      </c>
    </row>
    <row r="1179" spans="30:32" x14ac:dyDescent="0.25">
      <c r="AD1179" s="165" t="str">
        <v>EurLiborSwapIsdaFixB13Y</v>
      </c>
      <c r="AE1179" s="165" t="s">
        <v>1017</v>
      </c>
      <c r="AF1179" s="165">
        <f>_xll.ohObjectCreationTime(AE1179)</f>
        <v>41709.402227615741</v>
      </c>
    </row>
    <row r="1180" spans="30:32" x14ac:dyDescent="0.25">
      <c r="AD1180" s="165" t="str">
        <v>EurLiborSwapIsdaFixB14Y</v>
      </c>
      <c r="AE1180" s="165" t="s">
        <v>323</v>
      </c>
      <c r="AF1180" s="165">
        <f>_xll.ohObjectCreationTime(AE1180)</f>
        <v>41709.402227662038</v>
      </c>
    </row>
    <row r="1181" spans="30:32" x14ac:dyDescent="0.25">
      <c r="AD1181" s="165" t="str">
        <v>EurLiborSwapIsdaFixB15Y</v>
      </c>
      <c r="AE1181" s="165" t="s">
        <v>1048</v>
      </c>
      <c r="AF1181" s="165">
        <f>_xll.ohObjectCreationTime(AE1181)</f>
        <v>41709.402227858795</v>
      </c>
    </row>
    <row r="1182" spans="30:32" x14ac:dyDescent="0.25">
      <c r="AD1182" s="165" t="str">
        <v>EurLiborSwapIsdaFixB16Y</v>
      </c>
      <c r="AE1182" s="165" t="s">
        <v>1011</v>
      </c>
      <c r="AF1182" s="165">
        <f>_xll.ohObjectCreationTime(AE1182)</f>
        <v>41709.40222802083</v>
      </c>
    </row>
    <row r="1183" spans="30:32" x14ac:dyDescent="0.25">
      <c r="AD1183" s="165" t="str">
        <v>EurLiborSwapIsdaFixB17Y</v>
      </c>
      <c r="AE1183" s="165" t="s">
        <v>1007</v>
      </c>
      <c r="AF1183" s="165">
        <f>_xll.ohObjectCreationTime(AE1183)</f>
        <v>41709.402228090279</v>
      </c>
    </row>
    <row r="1184" spans="30:32" x14ac:dyDescent="0.25">
      <c r="AD1184" s="165" t="str">
        <v>EurLiborSwapIsdaFixB18Y</v>
      </c>
      <c r="AE1184" s="165" t="s">
        <v>1034</v>
      </c>
      <c r="AF1184" s="165">
        <f>_xll.ohObjectCreationTime(AE1184)</f>
        <v>41709.402228148145</v>
      </c>
    </row>
    <row r="1185" spans="30:32" x14ac:dyDescent="0.25">
      <c r="AD1185" s="165" t="str">
        <v>EurLiborSwapIsdaFixB19Y</v>
      </c>
      <c r="AE1185" s="165" t="s">
        <v>1015</v>
      </c>
      <c r="AF1185" s="165">
        <f>_xll.ohObjectCreationTime(AE1185)</f>
        <v>41709.402228969906</v>
      </c>
    </row>
    <row r="1186" spans="30:32" x14ac:dyDescent="0.25">
      <c r="AD1186" s="165" t="str">
        <v>EurLiborSwapIsdaFixB1Y</v>
      </c>
      <c r="AE1186" s="165" t="s">
        <v>1230</v>
      </c>
      <c r="AF1186" s="165">
        <f>_xll.ohObjectCreationTime(AE1186)</f>
        <v>41709.402229027779</v>
      </c>
    </row>
    <row r="1187" spans="30:32" x14ac:dyDescent="0.25">
      <c r="AD1187" s="165" t="str">
        <v>EurLiborSwapIsdaFixB20Y</v>
      </c>
      <c r="AE1187" s="165" t="s">
        <v>1046</v>
      </c>
      <c r="AF1187" s="165">
        <f>_xll.ohObjectCreationTime(AE1187)</f>
        <v>41709.402229097221</v>
      </c>
    </row>
    <row r="1188" spans="30:32" x14ac:dyDescent="0.25">
      <c r="AD1188" s="165" t="str">
        <v>EurLiborSwapIsdaFixB21Y</v>
      </c>
      <c r="AE1188" s="165" t="s">
        <v>1013</v>
      </c>
      <c r="AF1188" s="165">
        <f>_xll.ohObjectCreationTime(AE1188)</f>
        <v>41709.402229143518</v>
      </c>
    </row>
    <row r="1189" spans="30:32" x14ac:dyDescent="0.25">
      <c r="AD1189" s="165" t="str">
        <v>EurLiborSwapIsdaFixB22Y</v>
      </c>
      <c r="AE1189" s="165" t="s">
        <v>1040</v>
      </c>
      <c r="AF1189" s="165">
        <f>_xll.ohObjectCreationTime(AE1189)</f>
        <v>41709.402229189815</v>
      </c>
    </row>
    <row r="1190" spans="30:32" x14ac:dyDescent="0.25">
      <c r="AD1190" s="165" t="str">
        <v>EurLiborSwapIsdaFixB23Y</v>
      </c>
      <c r="AE1190" s="165" t="s">
        <v>1009</v>
      </c>
      <c r="AF1190" s="165">
        <f>_xll.ohObjectCreationTime(AE1190)</f>
        <v>41709.402229247688</v>
      </c>
    </row>
    <row r="1191" spans="30:32" x14ac:dyDescent="0.25">
      <c r="AD1191" s="165" t="str">
        <v>EurLiborSwapIsdaFixB24Y</v>
      </c>
      <c r="AE1191" s="165" t="s">
        <v>1036</v>
      </c>
      <c r="AF1191" s="165">
        <f>_xll.ohObjectCreationTime(AE1191)</f>
        <v>41709.402229317129</v>
      </c>
    </row>
    <row r="1192" spans="30:32" x14ac:dyDescent="0.25">
      <c r="AD1192" s="165" t="str">
        <v>EurLiborSwapIsdaFixB25Y</v>
      </c>
      <c r="AE1192" s="165" t="s">
        <v>1044</v>
      </c>
      <c r="AF1192" s="165">
        <f>_xll.ohObjectCreationTime(AE1192)</f>
        <v>41709.402229386571</v>
      </c>
    </row>
    <row r="1193" spans="30:32" x14ac:dyDescent="0.25">
      <c r="AD1193" s="165" t="str">
        <v>EurLiborSwapIsdaFixB26Y</v>
      </c>
      <c r="AE1193" s="165" t="s">
        <v>1042</v>
      </c>
      <c r="AF1193" s="165">
        <f>_xll.ohObjectCreationTime(AE1193)</f>
        <v>41709.402229502317</v>
      </c>
    </row>
    <row r="1194" spans="30:32" x14ac:dyDescent="0.25">
      <c r="AD1194" s="165" t="str">
        <v>EurLiborSwapIsdaFixB27Y</v>
      </c>
      <c r="AE1194" s="165" t="s">
        <v>1038</v>
      </c>
      <c r="AF1194" s="165">
        <f>_xll.ohObjectCreationTime(AE1194)</f>
        <v>41709.402229548614</v>
      </c>
    </row>
    <row r="1195" spans="30:32" x14ac:dyDescent="0.25">
      <c r="AD1195" s="165" t="str">
        <v>EurLiborSwapIsdaFixB28Y</v>
      </c>
      <c r="AE1195" s="165" t="s">
        <v>985</v>
      </c>
      <c r="AF1195" s="165">
        <f>_xll.ohObjectCreationTime(AE1195)</f>
        <v>41709.402230844906</v>
      </c>
    </row>
    <row r="1196" spans="30:32" x14ac:dyDescent="0.25">
      <c r="AD1196" s="165" t="str">
        <v>EurLiborSwapIsdaFixB29Y</v>
      </c>
      <c r="AE1196" s="165" t="s">
        <v>953</v>
      </c>
      <c r="AF1196" s="165">
        <f>_xll.ohObjectCreationTime(AE1196)</f>
        <v>41709.402230891203</v>
      </c>
    </row>
    <row r="1197" spans="30:32" x14ac:dyDescent="0.25">
      <c r="AD1197" s="165" t="str">
        <v>EurLiborSwapIsdaFixB2Y</v>
      </c>
      <c r="AE1197" s="165" t="s">
        <v>923</v>
      </c>
      <c r="AF1197" s="165">
        <f>_xll.ohObjectCreationTime(AE1197)</f>
        <v>41709.4022309375</v>
      </c>
    </row>
    <row r="1198" spans="30:32" x14ac:dyDescent="0.25">
      <c r="AD1198" s="165" t="str">
        <v>EurLiborSwapIsdaFixB30Y</v>
      </c>
      <c r="AE1198" s="165" t="s">
        <v>959</v>
      </c>
      <c r="AF1198" s="165">
        <f>_xll.ohObjectCreationTime(AE1198)</f>
        <v>41709.402230983796</v>
      </c>
    </row>
    <row r="1199" spans="30:32" x14ac:dyDescent="0.25">
      <c r="AD1199" s="165" t="str">
        <v>EurLiborSwapIsdaFixB31Y</v>
      </c>
      <c r="AE1199" s="165" t="s">
        <v>929</v>
      </c>
      <c r="AF1199" s="165">
        <f>_xll.ohObjectCreationTime(AE1199)</f>
        <v>41709.402231030093</v>
      </c>
    </row>
    <row r="1200" spans="30:32" x14ac:dyDescent="0.25">
      <c r="AD1200" s="165" t="str">
        <v>EurLiborSwapIsdaFixB32Y</v>
      </c>
      <c r="AE1200" s="165" t="s">
        <v>975</v>
      </c>
      <c r="AF1200" s="165">
        <f>_xll.ohObjectCreationTime(AE1200)</f>
        <v>41709.402231087966</v>
      </c>
    </row>
    <row r="1201" spans="30:32" x14ac:dyDescent="0.25">
      <c r="AD1201" s="165" t="str">
        <v>EurLiborSwapIsdaFixB33Y</v>
      </c>
      <c r="AE1201" s="165" t="s">
        <v>931</v>
      </c>
      <c r="AF1201" s="165">
        <f>_xll.ohObjectCreationTime(AE1201)</f>
        <v>41709.402231134256</v>
      </c>
    </row>
    <row r="1202" spans="30:32" x14ac:dyDescent="0.25">
      <c r="AD1202" s="165" t="str">
        <v>EurLiborSwapIsdaFixB34Y</v>
      </c>
      <c r="AE1202" s="165" t="s">
        <v>977</v>
      </c>
      <c r="AF1202" s="165">
        <f>_xll.ohObjectCreationTime(AE1202)</f>
        <v>41709.402231180553</v>
      </c>
    </row>
    <row r="1203" spans="30:32" x14ac:dyDescent="0.25">
      <c r="AD1203" s="165" t="str">
        <v>EurLiborSwapIsdaFixB35Y</v>
      </c>
      <c r="AE1203" s="165" t="s">
        <v>935</v>
      </c>
      <c r="AF1203" s="165">
        <f>_xll.ohObjectCreationTime(AE1203)</f>
        <v>41709.40223122685</v>
      </c>
    </row>
    <row r="1204" spans="30:32" x14ac:dyDescent="0.25">
      <c r="AD1204" s="165" t="str">
        <v>EurLiborSwapIsdaFixB36Y</v>
      </c>
      <c r="AE1204" s="165" t="s">
        <v>991</v>
      </c>
      <c r="AF1204" s="165">
        <f>_xll.ohObjectCreationTime(AE1204)</f>
        <v>41709.402231273147</v>
      </c>
    </row>
    <row r="1205" spans="30:32" x14ac:dyDescent="0.25">
      <c r="AD1205" s="165" t="str">
        <v>EurLiborSwapIsdaFixB37Y</v>
      </c>
      <c r="AE1205" s="165" t="s">
        <v>995</v>
      </c>
      <c r="AF1205" s="165">
        <f>_xll.ohObjectCreationTime(AE1205)</f>
        <v>41709.402231319444</v>
      </c>
    </row>
    <row r="1206" spans="30:32" x14ac:dyDescent="0.25">
      <c r="AD1206" s="165" t="str">
        <v>EurLiborSwapIsdaFixB38Y</v>
      </c>
      <c r="AE1206" s="165" t="s">
        <v>961</v>
      </c>
      <c r="AF1206" s="165">
        <f>_xll.ohObjectCreationTime(AE1206)</f>
        <v>41709.402231365741</v>
      </c>
    </row>
    <row r="1207" spans="30:32" x14ac:dyDescent="0.25">
      <c r="AD1207" s="165" t="str">
        <v>EurLiborSwapIsdaFixB39Y</v>
      </c>
      <c r="AE1207" s="165" t="s">
        <v>969</v>
      </c>
      <c r="AF1207" s="165">
        <f>_xll.ohObjectCreationTime(AE1207)</f>
        <v>41709.402231423614</v>
      </c>
    </row>
    <row r="1208" spans="30:32" x14ac:dyDescent="0.25">
      <c r="AD1208" s="165" t="str">
        <v>EurLiborSwapIsdaFixB3Y</v>
      </c>
      <c r="AE1208" s="165" t="s">
        <v>943</v>
      </c>
      <c r="AF1208" s="165">
        <f>_xll.ohObjectCreationTime(AE1208)</f>
        <v>41709.402231481479</v>
      </c>
    </row>
    <row r="1209" spans="30:32" x14ac:dyDescent="0.25">
      <c r="AD1209" s="165" t="str">
        <v>EurLiborSwapIsdaFixB40Y</v>
      </c>
      <c r="AE1209" s="165" t="s">
        <v>963</v>
      </c>
      <c r="AF1209" s="165">
        <f>_xll.ohObjectCreationTime(AE1209)</f>
        <v>41709.402231527776</v>
      </c>
    </row>
    <row r="1210" spans="30:32" x14ac:dyDescent="0.25">
      <c r="AD1210" s="165" t="str">
        <v>EurLiborSwapIsdaFixB41Y</v>
      </c>
      <c r="AE1210" s="165" t="s">
        <v>1003</v>
      </c>
      <c r="AF1210" s="165">
        <f>_xll.ohObjectCreationTime(AE1210)</f>
        <v>41709.402231574073</v>
      </c>
    </row>
    <row r="1211" spans="30:32" x14ac:dyDescent="0.25">
      <c r="AD1211" s="165" t="str">
        <v>EurLiborSwapIsdaFixB42Y</v>
      </c>
      <c r="AE1211" s="165" t="s">
        <v>999</v>
      </c>
      <c r="AF1211" s="165">
        <f>_xll.ohObjectCreationTime(AE1211)</f>
        <v>41709.40223162037</v>
      </c>
    </row>
    <row r="1212" spans="30:32" x14ac:dyDescent="0.25">
      <c r="AD1212" s="165" t="str">
        <v>EurLiborSwapIsdaFixB43Y</v>
      </c>
      <c r="AE1212" s="165" t="s">
        <v>947</v>
      </c>
      <c r="AF1212" s="165">
        <f>_xll.ohObjectCreationTime(AE1212)</f>
        <v>41709.402231666667</v>
      </c>
    </row>
    <row r="1213" spans="30:32" x14ac:dyDescent="0.25">
      <c r="AD1213" s="165" t="str">
        <v>EurLiborSwapIsdaFixB44Y</v>
      </c>
      <c r="AE1213" s="165" t="s">
        <v>941</v>
      </c>
      <c r="AF1213" s="165">
        <f>_xll.ohObjectCreationTime(AE1213)</f>
        <v>41709.40223172454</v>
      </c>
    </row>
    <row r="1214" spans="30:32" x14ac:dyDescent="0.25">
      <c r="AD1214" s="165" t="str">
        <v>EurLiborSwapIsdaFixB45Y</v>
      </c>
      <c r="AE1214" s="165" t="s">
        <v>965</v>
      </c>
      <c r="AF1214" s="165">
        <f>_xll.ohObjectCreationTime(AE1214)</f>
        <v>41709.402231770837</v>
      </c>
    </row>
    <row r="1215" spans="30:32" x14ac:dyDescent="0.25">
      <c r="AD1215" s="165" t="str">
        <v>EurLiborSwapIsdaFixB46Y</v>
      </c>
      <c r="AE1215" s="165" t="s">
        <v>973</v>
      </c>
      <c r="AF1215" s="165">
        <f>_xll.ohObjectCreationTime(AE1215)</f>
        <v>41709.402231817126</v>
      </c>
    </row>
    <row r="1216" spans="30:32" x14ac:dyDescent="0.25">
      <c r="AD1216" s="165" t="str">
        <v>EurLiborSwapIsdaFixB47Y</v>
      </c>
      <c r="AE1216" s="165" t="s">
        <v>925</v>
      </c>
      <c r="AF1216" s="165">
        <f>_xll.ohObjectCreationTime(AE1216)</f>
        <v>41709.402231863423</v>
      </c>
    </row>
    <row r="1217" spans="30:32" x14ac:dyDescent="0.25">
      <c r="AD1217" s="165" t="str">
        <v>EurLiborSwapIsdaFixB48Y</v>
      </c>
      <c r="AE1217" s="165" t="s">
        <v>933</v>
      </c>
      <c r="AF1217" s="165">
        <f>_xll.ohObjectCreationTime(AE1217)</f>
        <v>41709.40223190972</v>
      </c>
    </row>
    <row r="1218" spans="30:32" x14ac:dyDescent="0.25">
      <c r="AD1218" s="165" t="str">
        <v>EurLiborSwapIsdaFixB49Y</v>
      </c>
      <c r="AE1218" s="165" t="s">
        <v>921</v>
      </c>
      <c r="AF1218" s="165">
        <f>_xll.ohObjectCreationTime(AE1218)</f>
        <v>41709.402231956017</v>
      </c>
    </row>
    <row r="1219" spans="30:32" x14ac:dyDescent="0.25">
      <c r="AD1219" s="165" t="str">
        <v>EurLiborSwapIsdaFixB4Y</v>
      </c>
      <c r="AE1219" s="165" t="s">
        <v>971</v>
      </c>
      <c r="AF1219" s="165">
        <f>_xll.ohObjectCreationTime(AE1219)</f>
        <v>41709.402232002314</v>
      </c>
    </row>
    <row r="1220" spans="30:32" x14ac:dyDescent="0.25">
      <c r="AD1220" s="165" t="str">
        <v>EurLiborSwapIsdaFixB50Y</v>
      </c>
      <c r="AE1220" s="165" t="s">
        <v>979</v>
      </c>
      <c r="AF1220" s="165">
        <f>_xll.ohObjectCreationTime(AE1220)</f>
        <v>41709.402232048611</v>
      </c>
    </row>
    <row r="1221" spans="30:32" x14ac:dyDescent="0.25">
      <c r="AD1221" s="165" t="str">
        <v>EurLiborSwapIsdaFixB51Y</v>
      </c>
      <c r="AE1221" s="165" t="s">
        <v>989</v>
      </c>
      <c r="AF1221" s="165">
        <f>_xll.ohObjectCreationTime(AE1221)</f>
        <v>41709.402232094908</v>
      </c>
    </row>
    <row r="1222" spans="30:32" x14ac:dyDescent="0.25">
      <c r="AD1222" s="165" t="str">
        <v>EurLiborSwapIsdaFixB52Y</v>
      </c>
      <c r="AE1222" s="165" t="s">
        <v>945</v>
      </c>
      <c r="AF1222" s="165">
        <f>_xll.ohObjectCreationTime(AE1222)</f>
        <v>41709.402232141205</v>
      </c>
    </row>
    <row r="1223" spans="30:32" x14ac:dyDescent="0.25">
      <c r="AD1223" s="165" t="str">
        <v>EurLiborSwapIsdaFixB53Y</v>
      </c>
      <c r="AE1223" s="165" t="s">
        <v>1001</v>
      </c>
      <c r="AF1223" s="165">
        <f>_xll.ohObjectCreationTime(AE1223)</f>
        <v>41709.402232187502</v>
      </c>
    </row>
    <row r="1224" spans="30:32" x14ac:dyDescent="0.25">
      <c r="AD1224" s="165" t="str">
        <v>EurLiborSwapIsdaFixB54Y</v>
      </c>
      <c r="AE1224" s="165" t="s">
        <v>937</v>
      </c>
      <c r="AF1224" s="165">
        <f>_xll.ohObjectCreationTime(AE1224)</f>
        <v>41709.402232233799</v>
      </c>
    </row>
    <row r="1225" spans="30:32" x14ac:dyDescent="0.25">
      <c r="AD1225" s="165" t="str">
        <v>EurLiborSwapIsdaFixB55Y</v>
      </c>
      <c r="AE1225" s="165" t="s">
        <v>997</v>
      </c>
      <c r="AF1225" s="165">
        <f>_xll.ohObjectCreationTime(AE1225)</f>
        <v>41709.402232280096</v>
      </c>
    </row>
    <row r="1226" spans="30:32" x14ac:dyDescent="0.25">
      <c r="AD1226" s="165" t="str">
        <v>EurLiborSwapIsdaFixB56Y</v>
      </c>
      <c r="AE1226" s="165" t="s">
        <v>981</v>
      </c>
      <c r="AF1226" s="165">
        <f>_xll.ohObjectCreationTime(AE1226)</f>
        <v>41709.402232326385</v>
      </c>
    </row>
    <row r="1227" spans="30:32" x14ac:dyDescent="0.25">
      <c r="AD1227" s="165" t="str">
        <v>EurLiborSwapIsdaFixB57Y</v>
      </c>
      <c r="AE1227" s="165" t="s">
        <v>967</v>
      </c>
      <c r="AF1227" s="165">
        <f>_xll.ohObjectCreationTime(AE1227)</f>
        <v>41709.402232372682</v>
      </c>
    </row>
    <row r="1228" spans="30:32" x14ac:dyDescent="0.25">
      <c r="AD1228" s="165" t="str">
        <v>EurLiborSwapIsdaFixB58Y</v>
      </c>
      <c r="AE1228" s="165" t="s">
        <v>927</v>
      </c>
      <c r="AF1228" s="165">
        <f>_xll.ohObjectCreationTime(AE1228)</f>
        <v>41709.402232418979</v>
      </c>
    </row>
    <row r="1229" spans="30:32" x14ac:dyDescent="0.25">
      <c r="AD1229" s="165" t="str">
        <v>EurLiborSwapIsdaFixB59Y</v>
      </c>
      <c r="AE1229" s="165" t="s">
        <v>993</v>
      </c>
      <c r="AF1229" s="165">
        <f>_xll.ohObjectCreationTime(AE1229)</f>
        <v>41709.402232465276</v>
      </c>
    </row>
    <row r="1230" spans="30:32" x14ac:dyDescent="0.25">
      <c r="AD1230" s="165" t="str">
        <v>EurLiborSwapIsdaFixB5Y</v>
      </c>
      <c r="AE1230" s="165" t="s">
        <v>949</v>
      </c>
      <c r="AF1230" s="165">
        <f>_xll.ohObjectCreationTime(AE1230)</f>
        <v>41709.402232511573</v>
      </c>
    </row>
    <row r="1231" spans="30:32" x14ac:dyDescent="0.25">
      <c r="AD1231" s="165" t="str">
        <v>EurLiborSwapIsdaFixB60Y</v>
      </c>
      <c r="AE1231" s="165" t="s">
        <v>957</v>
      </c>
      <c r="AF1231" s="165">
        <f>_xll.ohObjectCreationTime(AE1231)</f>
        <v>41709.40223255787</v>
      </c>
    </row>
    <row r="1232" spans="30:32" x14ac:dyDescent="0.25">
      <c r="AD1232" s="165" t="str">
        <v>EurLiborSwapIsdaFixB6Y</v>
      </c>
      <c r="AE1232" s="165" t="s">
        <v>987</v>
      </c>
      <c r="AF1232" s="165">
        <f>_xll.ohObjectCreationTime(AE1232)</f>
        <v>41709.402232604167</v>
      </c>
    </row>
    <row r="1233" spans="30:32" x14ac:dyDescent="0.25">
      <c r="AD1233" s="165" t="str">
        <v>EurLiborSwapIsdaFixB7Y</v>
      </c>
      <c r="AE1233" s="165" t="s">
        <v>983</v>
      </c>
      <c r="AF1233" s="165">
        <f>_xll.ohObjectCreationTime(AE1233)</f>
        <v>41709.402232650464</v>
      </c>
    </row>
    <row r="1234" spans="30:32" x14ac:dyDescent="0.25">
      <c r="AD1234" s="165" t="str">
        <v>EurLiborSwapIsdaFixB8Y</v>
      </c>
      <c r="AE1234" s="165" t="s">
        <v>951</v>
      </c>
      <c r="AF1234" s="165">
        <f>_xll.ohObjectCreationTime(AE1234)</f>
        <v>41709.402232708337</v>
      </c>
    </row>
    <row r="1235" spans="30:32" x14ac:dyDescent="0.25">
      <c r="AD1235" s="165" t="str">
        <v>EurLiborSwapIsdaFixB9Y</v>
      </c>
      <c r="AE1235" s="165" t="s">
        <v>939</v>
      </c>
      <c r="AF1235" s="165">
        <f>_xll.ohObjectCreationTime(AE1235)</f>
        <v>41709.402232754626</v>
      </c>
    </row>
    <row r="1236" spans="30:32" x14ac:dyDescent="0.25">
      <c r="AD1236" s="165" t="str">
        <v>EURLiborYC1M</v>
      </c>
      <c r="AE1236" s="165" t="s">
        <v>955</v>
      </c>
      <c r="AF1236" s="165">
        <f>_xll.ohObjectCreationTime(AE1236)</f>
        <v>41709.402232800923</v>
      </c>
    </row>
    <row r="1237" spans="30:32" x14ac:dyDescent="0.25">
      <c r="AD1237" s="165" t="str">
        <v>EURLiborYC1Y</v>
      </c>
      <c r="AE1237" s="165" t="s">
        <v>962</v>
      </c>
      <c r="AF1237" s="165">
        <f>_xll.ohObjectCreationTime(AE1237)</f>
        <v>41709.402233391207</v>
      </c>
    </row>
    <row r="1238" spans="30:32" x14ac:dyDescent="0.25">
      <c r="AD1238" s="165" t="str">
        <v>EURLiborYC3M</v>
      </c>
      <c r="AE1238" s="165" t="s">
        <v>934</v>
      </c>
      <c r="AF1238" s="165">
        <f>_xll.ohObjectCreationTime(AE1238)</f>
        <v>41709.402233437497</v>
      </c>
    </row>
    <row r="1239" spans="30:32" x14ac:dyDescent="0.25">
      <c r="AD1239" s="165" t="str">
        <v>EURLiborYC6M</v>
      </c>
      <c r="AE1239" s="165" t="s">
        <v>986</v>
      </c>
      <c r="AF1239" s="165">
        <f>_xll.ohObjectCreationTime(AE1239)</f>
        <v>41709.40223349537</v>
      </c>
    </row>
    <row r="1240" spans="30:32" x14ac:dyDescent="0.25">
      <c r="AD1240" s="165" t="str">
        <v>EURLiborYCON</v>
      </c>
      <c r="AE1240" s="165" t="s">
        <v>992</v>
      </c>
      <c r="AF1240" s="165">
        <f>_xll.ohObjectCreationTime(AE1240)</f>
        <v>41709.402233553243</v>
      </c>
    </row>
    <row r="1241" spans="30:32" x14ac:dyDescent="0.25">
      <c r="AD1241" s="165" t="str">
        <v>EUROND_Quote</v>
      </c>
      <c r="AE1241" s="165" t="s">
        <v>964</v>
      </c>
      <c r="AF1241" s="165">
        <f>_xll.ohObjectCreationTime(AE1241)</f>
        <v>41709.402233611108</v>
      </c>
    </row>
    <row r="1242" spans="30:32" x14ac:dyDescent="0.25">
      <c r="AD1242" s="165" t="str">
        <v>EUROND_SYNTH1M_Quote</v>
      </c>
      <c r="AE1242" s="165" t="s">
        <v>980</v>
      </c>
      <c r="AF1242" s="165">
        <f>_xll.ohObjectCreationTime(AE1242)</f>
        <v>41709.402233668981</v>
      </c>
    </row>
    <row r="1243" spans="30:32" x14ac:dyDescent="0.25">
      <c r="AD1243" s="165" t="str">
        <v>EUROND_SYNTH1Y_Quote</v>
      </c>
      <c r="AE1243" s="165" t="s">
        <v>950</v>
      </c>
      <c r="AF1243" s="165">
        <f>_xll.ohObjectCreationTime(AE1243)</f>
        <v>41709.402233726854</v>
      </c>
    </row>
    <row r="1244" spans="30:32" x14ac:dyDescent="0.25">
      <c r="AD1244" s="165" t="str">
        <v>EUROND_SYNTH3M_Quote</v>
      </c>
      <c r="AE1244" s="165" t="s">
        <v>956</v>
      </c>
      <c r="AF1244" s="165">
        <f>_xll.ohObjectCreationTime(AE1244)</f>
        <v>41709.40223378472</v>
      </c>
    </row>
    <row r="1245" spans="30:32" x14ac:dyDescent="0.25">
      <c r="AD1245" s="165" t="str">
        <v>EUROND_SYNTH6M_Quote</v>
      </c>
      <c r="AE1245" s="165" t="s">
        <v>976</v>
      </c>
      <c r="AF1245" s="165">
        <f>_xll.ohObjectCreationTime(AE1245)</f>
        <v>41709.402233842593</v>
      </c>
    </row>
    <row r="1246" spans="30:32" x14ac:dyDescent="0.25">
      <c r="AD1246" s="165" t="str">
        <v>EURSND_Quote</v>
      </c>
      <c r="AE1246" s="165" t="s">
        <v>984</v>
      </c>
      <c r="AF1246" s="165">
        <f>_xll.ohObjectCreationTime(AE1246)</f>
        <v>41709.40223388889</v>
      </c>
    </row>
    <row r="1247" spans="30:32" x14ac:dyDescent="0.25">
      <c r="AD1247" s="165" t="str">
        <v>EURSND_SYNTH1M_Quote</v>
      </c>
      <c r="AE1247" s="165" t="s">
        <v>922</v>
      </c>
      <c r="AF1247" s="165">
        <f>_xll.ohObjectCreationTime(AE1247)</f>
        <v>41709.402233946763</v>
      </c>
    </row>
    <row r="1248" spans="30:32" x14ac:dyDescent="0.25">
      <c r="AD1248" s="165" t="str">
        <v>EURSND_SYNTH1Y_Quote</v>
      </c>
      <c r="AE1248" s="165" t="s">
        <v>996</v>
      </c>
      <c r="AF1248" s="165">
        <f>_xll.ohObjectCreationTime(AE1248)</f>
        <v>41709.402234004629</v>
      </c>
    </row>
    <row r="1249" spans="30:32" x14ac:dyDescent="0.25">
      <c r="AD1249" s="165" t="str">
        <v>EURSND_SYNTH3M_Quote</v>
      </c>
      <c r="AE1249" s="165" t="s">
        <v>930</v>
      </c>
      <c r="AF1249" s="165">
        <f>_xll.ohObjectCreationTime(AE1249)</f>
        <v>41709.402234062502</v>
      </c>
    </row>
    <row r="1250" spans="30:32" x14ac:dyDescent="0.25">
      <c r="AD1250" s="165" t="str">
        <v>EURSND_SYNTH6M_Quote</v>
      </c>
      <c r="AE1250" s="165" t="s">
        <v>994</v>
      </c>
      <c r="AF1250" s="165">
        <f>_xll.ohObjectCreationTime(AE1250)</f>
        <v>41709.402234120367</v>
      </c>
    </row>
    <row r="1251" spans="30:32" x14ac:dyDescent="0.25">
      <c r="AD1251" s="165" t="str">
        <v>EURSWD_Quote</v>
      </c>
      <c r="AE1251" s="165" t="s">
        <v>928</v>
      </c>
      <c r="AF1251" s="165">
        <f>_xll.ohObjectCreationTime(AE1251)</f>
        <v>41709.40223417824</v>
      </c>
    </row>
    <row r="1252" spans="30:32" x14ac:dyDescent="0.25">
      <c r="AD1252" s="165" t="str">
        <v>EURSWD_SYNTH1M_Quote</v>
      </c>
      <c r="AE1252" s="165" t="s">
        <v>926</v>
      </c>
      <c r="AF1252" s="165">
        <f>_xll.ohObjectCreationTime(AE1252)</f>
        <v>41709.402234236113</v>
      </c>
    </row>
    <row r="1253" spans="30:32" x14ac:dyDescent="0.25">
      <c r="AD1253" s="165" t="str">
        <v>EURSWD_SYNTH1Y_Quote</v>
      </c>
      <c r="AE1253" s="165" t="s">
        <v>968</v>
      </c>
      <c r="AF1253" s="165">
        <f>_xll.ohObjectCreationTime(AE1253)</f>
        <v>41709.402234293979</v>
      </c>
    </row>
    <row r="1254" spans="30:32" x14ac:dyDescent="0.25">
      <c r="AD1254" s="165" t="str">
        <v>EURSWD_SYNTH3M_Quote</v>
      </c>
      <c r="AE1254" s="165" t="s">
        <v>974</v>
      </c>
      <c r="AF1254" s="165">
        <f>_xll.ohObjectCreationTime(AE1254)</f>
        <v>41709.402234351852</v>
      </c>
    </row>
    <row r="1255" spans="30:32" x14ac:dyDescent="0.25">
      <c r="AD1255" s="165" t="str">
        <v>EURSWD_SYNTH6M_Quote</v>
      </c>
      <c r="AE1255" s="165" t="s">
        <v>954</v>
      </c>
      <c r="AF1255" s="165">
        <f>_xll.ohObjectCreationTime(AE1255)</f>
        <v>41709.402234409725</v>
      </c>
    </row>
    <row r="1256" spans="30:32" x14ac:dyDescent="0.25">
      <c r="AD1256" s="165" t="str">
        <v>EURT12F1_Quote</v>
      </c>
      <c r="AE1256" s="165" t="s">
        <v>990</v>
      </c>
      <c r="AF1256" s="165">
        <f>_xll.ohObjectCreationTime(AE1256)</f>
        <v>41709.40223446759</v>
      </c>
    </row>
    <row r="1257" spans="30:32" x14ac:dyDescent="0.25">
      <c r="AD1257" s="165" t="str">
        <v>EURT1F1_Quote</v>
      </c>
      <c r="AE1257" s="165" t="s">
        <v>946</v>
      </c>
      <c r="AF1257" s="165">
        <f>_xll.ohObjectCreationTime(AE1257)</f>
        <v>41709.402234525463</v>
      </c>
    </row>
    <row r="1258" spans="30:32" x14ac:dyDescent="0.25">
      <c r="AD1258" s="165" t="str">
        <v>EURT3F1_Quote</v>
      </c>
      <c r="AE1258" s="165" t="s">
        <v>960</v>
      </c>
      <c r="AF1258" s="165">
        <f>_xll.ohObjectCreationTime(AE1258)</f>
        <v>41709.402234583336</v>
      </c>
    </row>
    <row r="1259" spans="30:32" x14ac:dyDescent="0.25">
      <c r="AD1259" s="165" t="str">
        <v>EURT6F1_Quote</v>
      </c>
      <c r="AE1259" s="165" t="s">
        <v>920</v>
      </c>
      <c r="AF1259" s="165">
        <f>_xll.ohObjectCreationTime(AE1259)</f>
        <v>41709.402234641202</v>
      </c>
    </row>
    <row r="1260" spans="30:32" x14ac:dyDescent="0.25">
      <c r="AD1260" s="165" t="str">
        <v>EURTND_Quote</v>
      </c>
      <c r="AE1260" s="165" t="s">
        <v>924</v>
      </c>
      <c r="AF1260" s="165">
        <f>_xll.ohObjectCreationTime(AE1260)</f>
        <v>41709.402234699075</v>
      </c>
    </row>
    <row r="1261" spans="30:32" x14ac:dyDescent="0.25">
      <c r="AD1261" s="165" t="str">
        <v>EURTND_SYNTH1M_Quote</v>
      </c>
      <c r="AE1261" s="165" t="s">
        <v>932</v>
      </c>
      <c r="AF1261" s="165">
        <f>_xll.ohObjectCreationTime(AE1261)</f>
        <v>41709.402234756948</v>
      </c>
    </row>
    <row r="1262" spans="30:32" x14ac:dyDescent="0.25">
      <c r="AD1262" s="165" t="str">
        <v>EURTND_SYNTH1Y_Quote</v>
      </c>
      <c r="AE1262" s="165" t="s">
        <v>940</v>
      </c>
      <c r="AF1262" s="165">
        <f>_xll.ohObjectCreationTime(AE1262)</f>
        <v>41709.402234814814</v>
      </c>
    </row>
    <row r="1263" spans="30:32" x14ac:dyDescent="0.25">
      <c r="AD1263" s="165" t="str">
        <v>EURTND_SYNTH3M_Quote</v>
      </c>
      <c r="AE1263" s="165" t="s">
        <v>1000</v>
      </c>
      <c r="AF1263" s="165">
        <f>_xll.ohObjectCreationTime(AE1263)</f>
        <v>41709.402234872687</v>
      </c>
    </row>
    <row r="1264" spans="30:32" x14ac:dyDescent="0.25">
      <c r="AD1264" s="165" t="str">
        <v>EURTND_SYNTH6M_Quote</v>
      </c>
      <c r="AE1264" s="165" t="s">
        <v>936</v>
      </c>
      <c r="AF1264" s="165">
        <f>_xll.ohObjectCreationTime(AE1264)</f>
        <v>41709.402234930552</v>
      </c>
    </row>
    <row r="1265" spans="30:32" x14ac:dyDescent="0.25">
      <c r="AD1265" s="165" t="str">
        <v>EURTOM12F1_Quote</v>
      </c>
      <c r="AE1265" s="165" t="s">
        <v>952</v>
      </c>
      <c r="AF1265" s="165">
        <f>_xll.ohObjectCreationTime(AE1265)</f>
        <v>41709.402234988425</v>
      </c>
    </row>
    <row r="1266" spans="30:32" x14ac:dyDescent="0.25">
      <c r="AD1266" s="165" t="str">
        <v>EURTOM1F1_Quote</v>
      </c>
      <c r="AE1266" s="165" t="s">
        <v>1002</v>
      </c>
      <c r="AF1266" s="165">
        <f>_xll.ohObjectCreationTime(AE1266)</f>
        <v>41709.402235046298</v>
      </c>
    </row>
    <row r="1267" spans="30:32" x14ac:dyDescent="0.25">
      <c r="AD1267" s="165" t="str">
        <v>EURTOM3F1_Quote</v>
      </c>
      <c r="AE1267" s="165" t="s">
        <v>972</v>
      </c>
      <c r="AF1267" s="165">
        <f>_xll.ohObjectCreationTime(AE1267)</f>
        <v>41709.402235104164</v>
      </c>
    </row>
    <row r="1268" spans="30:32" x14ac:dyDescent="0.25">
      <c r="AD1268" s="165" t="str">
        <v>EURTOM6F1_Quote</v>
      </c>
      <c r="AE1268" s="165" t="s">
        <v>942</v>
      </c>
      <c r="AF1268" s="165">
        <f>_xll.ohObjectCreationTime(AE1268)</f>
        <v>41709.402235162037</v>
      </c>
    </row>
    <row r="1269" spans="30:32" x14ac:dyDescent="0.25">
      <c r="AD1269" s="165" t="str">
        <v>EURTOY2_SYNTH1M_Quote</v>
      </c>
      <c r="AE1269" s="165" t="s">
        <v>944</v>
      </c>
      <c r="AF1269" s="165">
        <f>_xll.ohObjectCreationTime(AE1269)</f>
        <v>41709.40223521991</v>
      </c>
    </row>
    <row r="1270" spans="30:32" x14ac:dyDescent="0.25">
      <c r="AD1270" s="165" t="str">
        <v>EURTOY2_SYNTH3M_Quote</v>
      </c>
      <c r="AE1270" s="165" t="s">
        <v>998</v>
      </c>
      <c r="AF1270" s="165">
        <f>_xll.ohObjectCreationTime(AE1270)</f>
        <v>41709.402235277776</v>
      </c>
    </row>
    <row r="1271" spans="30:32" x14ac:dyDescent="0.25">
      <c r="AD1271" s="165" t="str">
        <v>EURTOY2_SYNTH6M_Quote</v>
      </c>
      <c r="AE1271" s="165" t="s">
        <v>958</v>
      </c>
      <c r="AF1271" s="165">
        <f>_xll.ohObjectCreationTime(AE1271)</f>
        <v>41709.402235335649</v>
      </c>
    </row>
    <row r="1272" spans="30:32" x14ac:dyDescent="0.25">
      <c r="AD1272" s="165" t="str">
        <v>EURTOY2_SYNTHON_Quote</v>
      </c>
      <c r="AE1272" s="165" t="s">
        <v>978</v>
      </c>
      <c r="AF1272" s="165">
        <f>_xll.ohObjectCreationTime(AE1272)</f>
        <v>41709.402235393522</v>
      </c>
    </row>
    <row r="1273" spans="30:32" x14ac:dyDescent="0.25">
      <c r="AD1273" s="165" t="str">
        <v>EURTOY_SYNTH1M_Quote</v>
      </c>
      <c r="AE1273" s="165" t="s">
        <v>948</v>
      </c>
      <c r="AF1273" s="165">
        <f>_xll.ohObjectCreationTime(AE1273)</f>
        <v>41709.402235451387</v>
      </c>
    </row>
    <row r="1274" spans="30:32" x14ac:dyDescent="0.25">
      <c r="AD1274" s="165" t="str">
        <v>EURTOY_SYNTH3M_Quote</v>
      </c>
      <c r="AE1274" s="165" t="s">
        <v>966</v>
      </c>
      <c r="AF1274" s="165">
        <f>_xll.ohObjectCreationTime(AE1274)</f>
        <v>41709.40223550926</v>
      </c>
    </row>
    <row r="1275" spans="30:32" x14ac:dyDescent="0.25">
      <c r="AD1275" s="165" t="str">
        <v>EURTOY_SYNTH6M_Quote</v>
      </c>
      <c r="AE1275" s="165" t="s">
        <v>938</v>
      </c>
      <c r="AF1275" s="165">
        <f>_xll.ohObjectCreationTime(AE1275)</f>
        <v>41709.402235567133</v>
      </c>
    </row>
    <row r="1276" spans="30:32" x14ac:dyDescent="0.25">
      <c r="AD1276" s="165" t="str">
        <v>EURTOY_SYNTHON_Quote</v>
      </c>
      <c r="AE1276" s="165" t="s">
        <v>970</v>
      </c>
      <c r="AF1276" s="165">
        <f>_xll.ohObjectCreationTime(AE1276)</f>
        <v>41709.402235624999</v>
      </c>
    </row>
    <row r="1277" spans="30:32" x14ac:dyDescent="0.25">
      <c r="AD1277" s="165" t="str">
        <v>EURYC</v>
      </c>
      <c r="AE1277" s="165" t="s">
        <v>988</v>
      </c>
      <c r="AF1277" s="165">
        <f>_xll.ohObjectCreationTime(AE1277)</f>
        <v>41709.402235682872</v>
      </c>
    </row>
    <row r="1278" spans="30:32" x14ac:dyDescent="0.25">
      <c r="AD1278" s="165" t="str">
        <v>EURYCSTD</v>
      </c>
      <c r="AE1278" s="165" t="s">
        <v>982</v>
      </c>
      <c r="AF1278" s="165">
        <f>_xll.ohObjectCreationTime(AE1278)</f>
        <v>41709.402235729169</v>
      </c>
    </row>
    <row r="1279" spans="30:32" x14ac:dyDescent="0.25">
      <c r="AD1279" s="165" t="str">
        <v>EUR_YC1MRH_10X1S</v>
      </c>
      <c r="AE1279" s="165" t="s">
        <v>2020</v>
      </c>
      <c r="AF1279" s="165">
        <f>_xll.ohObjectCreationTime(AE1279)</f>
        <v>41709.402268668979</v>
      </c>
    </row>
    <row r="1280" spans="30:32" x14ac:dyDescent="0.25">
      <c r="AD1280" s="165" t="str">
        <v>EUR_YC1MRH_11X1S</v>
      </c>
      <c r="AE1280" s="165" t="s">
        <v>2013</v>
      </c>
      <c r="AF1280" s="165">
        <f>_xll.ohObjectCreationTime(AE1280)</f>
        <v>41709.402268726852</v>
      </c>
    </row>
    <row r="1281" spans="30:32" x14ac:dyDescent="0.25">
      <c r="AD1281" s="165" t="str">
        <v>EUR_YC1MRH_12X1S</v>
      </c>
      <c r="AE1281" s="165" t="s">
        <v>2009</v>
      </c>
      <c r="AF1281" s="165">
        <f>_xll.ohObjectCreationTime(AE1281)</f>
        <v>41709.402268784725</v>
      </c>
    </row>
    <row r="1282" spans="30:32" x14ac:dyDescent="0.25">
      <c r="AD1282" s="165" t="str">
        <v>EUR_YC1MRH_1MD</v>
      </c>
      <c r="AE1282" s="165" t="s">
        <v>2015</v>
      </c>
      <c r="AF1282" s="165">
        <f>_xll.ohObjectCreationTime(AE1282)</f>
        <v>41709.402268831022</v>
      </c>
    </row>
    <row r="1283" spans="30:32" x14ac:dyDescent="0.25">
      <c r="AD1283" s="165" t="str">
        <v>EUR_YC1MRH_2WD</v>
      </c>
      <c r="AE1283" s="165" t="s">
        <v>2105</v>
      </c>
      <c r="AF1283" s="165">
        <f>_xll.ohObjectCreationTime(AE1283)</f>
        <v>41709.402268888887</v>
      </c>
    </row>
    <row r="1284" spans="30:32" x14ac:dyDescent="0.25">
      <c r="AD1284" s="165" t="str">
        <v>EUR_YC1MRH_2X1S</v>
      </c>
      <c r="AE1284" s="165" t="s">
        <v>2104</v>
      </c>
      <c r="AF1284" s="165">
        <f>_xll.ohObjectCreationTime(AE1284)</f>
        <v>41709.402268935184</v>
      </c>
    </row>
    <row r="1285" spans="30:32" x14ac:dyDescent="0.25">
      <c r="AD1285" s="165" t="str">
        <v>EUR_YC1MRH_3WD</v>
      </c>
      <c r="AE1285" s="165" t="s">
        <v>2010</v>
      </c>
      <c r="AF1285" s="165">
        <f>_xll.ohObjectCreationTime(AE1285)</f>
        <v>41709.402268993057</v>
      </c>
    </row>
    <row r="1286" spans="30:32" x14ac:dyDescent="0.25">
      <c r="AD1286" s="165" t="str">
        <v>EUR_YC1MRH_3X1S</v>
      </c>
      <c r="AE1286" s="165" t="s">
        <v>2018</v>
      </c>
      <c r="AF1286" s="165">
        <f>_xll.ohObjectCreationTime(AE1286)</f>
        <v>41709.402269039354</v>
      </c>
    </row>
    <row r="1287" spans="30:32" x14ac:dyDescent="0.25">
      <c r="AD1287" s="165" t="str">
        <v>EUR_YC1MRH_4X1S</v>
      </c>
      <c r="AE1287" s="165" t="s">
        <v>2017</v>
      </c>
      <c r="AF1287" s="165">
        <f>_xll.ohObjectCreationTime(AE1287)</f>
        <v>41709.40226909722</v>
      </c>
    </row>
    <row r="1288" spans="30:32" x14ac:dyDescent="0.25">
      <c r="AD1288" s="165" t="str">
        <v>EUR_YC1MRH_5X1S</v>
      </c>
      <c r="AE1288" s="165" t="s">
        <v>2101</v>
      </c>
      <c r="AF1288" s="165">
        <f>_xll.ohObjectCreationTime(AE1288)</f>
        <v>41709.402269155093</v>
      </c>
    </row>
    <row r="1289" spans="30:32" x14ac:dyDescent="0.25">
      <c r="AD1289" s="165" t="str">
        <v>EUR_YC1MRH_6X1S</v>
      </c>
      <c r="AE1289" s="165" t="s">
        <v>2012</v>
      </c>
      <c r="AF1289" s="165">
        <f>_xll.ohObjectCreationTime(AE1289)</f>
        <v>41709.40226920139</v>
      </c>
    </row>
    <row r="1290" spans="30:32" x14ac:dyDescent="0.25">
      <c r="AD1290" s="165" t="str">
        <v>EUR_YC1MRH_7X1S</v>
      </c>
      <c r="AE1290" s="165" t="s">
        <v>2019</v>
      </c>
      <c r="AF1290" s="165">
        <f>_xll.ohObjectCreationTime(AE1290)</f>
        <v>41709.402269270831</v>
      </c>
    </row>
    <row r="1291" spans="30:32" x14ac:dyDescent="0.25">
      <c r="AD1291" s="165" t="str">
        <v>EUR_YC1MRH_8X1S</v>
      </c>
      <c r="AE1291" s="165" t="s">
        <v>2008</v>
      </c>
      <c r="AF1291" s="165">
        <f>_xll.ohObjectCreationTime(AE1291)</f>
        <v>41709.402269328704</v>
      </c>
    </row>
    <row r="1292" spans="30:32" x14ac:dyDescent="0.25">
      <c r="AD1292" s="165" t="str">
        <v>EUR_YC1MRH_9X1S</v>
      </c>
      <c r="AE1292" s="165" t="s">
        <v>2103</v>
      </c>
      <c r="AF1292" s="165">
        <f>_xll.ohObjectCreationTime(AE1292)</f>
        <v>41709.402269386577</v>
      </c>
    </row>
    <row r="1293" spans="30:32" x14ac:dyDescent="0.25">
      <c r="AD1293" s="165" t="str">
        <v>EUR_YC1MRH_AB1EBASIS10Y</v>
      </c>
      <c r="AE1293" s="165" t="s">
        <v>2011</v>
      </c>
      <c r="AF1293" s="165">
        <f>_xll.ohObjectCreationTime(AE1293)</f>
        <v>41709.402269432867</v>
      </c>
    </row>
    <row r="1294" spans="30:32" x14ac:dyDescent="0.25">
      <c r="AD1294" s="165" t="str">
        <v>EUR_YC1MRH_AB1EBASIS11Y</v>
      </c>
      <c r="AE1294" s="165" t="s">
        <v>2016</v>
      </c>
      <c r="AF1294" s="165">
        <f>_xll.ohObjectCreationTime(AE1294)</f>
        <v>41709.402269502316</v>
      </c>
    </row>
    <row r="1295" spans="30:32" x14ac:dyDescent="0.25">
      <c r="AD1295" s="165" t="str">
        <v>EUR_YC1MRH_AB1EBASIS12Y</v>
      </c>
      <c r="AE1295" s="165" t="s">
        <v>2014</v>
      </c>
      <c r="AF1295" s="165">
        <f>_xll.ohObjectCreationTime(AE1295)</f>
        <v>41709.402269548613</v>
      </c>
    </row>
    <row r="1296" spans="30:32" x14ac:dyDescent="0.25">
      <c r="AD1296" s="165" t="str">
        <v>EUR_YC1MRH_AB1EBASIS13Y</v>
      </c>
      <c r="AE1296" s="165" t="s">
        <v>2007</v>
      </c>
      <c r="AF1296" s="165">
        <f>_xll.ohObjectCreationTime(AE1296)</f>
        <v>41709.402269606479</v>
      </c>
    </row>
    <row r="1297" spans="30:32" x14ac:dyDescent="0.25">
      <c r="AD1297" s="165" t="str">
        <v>EUR_YC1MRH_AB1EBASIS14Y</v>
      </c>
      <c r="AE1297" s="165" t="s">
        <v>2066</v>
      </c>
      <c r="AF1297" s="165">
        <f>_xll.ohObjectCreationTime(AE1297)</f>
        <v>41709.402269837963</v>
      </c>
    </row>
    <row r="1298" spans="30:32" x14ac:dyDescent="0.25">
      <c r="AD1298" s="165" t="str">
        <v>EUR_YC1MRH_AB1EBASIS15M</v>
      </c>
      <c r="AE1298" s="165" t="s">
        <v>2063</v>
      </c>
      <c r="AF1298" s="165">
        <f>_xll.ohObjectCreationTime(AE1298)</f>
        <v>41709.402269895836</v>
      </c>
    </row>
    <row r="1299" spans="30:32" x14ac:dyDescent="0.25">
      <c r="AD1299" s="165" t="str">
        <v>EUR_YC1MRH_AB1EBASIS15Y</v>
      </c>
      <c r="AE1299" s="165" t="s">
        <v>2067</v>
      </c>
      <c r="AF1299" s="165">
        <f>_xll.ohObjectCreationTime(AE1299)</f>
        <v>41709.402269988423</v>
      </c>
    </row>
    <row r="1300" spans="30:32" x14ac:dyDescent="0.25">
      <c r="AD1300" s="165" t="str">
        <v>EUR_YC1MRH_AB1EBASIS16Y</v>
      </c>
      <c r="AE1300" s="165" t="s">
        <v>2093</v>
      </c>
      <c r="AF1300" s="165">
        <f>_xll.ohObjectCreationTime(AE1300)</f>
        <v>41709.402270057872</v>
      </c>
    </row>
    <row r="1301" spans="30:32" x14ac:dyDescent="0.25">
      <c r="AD1301" s="165" t="str">
        <v>EUR_YC1MRH_AB1EBASIS17Y</v>
      </c>
      <c r="AE1301" s="165" t="s">
        <v>2074</v>
      </c>
      <c r="AF1301" s="165">
        <f>_xll.ohObjectCreationTime(AE1301)</f>
        <v>41709.402270138889</v>
      </c>
    </row>
    <row r="1302" spans="30:32" x14ac:dyDescent="0.25">
      <c r="AD1302" s="165" t="str">
        <v>EUR_YC1MRH_AB1EBASIS18M</v>
      </c>
      <c r="AE1302" s="165" t="s">
        <v>2091</v>
      </c>
      <c r="AF1302" s="165">
        <f>_xll.ohObjectCreationTime(AE1302)</f>
        <v>41709.402270254628</v>
      </c>
    </row>
    <row r="1303" spans="30:32" x14ac:dyDescent="0.25">
      <c r="AD1303" s="165" t="str">
        <v>EUR_YC1MRH_AB1EBASIS18Y</v>
      </c>
      <c r="AE1303" s="165" t="s">
        <v>2095</v>
      </c>
      <c r="AF1303" s="165">
        <f>_xll.ohObjectCreationTime(AE1303)</f>
        <v>41709.402270335646</v>
      </c>
    </row>
    <row r="1304" spans="30:32" x14ac:dyDescent="0.25">
      <c r="AD1304" s="165" t="str">
        <v>EUR_YC1MRH_AB1EBASIS19Y</v>
      </c>
      <c r="AE1304" s="165" t="s">
        <v>2065</v>
      </c>
      <c r="AF1304" s="165">
        <f>_xll.ohObjectCreationTime(AE1304)</f>
        <v>41709.402270393519</v>
      </c>
    </row>
    <row r="1305" spans="30:32" x14ac:dyDescent="0.25">
      <c r="AD1305" s="165" t="str">
        <v>EUR_YC1MRH_AB1EBASIS1Y</v>
      </c>
      <c r="AE1305" s="165" t="s">
        <v>2076</v>
      </c>
      <c r="AF1305" s="165">
        <f>_xll.ohObjectCreationTime(AE1305)</f>
        <v>41709.402270474537</v>
      </c>
    </row>
    <row r="1306" spans="30:32" x14ac:dyDescent="0.25">
      <c r="AD1306" s="165" t="str">
        <v>EUR_YC1MRH_AB1EBASIS20Y</v>
      </c>
      <c r="AE1306" s="165" t="s">
        <v>2097</v>
      </c>
      <c r="AF1306" s="165">
        <f>_xll.ohObjectCreationTime(AE1306)</f>
        <v>41709.402270555554</v>
      </c>
    </row>
    <row r="1307" spans="30:32" x14ac:dyDescent="0.25">
      <c r="AD1307" s="165" t="str">
        <v>EUR_YC1MRH_AB1EBASIS21M</v>
      </c>
      <c r="AE1307" s="165" t="s">
        <v>2059</v>
      </c>
      <c r="AF1307" s="165">
        <f>_xll.ohObjectCreationTime(AE1307)</f>
        <v>41709.402270613427</v>
      </c>
    </row>
    <row r="1308" spans="30:32" x14ac:dyDescent="0.25">
      <c r="AD1308" s="165" t="str">
        <v>EUR_YC1MRH_AB1EBASIS21Y</v>
      </c>
      <c r="AE1308" s="165" t="s">
        <v>2070</v>
      </c>
      <c r="AF1308" s="165">
        <f>_xll.ohObjectCreationTime(AE1308)</f>
        <v>41709.402270671293</v>
      </c>
    </row>
    <row r="1309" spans="30:32" x14ac:dyDescent="0.25">
      <c r="AD1309" s="165" t="str">
        <v>EUR_YC1MRH_AB1EBASIS22Y</v>
      </c>
      <c r="AE1309" s="165" t="s">
        <v>2098</v>
      </c>
      <c r="AF1309" s="165">
        <f>_xll.ohObjectCreationTime(AE1309)</f>
        <v>41709.402270729166</v>
      </c>
    </row>
    <row r="1310" spans="30:32" x14ac:dyDescent="0.25">
      <c r="AD1310" s="165" t="str">
        <v>EUR_YC1MRH_AB1EBASIS23Y</v>
      </c>
      <c r="AE1310" s="165" t="s">
        <v>2077</v>
      </c>
      <c r="AF1310" s="165">
        <f>_xll.ohObjectCreationTime(AE1310)</f>
        <v>41709.402270787039</v>
      </c>
    </row>
    <row r="1311" spans="30:32" x14ac:dyDescent="0.25">
      <c r="AD1311" s="165" t="str">
        <v>EUR_YC1MRH_AB1EBASIS24Y</v>
      </c>
      <c r="AE1311" s="165" t="s">
        <v>2064</v>
      </c>
      <c r="AF1311" s="165">
        <f>_xll.ohObjectCreationTime(AE1311)</f>
        <v>41709.402270891202</v>
      </c>
    </row>
    <row r="1312" spans="30:32" x14ac:dyDescent="0.25">
      <c r="AD1312" s="165" t="str">
        <v>EUR_YC1MRH_AB1EBASIS25Y</v>
      </c>
      <c r="AE1312" s="165" t="s">
        <v>2062</v>
      </c>
      <c r="AF1312" s="165">
        <f>_xll.ohObjectCreationTime(AE1312)</f>
        <v>41709.402270983795</v>
      </c>
    </row>
    <row r="1313" spans="30:32" x14ac:dyDescent="0.25">
      <c r="AD1313" s="165" t="str">
        <v>EUR_YC1MRH_AB1EBASIS26Y</v>
      </c>
      <c r="AE1313" s="165" t="s">
        <v>2068</v>
      </c>
      <c r="AF1313" s="165">
        <f>_xll.ohObjectCreationTime(AE1313)</f>
        <v>41709.402271076389</v>
      </c>
    </row>
    <row r="1314" spans="30:32" x14ac:dyDescent="0.25">
      <c r="AD1314" s="165" t="str">
        <v>EUR_YC1MRH_AB1EBASIS27Y</v>
      </c>
      <c r="AE1314" s="165" t="s">
        <v>2092</v>
      </c>
      <c r="AF1314" s="165">
        <f>_xll.ohObjectCreationTime(AE1314)</f>
        <v>41709.402271134262</v>
      </c>
    </row>
    <row r="1315" spans="30:32" x14ac:dyDescent="0.25">
      <c r="AD1315" s="165" t="str">
        <v>EUR_YC1MRH_AB1EBASIS28Y</v>
      </c>
      <c r="AE1315" s="165" t="s">
        <v>2071</v>
      </c>
      <c r="AF1315" s="165">
        <f>_xll.ohObjectCreationTime(AE1315)</f>
        <v>41709.402271192128</v>
      </c>
    </row>
    <row r="1316" spans="30:32" x14ac:dyDescent="0.25">
      <c r="AD1316" s="165" t="str">
        <v>EUR_YC1MRH_AB1EBASIS29Y</v>
      </c>
      <c r="AE1316" s="165" t="s">
        <v>2099</v>
      </c>
      <c r="AF1316" s="165">
        <f>_xll.ohObjectCreationTime(AE1316)</f>
        <v>41709.402271388892</v>
      </c>
    </row>
    <row r="1317" spans="30:32" x14ac:dyDescent="0.25">
      <c r="AD1317" s="165" t="str">
        <v>EUR_YC1MRH_AB1EBASIS2Y</v>
      </c>
      <c r="AE1317" s="165" t="s">
        <v>2090</v>
      </c>
      <c r="AF1317" s="165">
        <f>_xll.ohObjectCreationTime(AE1317)</f>
        <v>41709.402271458333</v>
      </c>
    </row>
    <row r="1318" spans="30:32" x14ac:dyDescent="0.25">
      <c r="AD1318" s="165" t="str">
        <v>EUR_YC1MRH_AB1EBASIS30Y</v>
      </c>
      <c r="AE1318" s="165" t="s">
        <v>2100</v>
      </c>
      <c r="AF1318" s="165">
        <f>_xll.ohObjectCreationTime(AE1318)</f>
        <v>41709.402271527775</v>
      </c>
    </row>
    <row r="1319" spans="30:32" x14ac:dyDescent="0.25">
      <c r="AD1319" s="165" t="str">
        <v>EUR_YC1MRH_AB1EBASIS35Y</v>
      </c>
      <c r="AE1319" s="165" t="s">
        <v>2069</v>
      </c>
      <c r="AF1319" s="165">
        <f>_xll.ohObjectCreationTime(AE1319)</f>
        <v>41709.402271585648</v>
      </c>
    </row>
    <row r="1320" spans="30:32" x14ac:dyDescent="0.25">
      <c r="AD1320" s="165" t="str">
        <v>EUR_YC1MRH_AB1EBASIS3Y</v>
      </c>
      <c r="AE1320" s="165" t="s">
        <v>2061</v>
      </c>
      <c r="AF1320" s="165">
        <f>_xll.ohObjectCreationTime(AE1320)</f>
        <v>41709.40227165509</v>
      </c>
    </row>
    <row r="1321" spans="30:32" x14ac:dyDescent="0.25">
      <c r="AD1321" s="165" t="str">
        <v>EUR_YC1MRH_AB1EBASIS40Y</v>
      </c>
      <c r="AE1321" s="165" t="s">
        <v>2078</v>
      </c>
      <c r="AF1321" s="165">
        <f>_xll.ohObjectCreationTime(AE1321)</f>
        <v>41709.402271770836</v>
      </c>
    </row>
    <row r="1322" spans="30:32" x14ac:dyDescent="0.25">
      <c r="AD1322" s="165" t="str">
        <v>EUR_YC1MRH_AB1EBASIS4Y</v>
      </c>
      <c r="AE1322" s="165" t="s">
        <v>2075</v>
      </c>
      <c r="AF1322" s="165">
        <f>_xll.ohObjectCreationTime(AE1322)</f>
        <v>41709.402271828701</v>
      </c>
    </row>
    <row r="1323" spans="30:32" x14ac:dyDescent="0.25">
      <c r="AD1323" s="165" t="str">
        <v>EUR_YC1MRH_AB1EBASIS50Y</v>
      </c>
      <c r="AE1323" s="165" t="s">
        <v>2087</v>
      </c>
      <c r="AF1323" s="165">
        <f>_xll.ohObjectCreationTime(AE1323)</f>
        <v>41709.402271886574</v>
      </c>
    </row>
    <row r="1324" spans="30:32" x14ac:dyDescent="0.25">
      <c r="AD1324" s="165" t="str">
        <v>EUR_YC1MRH_AB1EBASIS5Y</v>
      </c>
      <c r="AE1324" s="165" t="s">
        <v>2096</v>
      </c>
      <c r="AF1324" s="165">
        <f>_xll.ohObjectCreationTime(AE1324)</f>
        <v>41709.402271944447</v>
      </c>
    </row>
    <row r="1325" spans="30:32" x14ac:dyDescent="0.25">
      <c r="AD1325" s="165" t="str">
        <v>EUR_YC1MRH_AB1EBASIS60Y</v>
      </c>
      <c r="AE1325" s="165" t="s">
        <v>2088</v>
      </c>
      <c r="AF1325" s="165">
        <f>_xll.ohObjectCreationTime(AE1325)</f>
        <v>41709.402272013889</v>
      </c>
    </row>
    <row r="1326" spans="30:32" x14ac:dyDescent="0.25">
      <c r="AD1326" s="165" t="str">
        <v>EUR_YC1MRH_AB1EBASIS6Y</v>
      </c>
      <c r="AE1326" s="165" t="s">
        <v>2058</v>
      </c>
      <c r="AF1326" s="165">
        <f>_xll.ohObjectCreationTime(AE1326)</f>
        <v>41709.402272118059</v>
      </c>
    </row>
    <row r="1327" spans="30:32" x14ac:dyDescent="0.25">
      <c r="AD1327" s="165" t="str">
        <v>EUR_YC1MRH_AB1EBASIS7Y</v>
      </c>
      <c r="AE1327" s="165" t="s">
        <v>2038</v>
      </c>
      <c r="AF1327" s="165">
        <f>_xll.ohObjectCreationTime(AE1327)</f>
        <v>41709.402272233798</v>
      </c>
    </row>
    <row r="1328" spans="30:32" x14ac:dyDescent="0.25">
      <c r="AD1328" s="165" t="str">
        <v>EUR_YC1MRH_AB1EBASIS8Y</v>
      </c>
      <c r="AE1328" s="165" t="s">
        <v>2086</v>
      </c>
      <c r="AF1328" s="165">
        <f>_xll.ohObjectCreationTime(AE1328)</f>
        <v>41709.402272291663</v>
      </c>
    </row>
    <row r="1329" spans="30:32" x14ac:dyDescent="0.25">
      <c r="AD1329" s="165" t="str">
        <v>EUR_YC1MRH_AB1EBASIS9Y</v>
      </c>
      <c r="AE1329" s="165" t="s">
        <v>2049</v>
      </c>
      <c r="AF1329" s="165">
        <f>_xll.ohObjectCreationTime(AE1329)</f>
        <v>41709.402272476851</v>
      </c>
    </row>
    <row r="1330" spans="30:32" x14ac:dyDescent="0.25">
      <c r="AD1330" s="165" t="str">
        <v>EUR_YC1MRH_AB1EBASIS_ibor1M</v>
      </c>
      <c r="AE1330" s="165" t="s">
        <v>2084</v>
      </c>
      <c r="AF1330" s="165">
        <f>_xll.ohObjectCreationTime(AE1330)</f>
        <v>41709.402272581021</v>
      </c>
    </row>
    <row r="1331" spans="30:32" x14ac:dyDescent="0.25">
      <c r="AD1331" s="165" t="str">
        <v>EUR_YC1MRH_RateHelpersSelected</v>
      </c>
      <c r="AE1331" s="165" t="s">
        <v>2079</v>
      </c>
      <c r="AF1331" s="165">
        <f>_xll.ohObjectCreationTime(AE1331)</f>
        <v>41709.402272650463</v>
      </c>
    </row>
    <row r="1332" spans="30:32" x14ac:dyDescent="0.25">
      <c r="AD1332" s="165" t="str">
        <v>EUR_YC1MRH_SND</v>
      </c>
      <c r="AE1332" s="165" t="s">
        <v>2026</v>
      </c>
      <c r="AF1332" s="165">
        <f>_xll.ohObjectCreationTime(AE1332)</f>
        <v>41709.402272743057</v>
      </c>
    </row>
    <row r="1333" spans="30:32" x14ac:dyDescent="0.25">
      <c r="AD1333" s="165" t="str">
        <v>EUR_YC1MRH_SWD</v>
      </c>
      <c r="AE1333" s="165" t="s">
        <v>2033</v>
      </c>
      <c r="AF1333" s="165">
        <f>_xll.ohObjectCreationTime(AE1333)</f>
        <v>41709.402272824074</v>
      </c>
    </row>
    <row r="1334" spans="30:32" x14ac:dyDescent="0.25">
      <c r="AD1334" s="165" t="str">
        <v>EUR_YC1MRH_xX1S_ibor1M</v>
      </c>
      <c r="AE1334" s="165" t="s">
        <v>2060</v>
      </c>
      <c r="AF1334" s="165">
        <f>_xll.ohObjectCreationTime(AE1334)</f>
        <v>41709.402272905092</v>
      </c>
    </row>
    <row r="1335" spans="30:32" x14ac:dyDescent="0.25">
      <c r="AD1335" s="165" t="str">
        <v>EUR_YC1YRH_10MD</v>
      </c>
      <c r="AE1335" s="165" t="s">
        <v>2055</v>
      </c>
      <c r="AF1335" s="165">
        <f>_xll.ohObjectCreationTime(AE1335)</f>
        <v>41709.402273009262</v>
      </c>
    </row>
    <row r="1336" spans="30:32" x14ac:dyDescent="0.25">
      <c r="AD1336" s="165" t="str">
        <v>EUR_YC1YRH_10x22F</v>
      </c>
      <c r="AE1336" s="165" t="s">
        <v>2052</v>
      </c>
      <c r="AF1336" s="165">
        <f>_xll.ohObjectCreationTime(AE1336)</f>
        <v>41709.402273148145</v>
      </c>
    </row>
    <row r="1337" spans="30:32" x14ac:dyDescent="0.25">
      <c r="AD1337" s="165" t="str">
        <v>EUR_YC1YRH_11MD</v>
      </c>
      <c r="AE1337" s="165" t="s">
        <v>2089</v>
      </c>
      <c r="AF1337" s="165">
        <f>_xll.ohObjectCreationTime(AE1337)</f>
        <v>41709.402273217594</v>
      </c>
    </row>
    <row r="1338" spans="30:32" x14ac:dyDescent="0.25">
      <c r="AD1338" s="165" t="str">
        <v>EUR_YC1YRH_11x23F</v>
      </c>
      <c r="AE1338" s="165" t="s">
        <v>2081</v>
      </c>
      <c r="AF1338" s="165">
        <f>_xll.ohObjectCreationTime(AE1338)</f>
        <v>41709.402273310188</v>
      </c>
    </row>
    <row r="1339" spans="30:32" x14ac:dyDescent="0.25">
      <c r="AD1339" s="165" t="str">
        <v>EUR_YC1YRH_12x24F</v>
      </c>
      <c r="AE1339" s="165" t="s">
        <v>2046</v>
      </c>
      <c r="AF1339" s="165">
        <f>_xll.ohObjectCreationTime(AE1339)</f>
        <v>41709.402273449072</v>
      </c>
    </row>
    <row r="1340" spans="30:32" x14ac:dyDescent="0.25">
      <c r="AD1340" s="165" t="str">
        <v>EUR_YC1YRH_13x25F</v>
      </c>
      <c r="AE1340" s="165" t="s">
        <v>2036</v>
      </c>
      <c r="AF1340" s="165">
        <f>_xll.ohObjectCreationTime(AE1340)</f>
        <v>41709.402273576387</v>
      </c>
    </row>
    <row r="1341" spans="30:32" x14ac:dyDescent="0.25">
      <c r="AD1341" s="165" t="str">
        <v>EUR_YC1YRH_14x26F</v>
      </c>
      <c r="AE1341" s="165" t="s">
        <v>2080</v>
      </c>
      <c r="AF1341" s="165">
        <f>_xll.ohObjectCreationTime(AE1341)</f>
        <v>41709.402273634259</v>
      </c>
    </row>
    <row r="1342" spans="30:32" x14ac:dyDescent="0.25">
      <c r="AD1342" s="165" t="str">
        <v>EUR_YC1YRH_15x27F</v>
      </c>
      <c r="AE1342" s="165" t="s">
        <v>2040</v>
      </c>
      <c r="AF1342" s="165">
        <f>_xll.ohObjectCreationTime(AE1342)</f>
        <v>41709.402273749998</v>
      </c>
    </row>
    <row r="1343" spans="30:32" x14ac:dyDescent="0.25">
      <c r="AD1343" s="165" t="str">
        <v>EUR_YC1YRH_16x28F</v>
      </c>
      <c r="AE1343" s="165" t="s">
        <v>2035</v>
      </c>
      <c r="AF1343" s="165">
        <f>_xll.ohObjectCreationTime(AE1343)</f>
        <v>41709.402273854168</v>
      </c>
    </row>
    <row r="1344" spans="30:32" x14ac:dyDescent="0.25">
      <c r="AD1344" s="165" t="str">
        <v>EUR_YC1YRH_17x29F</v>
      </c>
      <c r="AE1344" s="165" t="s">
        <v>2083</v>
      </c>
      <c r="AF1344" s="165">
        <f>_xll.ohObjectCreationTime(AE1344)</f>
        <v>41709.40227392361</v>
      </c>
    </row>
    <row r="1345" spans="30:32" x14ac:dyDescent="0.25">
      <c r="AD1345" s="165" t="str">
        <v>EUR_YC1YRH_18x30F</v>
      </c>
      <c r="AE1345" s="165" t="s">
        <v>2082</v>
      </c>
      <c r="AF1345" s="165">
        <f>_xll.ohObjectCreationTime(AE1345)</f>
        <v>41709.402274004628</v>
      </c>
    </row>
    <row r="1346" spans="30:32" x14ac:dyDescent="0.25">
      <c r="AD1346" s="165" t="str">
        <v>EUR_YC1YRH_19x31F</v>
      </c>
      <c r="AE1346" s="165" t="s">
        <v>2073</v>
      </c>
      <c r="AF1346" s="165">
        <f>_xll.ohObjectCreationTime(AE1346)</f>
        <v>41709.402274062501</v>
      </c>
    </row>
    <row r="1347" spans="30:32" x14ac:dyDescent="0.25">
      <c r="AD1347" s="165" t="str">
        <v>EUR_YC1YRH_1MD</v>
      </c>
      <c r="AE1347" s="165" t="s">
        <v>2085</v>
      </c>
      <c r="AF1347" s="165">
        <f>_xll.ohObjectCreationTime(AE1347)</f>
        <v>41709.402274131942</v>
      </c>
    </row>
    <row r="1348" spans="30:32" x14ac:dyDescent="0.25">
      <c r="AD1348" s="165" t="str">
        <v>EUR_YC1YRH_1x13F</v>
      </c>
      <c r="AE1348" s="165" t="s">
        <v>2072</v>
      </c>
      <c r="AF1348" s="165">
        <f>_xll.ohObjectCreationTime(AE1348)</f>
        <v>41709.402274224536</v>
      </c>
    </row>
    <row r="1349" spans="30:32" x14ac:dyDescent="0.25">
      <c r="AD1349" s="165" t="str">
        <v>EUR_YC1YRH_1YD</v>
      </c>
      <c r="AE1349" s="165" t="s">
        <v>2094</v>
      </c>
      <c r="AF1349" s="165">
        <f>_xll.ohObjectCreationTime(AE1349)</f>
        <v>41709.402274398148</v>
      </c>
    </row>
    <row r="1350" spans="30:32" x14ac:dyDescent="0.25">
      <c r="AD1350" s="165" t="str">
        <v>EUR_YC1YRH_20x32F</v>
      </c>
      <c r="AE1350" s="165" t="s">
        <v>2045</v>
      </c>
      <c r="AF1350" s="165">
        <f>_xll.ohObjectCreationTime(AE1350)</f>
        <v>41709.402274467589</v>
      </c>
    </row>
    <row r="1351" spans="30:32" x14ac:dyDescent="0.25">
      <c r="AD1351" s="165" t="str">
        <v>EUR_YC1YRH_21x33F</v>
      </c>
      <c r="AE1351" s="165" t="s">
        <v>2027</v>
      </c>
      <c r="AF1351" s="165">
        <f>_xll.ohObjectCreationTime(AE1351)</f>
        <v>41709.402274560183</v>
      </c>
    </row>
    <row r="1352" spans="30:32" x14ac:dyDescent="0.25">
      <c r="AD1352" s="165" t="str">
        <v>EUR_YC1YRH_22x34F</v>
      </c>
      <c r="AE1352" s="165" t="s">
        <v>2050</v>
      </c>
      <c r="AF1352" s="165">
        <f>_xll.ohObjectCreationTime(AE1352)</f>
        <v>41709.402274953703</v>
      </c>
    </row>
    <row r="1353" spans="30:32" x14ac:dyDescent="0.25">
      <c r="AD1353" s="165" t="str">
        <v>EUR_YC1YRH_23x35F</v>
      </c>
      <c r="AE1353" s="165" t="s">
        <v>2031</v>
      </c>
      <c r="AF1353" s="165">
        <f>_xll.ohObjectCreationTime(AE1353)</f>
        <v>41709.402275069442</v>
      </c>
    </row>
    <row r="1354" spans="30:32" x14ac:dyDescent="0.25">
      <c r="AD1354" s="165" t="str">
        <v>EUR_YC1YRH_25x37F</v>
      </c>
      <c r="AE1354" s="165" t="s">
        <v>2041</v>
      </c>
      <c r="AF1354" s="165">
        <f>_xll.ohObjectCreationTime(AE1354)</f>
        <v>41709.402275185188</v>
      </c>
    </row>
    <row r="1355" spans="30:32" x14ac:dyDescent="0.25">
      <c r="AD1355" s="165" t="str">
        <v>EUR_YC1YRH_26x38F</v>
      </c>
      <c r="AE1355" s="165" t="s">
        <v>2029</v>
      </c>
      <c r="AF1355" s="165">
        <f>_xll.ohObjectCreationTime(AE1355)</f>
        <v>41709.402275289351</v>
      </c>
    </row>
    <row r="1356" spans="30:32" x14ac:dyDescent="0.25">
      <c r="AD1356" s="165" t="str">
        <v>EUR_YC1YRH_27x39F</v>
      </c>
      <c r="AE1356" s="165" t="s">
        <v>2056</v>
      </c>
      <c r="AF1356" s="165">
        <f>_xll.ohObjectCreationTime(AE1356)</f>
        <v>41709.402275370368</v>
      </c>
    </row>
    <row r="1357" spans="30:32" x14ac:dyDescent="0.25">
      <c r="AD1357" s="165" t="str">
        <v>EUR_YC1YRH_28x40F</v>
      </c>
      <c r="AE1357" s="165" t="s">
        <v>2057</v>
      </c>
      <c r="AF1357" s="165">
        <f>_xll.ohObjectCreationTime(AE1357)</f>
        <v>41709.402275451386</v>
      </c>
    </row>
    <row r="1358" spans="30:32" x14ac:dyDescent="0.25">
      <c r="AD1358" s="165" t="str">
        <v>EUR_YC1YRH_29x41F</v>
      </c>
      <c r="AE1358" s="165" t="s">
        <v>2034</v>
      </c>
      <c r="AF1358" s="165">
        <f>_xll.ohObjectCreationTime(AE1358)</f>
        <v>41709.402275567132</v>
      </c>
    </row>
    <row r="1359" spans="30:32" x14ac:dyDescent="0.25">
      <c r="AD1359" s="165" t="str">
        <v>EUR_YC1YRH_2MD</v>
      </c>
      <c r="AE1359" s="165" t="s">
        <v>2044</v>
      </c>
      <c r="AF1359" s="165">
        <f>_xll.ohObjectCreationTime(AE1359)</f>
        <v>41709.402275694447</v>
      </c>
    </row>
    <row r="1360" spans="30:32" x14ac:dyDescent="0.25">
      <c r="AD1360" s="165" t="str">
        <v>EUR_YC1YRH_2WD</v>
      </c>
      <c r="AE1360" s="165" t="s">
        <v>2024</v>
      </c>
      <c r="AF1360" s="165">
        <f>_xll.ohObjectCreationTime(AE1360)</f>
        <v>41709.402275787033</v>
      </c>
    </row>
    <row r="1361" spans="30:32" x14ac:dyDescent="0.25">
      <c r="AD1361" s="165" t="str">
        <v>EUR_YC1YRH_2x14F</v>
      </c>
      <c r="AE1361" s="165" t="s">
        <v>2053</v>
      </c>
      <c r="AF1361" s="165">
        <f>_xll.ohObjectCreationTime(AE1361)</f>
        <v>41709.402276006942</v>
      </c>
    </row>
    <row r="1362" spans="30:32" x14ac:dyDescent="0.25">
      <c r="AD1362" s="165" t="str">
        <v>EUR_YC1YRH_30x42F</v>
      </c>
      <c r="AE1362" s="165" t="s">
        <v>2054</v>
      </c>
      <c r="AF1362" s="165">
        <f>_xll.ohObjectCreationTime(AE1362)</f>
        <v>41709.402276076391</v>
      </c>
    </row>
    <row r="1363" spans="30:32" x14ac:dyDescent="0.25">
      <c r="AD1363" s="165" t="str">
        <v>EUR_YC1YRH_31x43F</v>
      </c>
      <c r="AE1363" s="165" t="s">
        <v>2028</v>
      </c>
      <c r="AF1363" s="165">
        <f>_xll.ohObjectCreationTime(AE1363)</f>
        <v>41709.402276180554</v>
      </c>
    </row>
    <row r="1364" spans="30:32" x14ac:dyDescent="0.25">
      <c r="AD1364" s="165" t="str">
        <v>EUR_YC1YRH_32x44F</v>
      </c>
      <c r="AE1364" s="165" t="s">
        <v>2032</v>
      </c>
      <c r="AF1364" s="165">
        <f>_xll.ohObjectCreationTime(AE1364)</f>
        <v>41709.402276284723</v>
      </c>
    </row>
    <row r="1365" spans="30:32" x14ac:dyDescent="0.25">
      <c r="AD1365" s="165" t="str">
        <v>EUR_YC1YRH_33x45F</v>
      </c>
      <c r="AE1365" s="165" t="s">
        <v>2030</v>
      </c>
      <c r="AF1365" s="165">
        <f>_xll.ohObjectCreationTime(AE1365)</f>
        <v>41709.402276354165</v>
      </c>
    </row>
    <row r="1366" spans="30:32" x14ac:dyDescent="0.25">
      <c r="AD1366" s="165" t="str">
        <v>EUR_YC1YRH_34x46F</v>
      </c>
      <c r="AE1366" s="165" t="s">
        <v>2051</v>
      </c>
      <c r="AF1366" s="165">
        <f>_xll.ohObjectCreationTime(AE1366)</f>
        <v>41709.402276562498</v>
      </c>
    </row>
    <row r="1367" spans="30:32" x14ac:dyDescent="0.25">
      <c r="AD1367" s="165" t="str">
        <v>EUR_YC1YRH_35x47F</v>
      </c>
      <c r="AE1367" s="165" t="s">
        <v>2042</v>
      </c>
      <c r="AF1367" s="165">
        <f>_xll.ohObjectCreationTime(AE1367)</f>
        <v>41709.402276689812</v>
      </c>
    </row>
    <row r="1368" spans="30:32" x14ac:dyDescent="0.25">
      <c r="AD1368" s="165" t="str">
        <v>EUR_YC1YRH_37x49F</v>
      </c>
      <c r="AE1368" s="165" t="s">
        <v>2043</v>
      </c>
      <c r="AF1368" s="165">
        <f>_xll.ohObjectCreationTime(AE1368)</f>
        <v>41709.402276817127</v>
      </c>
    </row>
    <row r="1369" spans="30:32" x14ac:dyDescent="0.25">
      <c r="AD1369" s="165" t="str">
        <v>EUR_YC1YRH_38x50F</v>
      </c>
      <c r="AE1369" s="165" t="s">
        <v>2047</v>
      </c>
      <c r="AF1369" s="165">
        <f>_xll.ohObjectCreationTime(AE1369)</f>
        <v>41709.402276956018</v>
      </c>
    </row>
    <row r="1370" spans="30:32" x14ac:dyDescent="0.25">
      <c r="AD1370" s="165" t="str">
        <v>EUR_YC1YRH_39x51F</v>
      </c>
      <c r="AE1370" s="165" t="s">
        <v>2025</v>
      </c>
      <c r="AF1370" s="165">
        <f>_xll.ohObjectCreationTime(AE1370)</f>
        <v>41709.402277048612</v>
      </c>
    </row>
    <row r="1371" spans="30:32" x14ac:dyDescent="0.25">
      <c r="AD1371" s="165" t="str">
        <v>EUR_YC1YRH_3MD</v>
      </c>
      <c r="AE1371" s="165" t="s">
        <v>2021</v>
      </c>
      <c r="AF1371" s="165">
        <f>_xll.ohObjectCreationTime(AE1371)</f>
        <v>41709.402277141206</v>
      </c>
    </row>
    <row r="1372" spans="30:32" x14ac:dyDescent="0.25">
      <c r="AD1372" s="165" t="str">
        <v>EUR_YC1YRH_3WD</v>
      </c>
      <c r="AE1372" s="165" t="s">
        <v>2039</v>
      </c>
      <c r="AF1372" s="165">
        <f>_xll.ohObjectCreationTime(AE1372)</f>
        <v>41709.402277256944</v>
      </c>
    </row>
    <row r="1373" spans="30:32" x14ac:dyDescent="0.25">
      <c r="AD1373" s="165" t="str">
        <v>EUR_YC1YRH_3x15F</v>
      </c>
      <c r="AE1373" s="165" t="s">
        <v>2037</v>
      </c>
      <c r="AF1373" s="165">
        <f>_xll.ohObjectCreationTime(AE1373)</f>
        <v>41709.402277372683</v>
      </c>
    </row>
    <row r="1374" spans="30:32" x14ac:dyDescent="0.25">
      <c r="AD1374" s="165" t="str">
        <v>EUR_YC1YRH_40x52F</v>
      </c>
      <c r="AE1374" s="165" t="s">
        <v>2022</v>
      </c>
      <c r="AF1374" s="165">
        <f>_xll.ohObjectCreationTime(AE1374)</f>
        <v>41709.402277465277</v>
      </c>
    </row>
    <row r="1375" spans="30:32" x14ac:dyDescent="0.25">
      <c r="AD1375" s="165" t="str">
        <v>EUR_YC1YRH_41x53F</v>
      </c>
      <c r="AE1375" s="165" t="s">
        <v>2023</v>
      </c>
      <c r="AF1375" s="165">
        <f>_xll.ohObjectCreationTime(AE1375)</f>
        <v>41709.402277557871</v>
      </c>
    </row>
    <row r="1376" spans="30:32" x14ac:dyDescent="0.25">
      <c r="AD1376" s="165" t="str">
        <v>EUR_YC1YRH_42x54F</v>
      </c>
      <c r="AE1376" s="165" t="s">
        <v>2048</v>
      </c>
      <c r="AF1376" s="165">
        <f>_xll.ohObjectCreationTime(AE1376)</f>
        <v>41709.402277627312</v>
      </c>
    </row>
    <row r="1377" spans="30:32" x14ac:dyDescent="0.25">
      <c r="AD1377" s="165" t="str">
        <v>EUR_YC1YRH_43x55F</v>
      </c>
      <c r="AE1377" s="165" t="s">
        <v>2102</v>
      </c>
      <c r="AF1377" s="165">
        <f>_xll.ohObjectCreationTime(AE1377)</f>
        <v>41709.402284849537</v>
      </c>
    </row>
    <row r="1378" spans="30:32" x14ac:dyDescent="0.25">
      <c r="AD1378" s="165" t="str">
        <v>EUR_YC1YRH_44x56F</v>
      </c>
      <c r="AE1378" s="165" t="s">
        <v>2112</v>
      </c>
      <c r="AF1378" s="165">
        <f>_xll.ohObjectCreationTime(AE1378)</f>
        <v>41709.402285289354</v>
      </c>
    </row>
    <row r="1379" spans="30:32" x14ac:dyDescent="0.25">
      <c r="AD1379" s="165" t="str">
        <v>EUR_YC1YRH_45x57F</v>
      </c>
      <c r="AE1379" s="165" t="s">
        <v>2002</v>
      </c>
      <c r="AF1379" s="165">
        <f>_xll.ohObjectCreationTime(AE1379)</f>
        <v>41709.402335983796</v>
      </c>
    </row>
    <row r="1380" spans="30:32" x14ac:dyDescent="0.25">
      <c r="AD1380" s="165" t="str">
        <v>EUR_YC1YRH_46x58F</v>
      </c>
      <c r="AE1380" s="165" t="s">
        <v>1986</v>
      </c>
      <c r="AF1380" s="165">
        <f>_xll.ohObjectCreationTime(AE1380)</f>
        <v>41709.402390706018</v>
      </c>
    </row>
    <row r="1381" spans="30:32" x14ac:dyDescent="0.25">
      <c r="AD1381" s="165" t="str">
        <v>EUR_YC1YRH_47x59F</v>
      </c>
      <c r="AE1381" s="165" t="s">
        <v>1989</v>
      </c>
      <c r="AF1381" s="165">
        <f>_xll.ohObjectCreationTime(AE1381)</f>
        <v>41709.402458159719</v>
      </c>
    </row>
    <row r="1382" spans="30:32" x14ac:dyDescent="0.25">
      <c r="AD1382" s="165" t="str">
        <v>EUR_YC1YRH_4MD</v>
      </c>
      <c r="AE1382" s="165" t="s">
        <v>1982</v>
      </c>
      <c r="AF1382" s="165">
        <f>_xll.ohObjectCreationTime(AE1382)</f>
        <v>41709.40249925926</v>
      </c>
    </row>
    <row r="1383" spans="30:32" x14ac:dyDescent="0.25">
      <c r="AD1383" s="165" t="str">
        <v>EUR_YC1YRH_4x16F</v>
      </c>
      <c r="AE1383" s="165" t="s">
        <v>1980</v>
      </c>
      <c r="AF1383" s="165">
        <f>_xll.ohObjectCreationTime(AE1383)</f>
        <v>41709.402499328702</v>
      </c>
    </row>
    <row r="1384" spans="30:32" x14ac:dyDescent="0.25">
      <c r="AD1384" s="165" t="str">
        <v>EUR_YC1YRH_5MD</v>
      </c>
      <c r="AE1384" s="165" t="s">
        <v>2001</v>
      </c>
      <c r="AF1384" s="165">
        <f>_xll.ohObjectCreationTime(AE1384)</f>
        <v>41709.402499386575</v>
      </c>
    </row>
    <row r="1385" spans="30:32" x14ac:dyDescent="0.25">
      <c r="AD1385" s="165" t="str">
        <v>EUR_YC1YRH_5x17F</v>
      </c>
      <c r="AE1385" s="165" t="s">
        <v>1993</v>
      </c>
      <c r="AF1385" s="165">
        <f>_xll.ohObjectCreationTime(AE1385)</f>
        <v>41709.402499849537</v>
      </c>
    </row>
    <row r="1386" spans="30:32" x14ac:dyDescent="0.25">
      <c r="AD1386" s="165" t="str">
        <v>EUR_YC1YRH_6MD</v>
      </c>
      <c r="AE1386" s="165" t="s">
        <v>1997</v>
      </c>
      <c r="AF1386" s="165">
        <f>_xll.ohObjectCreationTime(AE1386)</f>
        <v>41709.402500543983</v>
      </c>
    </row>
    <row r="1387" spans="30:32" x14ac:dyDescent="0.25">
      <c r="AD1387" s="165" t="str">
        <v>EUR_YC1YRH_6x18F</v>
      </c>
      <c r="AE1387" s="165" t="s">
        <v>1983</v>
      </c>
      <c r="AF1387" s="165">
        <f>_xll.ohObjectCreationTime(AE1387)</f>
        <v>41709.402500694443</v>
      </c>
    </row>
    <row r="1388" spans="30:32" x14ac:dyDescent="0.25">
      <c r="AD1388" s="165" t="str">
        <v>EUR_YC1YRH_7MD</v>
      </c>
      <c r="AE1388" s="165" t="s">
        <v>1999</v>
      </c>
      <c r="AF1388" s="165">
        <f>_xll.ohObjectCreationTime(AE1388)</f>
        <v>41709.402501562501</v>
      </c>
    </row>
    <row r="1389" spans="30:32" x14ac:dyDescent="0.25">
      <c r="AD1389" s="165" t="str">
        <v>EUR_YC1YRH_7x19F</v>
      </c>
      <c r="AE1389" s="165" t="s">
        <v>1975</v>
      </c>
      <c r="AF1389" s="165">
        <f>_xll.ohObjectCreationTime(AE1389)</f>
        <v>41709.40250300926</v>
      </c>
    </row>
    <row r="1390" spans="30:32" x14ac:dyDescent="0.25">
      <c r="AD1390" s="165" t="str">
        <v>EUR_YC1YRH_8MD</v>
      </c>
      <c r="AE1390" s="165" t="s">
        <v>1987</v>
      </c>
      <c r="AF1390" s="165">
        <f>_xll.ohObjectCreationTime(AE1390)</f>
        <v>41709.402503252313</v>
      </c>
    </row>
    <row r="1391" spans="30:32" x14ac:dyDescent="0.25">
      <c r="AD1391" s="165" t="str">
        <v>EUR_YC1YRH_8x20F</v>
      </c>
      <c r="AE1391" s="165" t="s">
        <v>1971</v>
      </c>
      <c r="AF1391" s="165">
        <f>_xll.ohObjectCreationTime(AE1391)</f>
        <v>41709.402504768521</v>
      </c>
    </row>
    <row r="1392" spans="30:32" x14ac:dyDescent="0.25">
      <c r="AD1392" s="165" t="str">
        <v>EUR_YC1YRH_9MD</v>
      </c>
      <c r="AE1392" s="165" t="s">
        <v>1974</v>
      </c>
      <c r="AF1392" s="165">
        <f>_xll.ohObjectCreationTime(AE1392)</f>
        <v>41709.402504837963</v>
      </c>
    </row>
    <row r="1393" spans="30:32" x14ac:dyDescent="0.25">
      <c r="AD1393" s="165" t="str">
        <v>EUR_YC1YRH_9x21F</v>
      </c>
      <c r="AE1393" s="165" t="s">
        <v>1968</v>
      </c>
      <c r="AF1393" s="165">
        <f>_xll.ohObjectCreationTime(AE1393)</f>
        <v>41709.402506076389</v>
      </c>
    </row>
    <row r="1394" spans="30:32" x14ac:dyDescent="0.25">
      <c r="AD1394" s="165" t="str">
        <v>EUR_YC1YRH_AB12EBASIS10Y</v>
      </c>
      <c r="AE1394" s="165" t="s">
        <v>1973</v>
      </c>
      <c r="AF1394" s="165">
        <f>_xll.ohObjectCreationTime(AE1394)</f>
        <v>41709.402507847219</v>
      </c>
    </row>
    <row r="1395" spans="30:32" x14ac:dyDescent="0.25">
      <c r="AD1395" s="165" t="str">
        <v>EUR_YC1YRH_AB12EBASIS11Y</v>
      </c>
      <c r="AE1395" s="165" t="s">
        <v>1990</v>
      </c>
      <c r="AF1395" s="165">
        <f>_xll.ohObjectCreationTime(AE1395)</f>
        <v>41709.402508171297</v>
      </c>
    </row>
    <row r="1396" spans="30:32" x14ac:dyDescent="0.25">
      <c r="AD1396" s="165" t="str">
        <v>EUR_YC1YRH_AB12EBASIS12Y</v>
      </c>
      <c r="AE1396" s="165" t="s">
        <v>1979</v>
      </c>
      <c r="AF1396" s="165">
        <f>_xll.ohObjectCreationTime(AE1396)</f>
        <v>41709.40250827546</v>
      </c>
    </row>
    <row r="1397" spans="30:32" x14ac:dyDescent="0.25">
      <c r="AD1397" s="165" t="str">
        <v>EUR_YC1YRH_AB12EBASIS13Y</v>
      </c>
      <c r="AE1397" s="165" t="s">
        <v>1995</v>
      </c>
      <c r="AF1397" s="165">
        <f>_xll.ohObjectCreationTime(AE1397)</f>
        <v>41709.402508877312</v>
      </c>
    </row>
    <row r="1398" spans="30:32" x14ac:dyDescent="0.25">
      <c r="AD1398" s="165" t="str">
        <v>EUR_YC1YRH_AB12EBASIS14Y</v>
      </c>
      <c r="AE1398" s="165" t="s">
        <v>1984</v>
      </c>
      <c r="AF1398" s="165">
        <f>_xll.ohObjectCreationTime(AE1398)</f>
        <v>41709.402508946761</v>
      </c>
    </row>
    <row r="1399" spans="30:32" x14ac:dyDescent="0.25">
      <c r="AD1399" s="165" t="str">
        <v>EUR_YC1YRH_AB12EBASIS15M</v>
      </c>
      <c r="AE1399" s="165" t="s">
        <v>1966</v>
      </c>
      <c r="AF1399" s="165">
        <f>_xll.ohObjectCreationTime(AE1399)</f>
        <v>41709.402509976855</v>
      </c>
    </row>
    <row r="1400" spans="30:32" x14ac:dyDescent="0.25">
      <c r="AD1400" s="165" t="str">
        <v>EUR_YC1YRH_AB12EBASIS15Y</v>
      </c>
      <c r="AE1400" s="165" t="s">
        <v>1969</v>
      </c>
      <c r="AF1400" s="165">
        <f>_xll.ohObjectCreationTime(AE1400)</f>
        <v>41709.402525613426</v>
      </c>
    </row>
    <row r="1401" spans="30:32" x14ac:dyDescent="0.25">
      <c r="AD1401" s="165" t="str">
        <v>EUR_YC1YRH_AB12EBASIS16Y</v>
      </c>
      <c r="AE1401" s="165" t="s">
        <v>1981</v>
      </c>
      <c r="AF1401" s="165">
        <f>_xll.ohObjectCreationTime(AE1401)</f>
        <v>41709.402528379629</v>
      </c>
    </row>
    <row r="1402" spans="30:32" x14ac:dyDescent="0.25">
      <c r="AD1402" s="165" t="str">
        <v>EUR_YC1YRH_AB12EBASIS17Y</v>
      </c>
      <c r="AE1402" s="165" t="s">
        <v>2000</v>
      </c>
      <c r="AF1402" s="165">
        <f>_xll.ohObjectCreationTime(AE1402)</f>
        <v>41709.40254072917</v>
      </c>
    </row>
    <row r="1403" spans="30:32" x14ac:dyDescent="0.25">
      <c r="AD1403" s="165" t="str">
        <v>EUR_YC1YRH_AB12EBASIS18M</v>
      </c>
      <c r="AE1403" s="165" t="s">
        <v>1967</v>
      </c>
      <c r="AF1403" s="165">
        <f>_xll.ohObjectCreationTime(AE1403)</f>
        <v>41709.402553807871</v>
      </c>
    </row>
    <row r="1404" spans="30:32" x14ac:dyDescent="0.25">
      <c r="AD1404" s="165" t="str">
        <v>EUR_YC1YRH_AB12EBASIS18Y</v>
      </c>
      <c r="AE1404" s="165" t="s">
        <v>1977</v>
      </c>
      <c r="AF1404" s="165">
        <f>_xll.ohObjectCreationTime(AE1404)</f>
        <v>41709.402555925924</v>
      </c>
    </row>
    <row r="1405" spans="30:32" x14ac:dyDescent="0.25">
      <c r="AD1405" s="165" t="str">
        <v>EUR_YC1YRH_AB12EBASIS19Y</v>
      </c>
      <c r="AE1405" s="165" t="s">
        <v>1996</v>
      </c>
      <c r="AF1405" s="165">
        <f>_xll.ohObjectCreationTime(AE1405)</f>
        <v>41709.402565312499</v>
      </c>
    </row>
    <row r="1406" spans="30:32" x14ac:dyDescent="0.25">
      <c r="AD1406" s="165" t="str">
        <v>EUR_YC1YRH_AB12EBASIS1Y</v>
      </c>
      <c r="AE1406" s="165" t="s">
        <v>1988</v>
      </c>
      <c r="AF1406" s="165">
        <f>_xll.ohObjectCreationTime(AE1406)</f>
        <v>41709.402570729166</v>
      </c>
    </row>
    <row r="1407" spans="30:32" x14ac:dyDescent="0.25">
      <c r="AD1407" s="165" t="str">
        <v>EUR_YC1YRH_AB12EBASIS20Y</v>
      </c>
      <c r="AE1407" s="165" t="s">
        <v>1998</v>
      </c>
      <c r="AF1407" s="165">
        <f>_xll.ohObjectCreationTime(AE1407)</f>
        <v>41709.402581377311</v>
      </c>
    </row>
    <row r="1408" spans="30:32" x14ac:dyDescent="0.25">
      <c r="AD1408" s="165" t="str">
        <v>EUR_YC1YRH_AB12EBASIS21M</v>
      </c>
      <c r="AE1408" s="165" t="s">
        <v>1972</v>
      </c>
      <c r="AF1408" s="165">
        <f>_xll.ohObjectCreationTime(AE1408)</f>
        <v>41709.402601331021</v>
      </c>
    </row>
    <row r="1409" spans="30:32" x14ac:dyDescent="0.25">
      <c r="AD1409" s="165" t="str">
        <v>EUR_YC1YRH_AB12EBASIS21Y</v>
      </c>
      <c r="AE1409" s="165" t="s">
        <v>1991</v>
      </c>
      <c r="AF1409" s="165">
        <f>_xll.ohObjectCreationTime(AE1409)</f>
        <v>41709.402608101853</v>
      </c>
    </row>
    <row r="1410" spans="30:32" x14ac:dyDescent="0.25">
      <c r="AD1410" s="165" t="str">
        <v>EUR_YC1YRH_AB12EBASIS22Y</v>
      </c>
      <c r="AE1410" s="165" t="s">
        <v>1978</v>
      </c>
      <c r="AF1410" s="165">
        <f>_xll.ohObjectCreationTime(AE1410)</f>
        <v>41709.402641030094</v>
      </c>
    </row>
    <row r="1411" spans="30:32" x14ac:dyDescent="0.25">
      <c r="AD1411" s="165" t="str">
        <v>EUR_YC1YRH_AB12EBASIS23Y</v>
      </c>
      <c r="AE1411" s="165" t="s">
        <v>1976</v>
      </c>
      <c r="AF1411" s="165">
        <f>_xll.ohObjectCreationTime(AE1411)</f>
        <v>41709.402667418981</v>
      </c>
    </row>
    <row r="1412" spans="30:32" x14ac:dyDescent="0.25">
      <c r="AD1412" s="165" t="str">
        <v>EUR_YC1YRH_AB12EBASIS24Y</v>
      </c>
      <c r="AE1412" s="165" t="s">
        <v>1994</v>
      </c>
      <c r="AF1412" s="165">
        <f>_xll.ohObjectCreationTime(AE1412)</f>
        <v>41709.402675324076</v>
      </c>
    </row>
    <row r="1413" spans="30:32" x14ac:dyDescent="0.25">
      <c r="AD1413" s="165" t="str">
        <v>EUR_YC1YRH_AB12EBASIS25Y</v>
      </c>
      <c r="AE1413" s="165" t="s">
        <v>1985</v>
      </c>
      <c r="AF1413" s="165">
        <f>_xll.ohObjectCreationTime(AE1413)</f>
        <v>41709.402679375002</v>
      </c>
    </row>
    <row r="1414" spans="30:32" x14ac:dyDescent="0.25">
      <c r="AD1414" s="165" t="str">
        <v>EUR_YC1YRH_AB12EBASIS26Y</v>
      </c>
      <c r="AE1414" s="165" t="s">
        <v>1970</v>
      </c>
      <c r="AF1414" s="165">
        <f>_xll.ohObjectCreationTime(AE1414)</f>
        <v>41709.402695567129</v>
      </c>
    </row>
    <row r="1415" spans="30:32" x14ac:dyDescent="0.25">
      <c r="AD1415" s="165" t="str">
        <v>EUR_YC1YRH_AB12EBASIS27Y</v>
      </c>
      <c r="AE1415" s="165" t="s">
        <v>1992</v>
      </c>
      <c r="AF1415" s="165">
        <f>_xll.ohObjectCreationTime(AE1415)</f>
        <v>41709.402774664355</v>
      </c>
    </row>
    <row r="1416" spans="30:32" x14ac:dyDescent="0.25">
      <c r="AD1416" s="165" t="str">
        <v>EUR_YC1YRH_AB12EBASIS28Y</v>
      </c>
      <c r="AE1416" s="165" t="s">
        <v>2006</v>
      </c>
      <c r="AF1416" s="165">
        <f>_xll.ohObjectCreationTime(AE1416)</f>
        <v>41709.402775000002</v>
      </c>
    </row>
    <row r="1417" spans="30:32" x14ac:dyDescent="0.25">
      <c r="AD1417" s="165" t="str">
        <v>EUR_YC1YRH_AB12EBASIS29Y</v>
      </c>
      <c r="AE1417" s="165" t="s">
        <v>2005</v>
      </c>
      <c r="AF1417" s="165">
        <f>_xll.ohObjectCreationTime(AE1417)</f>
        <v>41709.402775069444</v>
      </c>
    </row>
    <row r="1418" spans="30:32" x14ac:dyDescent="0.25">
      <c r="AD1418" s="165" t="str">
        <v>EUR_YC1YRH_AB12EBASIS2Y</v>
      </c>
      <c r="AE1418" s="165" t="s">
        <v>2003</v>
      </c>
      <c r="AF1418" s="165">
        <f>_xll.ohObjectCreationTime(AE1418)</f>
        <v>41709.402775196759</v>
      </c>
    </row>
    <row r="1419" spans="30:32" x14ac:dyDescent="0.25">
      <c r="AD1419" s="165" t="str">
        <v>EUR_YC1YRH_AB12EBASIS30Y</v>
      </c>
      <c r="AE1419" s="165" t="s">
        <v>2004</v>
      </c>
      <c r="AF1419" s="165">
        <f>_xll.ohObjectCreationTime(AE1419)</f>
        <v>41709.402780011573</v>
      </c>
    </row>
    <row r="1420" spans="30:32" x14ac:dyDescent="0.25">
      <c r="AD1420" s="165" t="str">
        <v>EUR_YC1YRH_AB12EBASIS35Y</v>
      </c>
      <c r="AE1420" s="165" t="s">
        <v>2111</v>
      </c>
      <c r="AF1420" s="165">
        <f>_xll.ohObjectCreationTime(AE1420)</f>
        <v>41709.402781076387</v>
      </c>
    </row>
    <row r="1421" spans="30:32" x14ac:dyDescent="0.25">
      <c r="AD1421" s="165" t="str">
        <v>EUR_YC1YRH_AB12EBASIS3Y</v>
      </c>
      <c r="AE1421" s="165" t="s">
        <v>1650</v>
      </c>
      <c r="AF1421" s="165">
        <f>_xll.ohObjectCreationTime(AE1421)</f>
        <v>41709.40282693287</v>
      </c>
    </row>
    <row r="1422" spans="30:32" x14ac:dyDescent="0.25">
      <c r="AD1422" s="165" t="str">
        <v>EUR_YC1YRH_AB12EBASIS40Y</v>
      </c>
      <c r="AE1422" s="165" t="s">
        <v>1626</v>
      </c>
      <c r="AF1422" s="165">
        <f>_xll.ohObjectCreationTime(AE1422)</f>
        <v>41709.402827314814</v>
      </c>
    </row>
    <row r="1423" spans="30:32" x14ac:dyDescent="0.25">
      <c r="AD1423" s="165" t="str">
        <v>EUR_YC1YRH_AB12EBASIS4Y</v>
      </c>
      <c r="AE1423" s="165" t="s">
        <v>1644</v>
      </c>
      <c r="AF1423" s="165">
        <f>_xll.ohObjectCreationTime(AE1423)</f>
        <v>41709.402827453705</v>
      </c>
    </row>
    <row r="1424" spans="30:32" x14ac:dyDescent="0.25">
      <c r="AD1424" s="165" t="str">
        <v>EUR_YC1YRH_AB12EBASIS50Y</v>
      </c>
      <c r="AE1424" s="165" t="s">
        <v>1628</v>
      </c>
      <c r="AF1424" s="165">
        <f>_xll.ohObjectCreationTime(AE1424)</f>
        <v>41709.402827847225</v>
      </c>
    </row>
    <row r="1425" spans="30:32" x14ac:dyDescent="0.25">
      <c r="AD1425" s="165" t="str">
        <v>EUR_YC1YRH_AB12EBASIS5Y</v>
      </c>
      <c r="AE1425" s="165" t="s">
        <v>1622</v>
      </c>
      <c r="AF1425" s="165">
        <f>_xll.ohObjectCreationTime(AE1425)</f>
        <v>41709.402827928243</v>
      </c>
    </row>
    <row r="1426" spans="30:32" x14ac:dyDescent="0.25">
      <c r="AD1426" s="165" t="str">
        <v>EUR_YC1YRH_AB12EBASIS60Y</v>
      </c>
      <c r="AE1426" s="165" t="s">
        <v>1614</v>
      </c>
      <c r="AF1426" s="165">
        <f>_xll.ohObjectCreationTime(AE1426)</f>
        <v>41709.402828148151</v>
      </c>
    </row>
    <row r="1427" spans="30:32" x14ac:dyDescent="0.25">
      <c r="AD1427" s="165" t="str">
        <v>EUR_YC1YRH_AB12EBASIS6Y</v>
      </c>
      <c r="AE1427" s="165" t="s">
        <v>1634</v>
      </c>
      <c r="AF1427" s="165">
        <f>_xll.ohObjectCreationTime(AE1427)</f>
        <v>41709.402828692131</v>
      </c>
    </row>
    <row r="1428" spans="30:32" x14ac:dyDescent="0.25">
      <c r="AD1428" s="165" t="str">
        <v>EUR_YC1YRH_AB12EBASIS7Y</v>
      </c>
      <c r="AE1428" s="165" t="s">
        <v>1623</v>
      </c>
      <c r="AF1428" s="165">
        <f>_xll.ohObjectCreationTime(AE1428)</f>
        <v>41709.402829016202</v>
      </c>
    </row>
    <row r="1429" spans="30:32" x14ac:dyDescent="0.25">
      <c r="AD1429" s="165" t="str">
        <v>EUR_YC1YRH_AB12EBASIS8Y</v>
      </c>
      <c r="AE1429" s="165" t="s">
        <v>1647</v>
      </c>
      <c r="AF1429" s="165">
        <f>_xll.ohObjectCreationTime(AE1429)</f>
        <v>41709.402829166669</v>
      </c>
    </row>
    <row r="1430" spans="30:32" x14ac:dyDescent="0.25">
      <c r="AD1430" s="165" t="str">
        <v>EUR_YC1YRH_AB12EBASIS9Y</v>
      </c>
      <c r="AE1430" s="165" t="s">
        <v>1625</v>
      </c>
      <c r="AF1430" s="165">
        <f>_xll.ohObjectCreationTime(AE1430)</f>
        <v>41709.402829236111</v>
      </c>
    </row>
    <row r="1431" spans="30:32" x14ac:dyDescent="0.25">
      <c r="AD1431" s="165" t="str">
        <v>EUR_YC1YRH_AB12EBASIS_ibor1Y</v>
      </c>
      <c r="AE1431" s="165" t="s">
        <v>1649</v>
      </c>
      <c r="AF1431" s="165">
        <f>_xll.ohObjectCreationTime(AE1431)</f>
        <v>41709.402829409722</v>
      </c>
    </row>
    <row r="1432" spans="30:32" x14ac:dyDescent="0.25">
      <c r="AD1432" s="165" t="str">
        <v>EUR_YC1YRH_RateHelpersSelected</v>
      </c>
      <c r="AE1432" s="165" t="s">
        <v>1635</v>
      </c>
      <c r="AF1432" s="165">
        <f>_xll.ohObjectCreationTime(AE1432)</f>
        <v>41709.402829976854</v>
      </c>
    </row>
    <row r="1433" spans="30:32" x14ac:dyDescent="0.25">
      <c r="AD1433" s="165" t="str">
        <v>EUR_YC1YRH_SND</v>
      </c>
      <c r="AE1433" s="165" t="s">
        <v>1633</v>
      </c>
      <c r="AF1433" s="165">
        <f>_xll.ohObjectCreationTime(AE1433)</f>
        <v>41709.402830474537</v>
      </c>
    </row>
    <row r="1434" spans="30:32" x14ac:dyDescent="0.25">
      <c r="AD1434" s="165" t="str">
        <v>EUR_YC1YRH_SWD</v>
      </c>
      <c r="AE1434" s="165" t="s">
        <v>1642</v>
      </c>
      <c r="AF1434" s="165">
        <f>_xll.ohObjectCreationTime(AE1434)</f>
        <v>41709.402830590276</v>
      </c>
    </row>
    <row r="1435" spans="30:32" x14ac:dyDescent="0.25">
      <c r="AD1435" s="165" t="str">
        <v>EUR_YC1YRH_T12F1</v>
      </c>
      <c r="AE1435" s="165" t="s">
        <v>1627</v>
      </c>
      <c r="AF1435" s="165">
        <f>_xll.ohObjectCreationTime(AE1435)</f>
        <v>41709.40283068287</v>
      </c>
    </row>
    <row r="1436" spans="30:32" x14ac:dyDescent="0.25">
      <c r="AD1436" s="165" t="str">
        <v>EUR_YC1YRH_TOM12F1</v>
      </c>
      <c r="AE1436" s="165" t="s">
        <v>1630</v>
      </c>
      <c r="AF1436" s="165">
        <f>_xll.ohObjectCreationTime(AE1436)</f>
        <v>41709.402831122687</v>
      </c>
    </row>
    <row r="1437" spans="30:32" x14ac:dyDescent="0.25">
      <c r="AD1437" s="165" t="str">
        <v>EUR_YC3MRH_1MD</v>
      </c>
      <c r="AE1437" s="165" t="s">
        <v>1619</v>
      </c>
      <c r="AF1437" s="165">
        <f>_xll.ohObjectCreationTime(AE1437)</f>
        <v>41709.402831388892</v>
      </c>
    </row>
    <row r="1438" spans="30:32" x14ac:dyDescent="0.25">
      <c r="AD1438" s="165" t="str">
        <v>EUR_YC3MRH_1S12</v>
      </c>
      <c r="AE1438" s="165" t="s">
        <v>1641</v>
      </c>
      <c r="AF1438" s="165">
        <f>_xll.ohObjectCreationTime(AE1438)</f>
        <v>41709.402832268519</v>
      </c>
    </row>
    <row r="1439" spans="30:32" x14ac:dyDescent="0.25">
      <c r="AD1439" s="165" t="str">
        <v>EUR_YC3MRH_1S24</v>
      </c>
      <c r="AE1439" s="165" t="s">
        <v>1640</v>
      </c>
      <c r="AF1439" s="165">
        <f>_xll.ohObjectCreationTime(AE1439)</f>
        <v>41709.402832372682</v>
      </c>
    </row>
    <row r="1440" spans="30:32" x14ac:dyDescent="0.25">
      <c r="AD1440" s="165" t="str">
        <v>EUR_YC3MRH_1S36</v>
      </c>
      <c r="AE1440" s="165" t="s">
        <v>1617</v>
      </c>
      <c r="AF1440" s="165">
        <f>_xll.ohObjectCreationTime(AE1440)</f>
        <v>41709.402832627318</v>
      </c>
    </row>
    <row r="1441" spans="30:32" x14ac:dyDescent="0.25">
      <c r="AD1441" s="165" t="str">
        <v>EUR_YC3MRH_1x4F</v>
      </c>
      <c r="AE1441" s="165" t="s">
        <v>1648</v>
      </c>
      <c r="AF1441" s="165">
        <f>_xll.ohObjectCreationTime(AE1441)</f>
        <v>41709.402832789354</v>
      </c>
    </row>
    <row r="1442" spans="30:32" x14ac:dyDescent="0.25">
      <c r="AD1442" s="165" t="str">
        <v>EUR_YC3MRH_2MD</v>
      </c>
      <c r="AE1442" s="165" t="s">
        <v>1654</v>
      </c>
      <c r="AF1442" s="165">
        <f>_xll.ohObjectCreationTime(AE1442)</f>
        <v>41709.402832858796</v>
      </c>
    </row>
    <row r="1443" spans="30:32" x14ac:dyDescent="0.25">
      <c r="AD1443" s="165" t="str">
        <v>EUR_YC3MRH_2S12</v>
      </c>
      <c r="AE1443" s="165" t="s">
        <v>1643</v>
      </c>
      <c r="AF1443" s="165">
        <f>_xll.ohObjectCreationTime(AE1443)</f>
        <v>41709.402834074077</v>
      </c>
    </row>
    <row r="1444" spans="30:32" x14ac:dyDescent="0.25">
      <c r="AD1444" s="165" t="str">
        <v>EUR_YC3MRH_2S24</v>
      </c>
      <c r="AE1444" s="165" t="s">
        <v>1615</v>
      </c>
      <c r="AF1444" s="165">
        <f>_xll.ohObjectCreationTime(AE1444)</f>
        <v>41709.402834293978</v>
      </c>
    </row>
    <row r="1445" spans="30:32" x14ac:dyDescent="0.25">
      <c r="AD1445" s="165" t="str">
        <v>EUR_YC3MRH_2WD</v>
      </c>
      <c r="AE1445" s="165" t="s">
        <v>1645</v>
      </c>
      <c r="AF1445" s="165">
        <f>_xll.ohObjectCreationTime(AE1445)</f>
        <v>41709.402835879628</v>
      </c>
    </row>
    <row r="1446" spans="30:32" x14ac:dyDescent="0.25">
      <c r="AD1446" s="165" t="str">
        <v>EUR_YC3MRH_2x5F</v>
      </c>
      <c r="AE1446" s="165" t="s">
        <v>1616</v>
      </c>
      <c r="AF1446" s="165">
        <f>_xll.ohObjectCreationTime(AE1446)</f>
        <v>41709.402836111112</v>
      </c>
    </row>
    <row r="1447" spans="30:32" x14ac:dyDescent="0.25">
      <c r="AD1447" s="165" t="str">
        <v>EUR_YC3MRH_3MD</v>
      </c>
      <c r="AE1447" s="165" t="s">
        <v>1638</v>
      </c>
      <c r="AF1447" s="165">
        <f>_xll.ohObjectCreationTime(AE1447)</f>
        <v>41709.402836701389</v>
      </c>
    </row>
    <row r="1448" spans="30:32" x14ac:dyDescent="0.25">
      <c r="AD1448" s="165" t="str">
        <v>EUR_YC3MRH_3S12</v>
      </c>
      <c r="AE1448" s="165" t="s">
        <v>1631</v>
      </c>
      <c r="AF1448" s="165">
        <f>_xll.ohObjectCreationTime(AE1448)</f>
        <v>41709.402837141206</v>
      </c>
    </row>
    <row r="1449" spans="30:32" x14ac:dyDescent="0.25">
      <c r="AD1449" s="165" t="str">
        <v>EUR_YC3MRH_3WD</v>
      </c>
      <c r="AE1449" s="165" t="s">
        <v>1620</v>
      </c>
      <c r="AF1449" s="165">
        <f>_xll.ohObjectCreationTime(AE1449)</f>
        <v>41709.402837430556</v>
      </c>
    </row>
    <row r="1450" spans="30:32" x14ac:dyDescent="0.25">
      <c r="AD1450" s="165" t="str">
        <v>EUR_YC3MRH_3x6F</v>
      </c>
      <c r="AE1450" s="165" t="s">
        <v>1608</v>
      </c>
      <c r="AF1450" s="165">
        <f>_xll.ohObjectCreationTime(AE1450)</f>
        <v>41709.402837511574</v>
      </c>
    </row>
    <row r="1451" spans="30:32" x14ac:dyDescent="0.25">
      <c r="AD1451" s="165" t="str">
        <v>EUR_YC3MRH_4S12</v>
      </c>
      <c r="AE1451" s="165" t="s">
        <v>1632</v>
      </c>
      <c r="AF1451" s="165">
        <f>_xll.ohObjectCreationTime(AE1451)</f>
        <v>41709.402837974536</v>
      </c>
    </row>
    <row r="1452" spans="30:32" x14ac:dyDescent="0.25">
      <c r="AD1452" s="165" t="str">
        <v>EUR_YC3MRH_4x7F</v>
      </c>
      <c r="AE1452" s="165" t="s">
        <v>1607</v>
      </c>
      <c r="AF1452" s="165">
        <f>_xll.ohObjectCreationTime(AE1452)</f>
        <v>41709.402838055554</v>
      </c>
    </row>
    <row r="1453" spans="30:32" x14ac:dyDescent="0.25">
      <c r="AD1453" s="165" t="str">
        <v>EUR_YC3MRH_5x8F</v>
      </c>
      <c r="AE1453" s="165" t="s">
        <v>1636</v>
      </c>
      <c r="AF1453" s="165">
        <f>_xll.ohObjectCreationTime(AE1453)</f>
        <v>41709.402838611109</v>
      </c>
    </row>
    <row r="1454" spans="30:32" x14ac:dyDescent="0.25">
      <c r="AD1454" s="165" t="str">
        <v>EUR_YC3MRH_6x9F</v>
      </c>
      <c r="AE1454" s="165" t="s">
        <v>1629</v>
      </c>
      <c r="AF1454" s="165">
        <f>_xll.ohObjectCreationTime(AE1454)</f>
        <v>41709.40283900463</v>
      </c>
    </row>
    <row r="1455" spans="30:32" x14ac:dyDescent="0.25">
      <c r="AD1455" s="165" t="str">
        <v>EUR_YC3MRH_AB3E10Y</v>
      </c>
      <c r="AE1455" s="165" t="s">
        <v>1637</v>
      </c>
      <c r="AF1455" s="165">
        <f>_xll.ohObjectCreationTime(AE1455)</f>
        <v>41709.402839097223</v>
      </c>
    </row>
    <row r="1456" spans="30:32" x14ac:dyDescent="0.25">
      <c r="AD1456" s="165" t="str">
        <v>EUR_YC3MRH_AB3E11Y</v>
      </c>
      <c r="AE1456" s="165" t="s">
        <v>1621</v>
      </c>
      <c r="AF1456" s="165">
        <f>_xll.ohObjectCreationTime(AE1456)</f>
        <v>41709.402839386574</v>
      </c>
    </row>
    <row r="1457" spans="30:32" x14ac:dyDescent="0.25">
      <c r="AD1457" s="165" t="str">
        <v>EUR_YC3MRH_AB3E12Y</v>
      </c>
      <c r="AE1457" s="165" t="s">
        <v>1646</v>
      </c>
      <c r="AF1457" s="165">
        <f>_xll.ohObjectCreationTime(AE1457)</f>
        <v>41709.402839525465</v>
      </c>
    </row>
    <row r="1458" spans="30:32" x14ac:dyDescent="0.25">
      <c r="AD1458" s="165" t="str">
        <v>EUR_YC3MRH_AB3E13Y</v>
      </c>
      <c r="AE1458" s="165" t="s">
        <v>1600</v>
      </c>
      <c r="AF1458" s="165">
        <f>_xll.ohObjectCreationTime(AE1458)</f>
        <v>41709.402839606482</v>
      </c>
    </row>
    <row r="1459" spans="30:32" x14ac:dyDescent="0.25">
      <c r="AD1459" s="165" t="str">
        <v>EUR_YC3MRH_AB3E14Y</v>
      </c>
      <c r="AE1459" s="165" t="s">
        <v>1604</v>
      </c>
      <c r="AF1459" s="165">
        <f>_xll.ohObjectCreationTime(AE1459)</f>
        <v>41709.402839675924</v>
      </c>
    </row>
    <row r="1460" spans="30:32" x14ac:dyDescent="0.25">
      <c r="AD1460" s="165" t="str">
        <v>EUR_YC3MRH_AB3E15M</v>
      </c>
      <c r="AE1460" s="165" t="s">
        <v>1613</v>
      </c>
      <c r="AF1460" s="165">
        <f>_xll.ohObjectCreationTime(AE1460)</f>
        <v>41709.402839861112</v>
      </c>
    </row>
    <row r="1461" spans="30:32" x14ac:dyDescent="0.25">
      <c r="AD1461" s="165" t="str">
        <v>EUR_YC3MRH_AB3E15Y</v>
      </c>
      <c r="AE1461" s="165" t="s">
        <v>1618</v>
      </c>
      <c r="AF1461" s="165">
        <f>_xll.ohObjectCreationTime(AE1461)</f>
        <v>41709.40283997685</v>
      </c>
    </row>
    <row r="1462" spans="30:32" x14ac:dyDescent="0.25">
      <c r="AD1462" s="165" t="str">
        <v>EUR_YC3MRH_AB3E16Y</v>
      </c>
      <c r="AE1462" s="165" t="s">
        <v>1639</v>
      </c>
      <c r="AF1462" s="165">
        <f>_xll.ohObjectCreationTime(AE1462)</f>
        <v>41709.402840694442</v>
      </c>
    </row>
    <row r="1463" spans="30:32" x14ac:dyDescent="0.25">
      <c r="AD1463" s="165" t="str">
        <v>EUR_YC3MRH_AB3E17Y</v>
      </c>
      <c r="AE1463" s="165" t="s">
        <v>1624</v>
      </c>
      <c r="AF1463" s="165">
        <f>_xll.ohObjectCreationTime(AE1463)</f>
        <v>41709.402841041665</v>
      </c>
    </row>
    <row r="1464" spans="30:32" x14ac:dyDescent="0.25">
      <c r="AD1464" s="165" t="str">
        <v>EUR_YC3MRH_AB3E18M</v>
      </c>
      <c r="AE1464" s="165" t="s">
        <v>1606</v>
      </c>
      <c r="AF1464" s="165">
        <f>_xll.ohObjectCreationTime(AE1464)</f>
        <v>41709.402841111114</v>
      </c>
    </row>
    <row r="1465" spans="30:32" x14ac:dyDescent="0.25">
      <c r="AD1465" s="165" t="str">
        <v>EUR_YC3MRH_AB3E18Y</v>
      </c>
      <c r="AE1465" s="165" t="s">
        <v>1611</v>
      </c>
      <c r="AF1465" s="165">
        <f>_xll.ohObjectCreationTime(AE1465)</f>
        <v>41709.402841180556</v>
      </c>
    </row>
    <row r="1466" spans="30:32" x14ac:dyDescent="0.25">
      <c r="AD1466" s="165" t="str">
        <v>EUR_YC3MRH_AB3E19Y</v>
      </c>
      <c r="AE1466" s="165" t="s">
        <v>1612</v>
      </c>
      <c r="AF1466" s="165">
        <f>_xll.ohObjectCreationTime(AE1466)</f>
        <v>41709.402841261573</v>
      </c>
    </row>
    <row r="1467" spans="30:32" x14ac:dyDescent="0.25">
      <c r="AD1467" s="165" t="str">
        <v>EUR_YC3MRH_AB3E1Y</v>
      </c>
      <c r="AE1467" s="165" t="s">
        <v>1609</v>
      </c>
      <c r="AF1467" s="165">
        <f>_xll.ohObjectCreationTime(AE1467)</f>
        <v>41709.402841331015</v>
      </c>
    </row>
    <row r="1468" spans="30:32" x14ac:dyDescent="0.25">
      <c r="AD1468" s="165" t="str">
        <v>EUR_YC3MRH_AB3E20Y</v>
      </c>
      <c r="AE1468" s="165" t="s">
        <v>1601</v>
      </c>
      <c r="AF1468" s="165">
        <f>_xll.ohObjectCreationTime(AE1468)</f>
        <v>41709.40284141204</v>
      </c>
    </row>
    <row r="1469" spans="30:32" x14ac:dyDescent="0.25">
      <c r="AD1469" s="165" t="str">
        <v>EUR_YC3MRH_AB3E21M</v>
      </c>
      <c r="AE1469" s="165" t="s">
        <v>1610</v>
      </c>
      <c r="AF1469" s="165">
        <f>_xll.ohObjectCreationTime(AE1469)</f>
        <v>41709.402841481482</v>
      </c>
    </row>
    <row r="1470" spans="30:32" x14ac:dyDescent="0.25">
      <c r="AD1470" s="165" t="str">
        <v>EUR_YC3MRH_AB3E21Y</v>
      </c>
      <c r="AE1470" s="165" t="s">
        <v>1599</v>
      </c>
      <c r="AF1470" s="165">
        <f>_xll.ohObjectCreationTime(AE1470)</f>
        <v>41709.4028415625</v>
      </c>
    </row>
    <row r="1471" spans="30:32" x14ac:dyDescent="0.25">
      <c r="AD1471" s="165" t="str">
        <v>EUR_YC3MRH_AB3E22Y</v>
      </c>
      <c r="AE1471" s="165" t="s">
        <v>1603</v>
      </c>
      <c r="AF1471" s="165">
        <f>_xll.ohObjectCreationTime(AE1471)</f>
        <v>41709.402842060183</v>
      </c>
    </row>
    <row r="1472" spans="30:32" x14ac:dyDescent="0.25">
      <c r="AD1472" s="165" t="str">
        <v>EUR_YC3MRH_AB3E23Y</v>
      </c>
      <c r="AE1472" s="165" t="s">
        <v>1602</v>
      </c>
      <c r="AF1472" s="165">
        <f>_xll.ohObjectCreationTime(AE1472)</f>
        <v>41709.402842118056</v>
      </c>
    </row>
    <row r="1473" spans="30:32" x14ac:dyDescent="0.25">
      <c r="AD1473" s="165" t="str">
        <v>EUR_YC3MRH_AB3E24Y</v>
      </c>
      <c r="AE1473" s="165" t="s">
        <v>1653</v>
      </c>
      <c r="AF1473" s="165">
        <f>_xll.ohObjectCreationTime(AE1473)</f>
        <v>41709.402842187497</v>
      </c>
    </row>
    <row r="1474" spans="30:32" x14ac:dyDescent="0.25">
      <c r="AD1474" s="165" t="str">
        <v>EUR_YC3MRH_AB3E25Y</v>
      </c>
      <c r="AE1474" s="165" t="s">
        <v>1605</v>
      </c>
      <c r="AF1474" s="165">
        <f>_xll.ohObjectCreationTime(AE1474)</f>
        <v>41709.40284224537</v>
      </c>
    </row>
    <row r="1475" spans="30:32" x14ac:dyDescent="0.25">
      <c r="AD1475" s="165" t="str">
        <v>EUR_YC3MRH_AB3E26Y</v>
      </c>
      <c r="AE1475" s="165" t="s">
        <v>1652</v>
      </c>
      <c r="AF1475" s="165">
        <f>_xll.ohObjectCreationTime(AE1475)</f>
        <v>41709.402842314812</v>
      </c>
    </row>
    <row r="1476" spans="30:32" x14ac:dyDescent="0.25">
      <c r="AD1476" s="165" t="str">
        <v>EUR_YC3MRH_AB3E27Y</v>
      </c>
      <c r="AE1476" s="165" t="s">
        <v>1651</v>
      </c>
      <c r="AF1476" s="165">
        <f>_xll.ohObjectCreationTime(AE1476)</f>
        <v>41709.402848993057</v>
      </c>
    </row>
    <row r="1477" spans="30:32" x14ac:dyDescent="0.25">
      <c r="AD1477" s="165" t="str">
        <v>EUR_YC3MRH_AB3E28Y</v>
      </c>
      <c r="AE1477" s="165" t="s">
        <v>2107</v>
      </c>
      <c r="AF1477" s="165">
        <f>_xll.ohObjectCreationTime(AE1477)</f>
        <v>41709.402849143517</v>
      </c>
    </row>
    <row r="1478" spans="30:32" x14ac:dyDescent="0.25">
      <c r="AD1478" s="165" t="str">
        <v>EUR_YC3MRH_AB3E29Y</v>
      </c>
      <c r="AE1478" s="165" t="s">
        <v>1849</v>
      </c>
      <c r="AF1478" s="165">
        <f>_xll.ohObjectCreationTime(AE1478)</f>
        <v>41709.402997881945</v>
      </c>
    </row>
    <row r="1479" spans="30:32" x14ac:dyDescent="0.25">
      <c r="AD1479" s="165" t="str">
        <v>EUR_YC3MRH_AB3E2Y</v>
      </c>
      <c r="AE1479" s="165" t="s">
        <v>1817</v>
      </c>
      <c r="AF1479" s="165">
        <f>_xll.ohObjectCreationTime(AE1479)</f>
        <v>41709.402997962963</v>
      </c>
    </row>
    <row r="1480" spans="30:32" x14ac:dyDescent="0.25">
      <c r="AD1480" s="165" t="str">
        <v>EUR_YC3MRH_AB3E30Y</v>
      </c>
      <c r="AE1480" s="165" t="s">
        <v>1824</v>
      </c>
      <c r="AF1480" s="165">
        <f>_xll.ohObjectCreationTime(AE1480)</f>
        <v>41709.402998032405</v>
      </c>
    </row>
    <row r="1481" spans="30:32" x14ac:dyDescent="0.25">
      <c r="AD1481" s="165" t="str">
        <v>EUR_YC3MRH_AB3E35Y</v>
      </c>
      <c r="AE1481" s="165" t="s">
        <v>1821</v>
      </c>
      <c r="AF1481" s="165">
        <f>_xll.ohObjectCreationTime(AE1481)</f>
        <v>41709.402998113423</v>
      </c>
    </row>
    <row r="1482" spans="30:32" x14ac:dyDescent="0.25">
      <c r="AD1482" s="165" t="str">
        <v>EUR_YC3MRH_AB3E3Y</v>
      </c>
      <c r="AE1482" s="165" t="s">
        <v>1826</v>
      </c>
      <c r="AF1482" s="165">
        <f>_xll.ohObjectCreationTime(AE1482)</f>
        <v>41709.402998194448</v>
      </c>
    </row>
    <row r="1483" spans="30:32" x14ac:dyDescent="0.25">
      <c r="AD1483" s="165" t="str">
        <v>EUR_YC3MRH_AB3E40Y</v>
      </c>
      <c r="AE1483" s="165" t="s">
        <v>1836</v>
      </c>
      <c r="AF1483" s="165">
        <f>_xll.ohObjectCreationTime(AE1483)</f>
        <v>41709.402998287034</v>
      </c>
    </row>
    <row r="1484" spans="30:32" x14ac:dyDescent="0.25">
      <c r="AD1484" s="165" t="str">
        <v>EUR_YC3MRH_AB3E4Y</v>
      </c>
      <c r="AE1484" s="165" t="s">
        <v>1839</v>
      </c>
      <c r="AF1484" s="165">
        <f>_xll.ohObjectCreationTime(AE1484)</f>
        <v>41709.402998379628</v>
      </c>
    </row>
    <row r="1485" spans="30:32" x14ac:dyDescent="0.25">
      <c r="AD1485" s="165" t="str">
        <v>EUR_YC3MRH_AB3E50Y</v>
      </c>
      <c r="AE1485" s="165" t="s">
        <v>1841</v>
      </c>
      <c r="AF1485" s="165">
        <f>_xll.ohObjectCreationTime(AE1485)</f>
        <v>41709.402998472222</v>
      </c>
    </row>
    <row r="1486" spans="30:32" x14ac:dyDescent="0.25">
      <c r="AD1486" s="165" t="str">
        <v>EUR_YC3MRH_AB3E5Y</v>
      </c>
      <c r="AE1486" s="165" t="s">
        <v>1843</v>
      </c>
      <c r="AF1486" s="165">
        <f>_xll.ohObjectCreationTime(AE1486)</f>
        <v>41709.402998564816</v>
      </c>
    </row>
    <row r="1487" spans="30:32" x14ac:dyDescent="0.25">
      <c r="AD1487" s="165" t="str">
        <v>EUR_YC3MRH_AB3E60Y</v>
      </c>
      <c r="AE1487" s="165" t="s">
        <v>1845</v>
      </c>
      <c r="AF1487" s="165">
        <f>_xll.ohObjectCreationTime(AE1487)</f>
        <v>41709.402998668978</v>
      </c>
    </row>
    <row r="1488" spans="30:32" x14ac:dyDescent="0.25">
      <c r="AD1488" s="165" t="str">
        <v>EUR_YC3MRH_AB3E6Y</v>
      </c>
      <c r="AE1488" s="165" t="s">
        <v>1846</v>
      </c>
      <c r="AF1488" s="165">
        <f>_xll.ohObjectCreationTime(AE1488)</f>
        <v>41709.402998773148</v>
      </c>
    </row>
    <row r="1489" spans="30:32" x14ac:dyDescent="0.25">
      <c r="AD1489" s="165" t="str">
        <v>EUR_YC3MRH_AB3E7Y</v>
      </c>
      <c r="AE1489" s="165" t="s">
        <v>1847</v>
      </c>
      <c r="AF1489" s="165">
        <f>_xll.ohObjectCreationTime(AE1489)</f>
        <v>41709.402998877318</v>
      </c>
    </row>
    <row r="1490" spans="30:32" x14ac:dyDescent="0.25">
      <c r="AD1490" s="165" t="str">
        <v>EUR_YC3MRH_AB3E8Y</v>
      </c>
      <c r="AE1490" s="165" t="s">
        <v>1848</v>
      </c>
      <c r="AF1490" s="165">
        <f>_xll.ohObjectCreationTime(AE1490)</f>
        <v>41709.402999016202</v>
      </c>
    </row>
    <row r="1491" spans="30:32" x14ac:dyDescent="0.25">
      <c r="AD1491" s="165" t="str">
        <v>EUR_YC3MRH_AB3E9Y</v>
      </c>
      <c r="AE1491" s="165" t="s">
        <v>1812</v>
      </c>
      <c r="AF1491" s="165">
        <f>_xll.ohObjectCreationTime(AE1491)</f>
        <v>41709.402999131948</v>
      </c>
    </row>
    <row r="1492" spans="30:32" x14ac:dyDescent="0.25">
      <c r="AD1492" s="165" t="str">
        <v>EUR_YC3MRH_AB3EBASIS10Y</v>
      </c>
      <c r="AE1492" s="165" t="s">
        <v>1813</v>
      </c>
      <c r="AF1492" s="165">
        <f>_xll.ohObjectCreationTime(AE1492)</f>
        <v>41709.402999259262</v>
      </c>
    </row>
    <row r="1493" spans="30:32" x14ac:dyDescent="0.25">
      <c r="AD1493" s="165" t="str">
        <v>EUR_YC3MRH_AB3EBASIS11Y</v>
      </c>
      <c r="AE1493" s="165" t="s">
        <v>1814</v>
      </c>
      <c r="AF1493" s="165">
        <f>_xll.ohObjectCreationTime(AE1493)</f>
        <v>41709.402999375001</v>
      </c>
    </row>
    <row r="1494" spans="30:32" x14ac:dyDescent="0.25">
      <c r="AD1494" s="165" t="str">
        <v>EUR_YC3MRH_AB3EBASIS12Y</v>
      </c>
      <c r="AE1494" s="165" t="s">
        <v>1815</v>
      </c>
      <c r="AF1494" s="165">
        <f>_xll.ohObjectCreationTime(AE1494)</f>
        <v>41709.402999513892</v>
      </c>
    </row>
    <row r="1495" spans="30:32" x14ac:dyDescent="0.25">
      <c r="AD1495" s="165" t="str">
        <v>EUR_YC3MRH_AB3EBASIS13Y</v>
      </c>
      <c r="AE1495" s="165" t="s">
        <v>1816</v>
      </c>
      <c r="AF1495" s="165">
        <f>_xll.ohObjectCreationTime(AE1495)</f>
        <v>41709.402999641206</v>
      </c>
    </row>
    <row r="1496" spans="30:32" x14ac:dyDescent="0.25">
      <c r="AD1496" s="165" t="str">
        <v>EUR_YC3MRH_AB3EBASIS14Y</v>
      </c>
      <c r="AE1496" s="165" t="s">
        <v>1818</v>
      </c>
      <c r="AF1496" s="165">
        <f>_xll.ohObjectCreationTime(AE1496)</f>
        <v>41709.40299978009</v>
      </c>
    </row>
    <row r="1497" spans="30:32" x14ac:dyDescent="0.25">
      <c r="AD1497" s="165" t="str">
        <v>EUR_YC3MRH_AB3EBASIS15M</v>
      </c>
      <c r="AE1497" s="165" t="s">
        <v>1819</v>
      </c>
      <c r="AF1497" s="165">
        <f>_xll.ohObjectCreationTime(AE1497)</f>
        <v>41709.402999918981</v>
      </c>
    </row>
    <row r="1498" spans="30:32" x14ac:dyDescent="0.25">
      <c r="AD1498" s="165" t="str">
        <v>EUR_YC3MRH_AB3EBASIS15Y</v>
      </c>
      <c r="AE1498" s="165" t="s">
        <v>1820</v>
      </c>
      <c r="AF1498" s="165">
        <f>_xll.ohObjectCreationTime(AE1498)</f>
        <v>41709.403000057871</v>
      </c>
    </row>
    <row r="1499" spans="30:32" x14ac:dyDescent="0.25">
      <c r="AD1499" s="165" t="str">
        <v>EUR_YC3MRH_AB3EBASIS16Y</v>
      </c>
      <c r="AE1499" s="165" t="s">
        <v>1822</v>
      </c>
      <c r="AF1499" s="165">
        <f>_xll.ohObjectCreationTime(AE1499)</f>
        <v>41709.403000208331</v>
      </c>
    </row>
    <row r="1500" spans="30:32" x14ac:dyDescent="0.25">
      <c r="AD1500" s="165" t="str">
        <v>EUR_YC3MRH_AB3EBASIS17Y</v>
      </c>
      <c r="AE1500" s="165" t="s">
        <v>1823</v>
      </c>
      <c r="AF1500" s="165">
        <f>_xll.ohObjectCreationTime(AE1500)</f>
        <v>41709.403000393519</v>
      </c>
    </row>
    <row r="1501" spans="30:32" x14ac:dyDescent="0.25">
      <c r="AD1501" s="165" t="str">
        <v>EUR_YC3MRH_AB3EBASIS18M</v>
      </c>
      <c r="AE1501" s="165" t="s">
        <v>1825</v>
      </c>
      <c r="AF1501" s="165">
        <f>_xll.ohObjectCreationTime(AE1501)</f>
        <v>41709.403000543978</v>
      </c>
    </row>
    <row r="1502" spans="30:32" x14ac:dyDescent="0.25">
      <c r="AD1502" s="165" t="str">
        <v>EUR_YC3MRH_AB3EBASIS18Y</v>
      </c>
      <c r="AE1502" s="165" t="s">
        <v>1827</v>
      </c>
      <c r="AF1502" s="165">
        <f>_xll.ohObjectCreationTime(AE1502)</f>
        <v>41709.403000706021</v>
      </c>
    </row>
    <row r="1503" spans="30:32" x14ac:dyDescent="0.25">
      <c r="AD1503" s="165" t="str">
        <v>EUR_YC3MRH_AB3EBASIS19Y</v>
      </c>
      <c r="AE1503" s="165" t="s">
        <v>1828</v>
      </c>
      <c r="AF1503" s="165">
        <f>_xll.ohObjectCreationTime(AE1503)</f>
        <v>41709.403000879633</v>
      </c>
    </row>
    <row r="1504" spans="30:32" x14ac:dyDescent="0.25">
      <c r="AD1504" s="165" t="str">
        <v>EUR_YC3MRH_AB3EBASIS1Y</v>
      </c>
      <c r="AE1504" s="165" t="s">
        <v>1829</v>
      </c>
      <c r="AF1504" s="165">
        <f>_xll.ohObjectCreationTime(AE1504)</f>
        <v>41709.403001053244</v>
      </c>
    </row>
    <row r="1505" spans="30:32" x14ac:dyDescent="0.25">
      <c r="AD1505" s="165" t="str">
        <v>EUR_YC3MRH_AB3EBASIS20Y</v>
      </c>
      <c r="AE1505" s="165" t="s">
        <v>1830</v>
      </c>
      <c r="AF1505" s="165">
        <f>_xll.ohObjectCreationTime(AE1505)</f>
        <v>41709.403001226849</v>
      </c>
    </row>
    <row r="1506" spans="30:32" x14ac:dyDescent="0.25">
      <c r="AD1506" s="165" t="str">
        <v>EUR_YC3MRH_AB3EBASIS21M</v>
      </c>
      <c r="AE1506" s="165" t="s">
        <v>1831</v>
      </c>
      <c r="AF1506" s="165">
        <f>_xll.ohObjectCreationTime(AE1506)</f>
        <v>41709.403001412036</v>
      </c>
    </row>
    <row r="1507" spans="30:32" x14ac:dyDescent="0.25">
      <c r="AD1507" s="165" t="str">
        <v>EUR_YC3MRH_AB3EBASIS21Y</v>
      </c>
      <c r="AE1507" s="165" t="s">
        <v>1832</v>
      </c>
      <c r="AF1507" s="165">
        <f>_xll.ohObjectCreationTime(AE1507)</f>
        <v>41709.403001631945</v>
      </c>
    </row>
    <row r="1508" spans="30:32" x14ac:dyDescent="0.25">
      <c r="AD1508" s="165" t="str">
        <v>EUR_YC3MRH_AB3EBASIS22Y</v>
      </c>
      <c r="AE1508" s="165" t="s">
        <v>1833</v>
      </c>
      <c r="AF1508" s="165">
        <f>_xll.ohObjectCreationTime(AE1508)</f>
        <v>41709.403001828701</v>
      </c>
    </row>
    <row r="1509" spans="30:32" x14ac:dyDescent="0.25">
      <c r="AD1509" s="165" t="str">
        <v>EUR_YC3MRH_AB3EBASIS23Y</v>
      </c>
      <c r="AE1509" s="165" t="s">
        <v>1834</v>
      </c>
      <c r="AF1509" s="165">
        <f>_xll.ohObjectCreationTime(AE1509)</f>
        <v>41709.403002025465</v>
      </c>
    </row>
    <row r="1510" spans="30:32" x14ac:dyDescent="0.25">
      <c r="AD1510" s="165" t="str">
        <v>EUR_YC3MRH_AB3EBASIS24Y</v>
      </c>
      <c r="AE1510" s="165" t="s">
        <v>1835</v>
      </c>
      <c r="AF1510" s="165">
        <f>_xll.ohObjectCreationTime(AE1510)</f>
        <v>41709.403002233797</v>
      </c>
    </row>
    <row r="1511" spans="30:32" x14ac:dyDescent="0.25">
      <c r="AD1511" s="165" t="str">
        <v>EUR_YC3MRH_AB3EBASIS25Y</v>
      </c>
      <c r="AE1511" s="165" t="s">
        <v>1837</v>
      </c>
      <c r="AF1511" s="165">
        <f>_xll.ohObjectCreationTime(AE1511)</f>
        <v>41709.40300244213</v>
      </c>
    </row>
    <row r="1512" spans="30:32" x14ac:dyDescent="0.25">
      <c r="AD1512" s="165" t="str">
        <v>EUR_YC3MRH_AB3EBASIS26Y</v>
      </c>
      <c r="AE1512" s="165" t="s">
        <v>1838</v>
      </c>
      <c r="AF1512" s="165">
        <f>_xll.ohObjectCreationTime(AE1512)</f>
        <v>41709.403002673615</v>
      </c>
    </row>
    <row r="1513" spans="30:32" x14ac:dyDescent="0.25">
      <c r="AD1513" s="165" t="str">
        <v>EUR_YC3MRH_AB3EBASIS27Y</v>
      </c>
      <c r="AE1513" s="165" t="s">
        <v>1840</v>
      </c>
      <c r="AF1513" s="165">
        <f>_xll.ohObjectCreationTime(AE1513)</f>
        <v>41709.403002962965</v>
      </c>
    </row>
    <row r="1514" spans="30:32" x14ac:dyDescent="0.25">
      <c r="AD1514" s="165" t="str">
        <v>EUR_YC3MRH_AB3EBASIS28Y</v>
      </c>
      <c r="AE1514" s="165" t="s">
        <v>1842</v>
      </c>
      <c r="AF1514" s="165">
        <f>_xll.ohObjectCreationTime(AE1514)</f>
        <v>41709.403003310188</v>
      </c>
    </row>
    <row r="1515" spans="30:32" x14ac:dyDescent="0.25">
      <c r="AD1515" s="165" t="str">
        <v>EUR_YC3MRH_AB3EBASIS29Y</v>
      </c>
      <c r="AE1515" s="165" t="s">
        <v>1844</v>
      </c>
      <c r="AF1515" s="165">
        <f>_xll.ohObjectCreationTime(AE1515)</f>
        <v>41709.403003796295</v>
      </c>
    </row>
    <row r="1516" spans="30:32" x14ac:dyDescent="0.25">
      <c r="AD1516" s="165" t="str">
        <v>EUR_YC3MRH_AB3EBASIS2Y</v>
      </c>
      <c r="AE1516" s="165" t="s">
        <v>1850</v>
      </c>
      <c r="AF1516" s="165">
        <f>_xll.ohObjectCreationTime(AE1516)</f>
        <v>41709.403004120373</v>
      </c>
    </row>
    <row r="1517" spans="30:32" x14ac:dyDescent="0.25">
      <c r="AD1517" s="165" t="str">
        <v>EUR_YC3MRH_AB3EBASIS30Y</v>
      </c>
      <c r="AE1517" s="165" t="s">
        <v>1811</v>
      </c>
      <c r="AF1517" s="165">
        <f>_xll.ohObjectCreationTime(AE1517)</f>
        <v>41709.403004305554</v>
      </c>
    </row>
    <row r="1518" spans="30:32" x14ac:dyDescent="0.25">
      <c r="AD1518" s="165" t="str">
        <v>EUR_YC3MRH_AB3EBASIS35Y</v>
      </c>
      <c r="AE1518" s="165" t="s">
        <v>1808</v>
      </c>
      <c r="AF1518" s="165">
        <f>_xll.ohObjectCreationTime(AE1518)</f>
        <v>41709.403004398147</v>
      </c>
    </row>
    <row r="1519" spans="30:32" x14ac:dyDescent="0.25">
      <c r="AD1519" s="165" t="str">
        <v>EUR_YC3MRH_AB3EBASIS3Y</v>
      </c>
      <c r="AE1519" s="165" t="s">
        <v>1803</v>
      </c>
      <c r="AF1519" s="165">
        <f>_xll.ohObjectCreationTime(AE1519)</f>
        <v>41709.403004652777</v>
      </c>
    </row>
    <row r="1520" spans="30:32" x14ac:dyDescent="0.25">
      <c r="AD1520" s="165" t="str">
        <v>EUR_YC3MRH_AB3EBASIS40Y</v>
      </c>
      <c r="AE1520" s="165" t="s">
        <v>1794</v>
      </c>
      <c r="AF1520" s="165">
        <f>_xll.ohObjectCreationTime(AE1520)</f>
        <v>41709.403004837965</v>
      </c>
    </row>
    <row r="1521" spans="30:32" x14ac:dyDescent="0.25">
      <c r="AD1521" s="165" t="str">
        <v>EUR_YC3MRH_AB3EBASIS4Y</v>
      </c>
      <c r="AE1521" s="165" t="s">
        <v>1778</v>
      </c>
      <c r="AF1521" s="165">
        <f>_xll.ohObjectCreationTime(AE1521)</f>
        <v>41709.403004953703</v>
      </c>
    </row>
    <row r="1522" spans="30:32" x14ac:dyDescent="0.25">
      <c r="AD1522" s="165" t="str">
        <v>EUR_YC3MRH_AB3EBASIS50Y</v>
      </c>
      <c r="AE1522" s="165" t="s">
        <v>1787</v>
      </c>
      <c r="AF1522" s="165">
        <f>_xll.ohObjectCreationTime(AE1522)</f>
        <v>41709.403005034721</v>
      </c>
    </row>
    <row r="1523" spans="30:32" x14ac:dyDescent="0.25">
      <c r="AD1523" s="165" t="str">
        <v>EUR_YC3MRH_AB3EBASIS5Y</v>
      </c>
      <c r="AE1523" s="165" t="s">
        <v>1798</v>
      </c>
      <c r="AF1523" s="165">
        <f>_xll.ohObjectCreationTime(AE1523)</f>
        <v>41709.403005231485</v>
      </c>
    </row>
    <row r="1524" spans="30:32" x14ac:dyDescent="0.25">
      <c r="AD1524" s="165" t="str">
        <v>EUR_YC3MRH_AB3EBASIS60Y</v>
      </c>
      <c r="AE1524" s="165" t="s">
        <v>1779</v>
      </c>
      <c r="AF1524" s="165">
        <f>_xll.ohObjectCreationTime(AE1524)</f>
        <v>41709.403005347223</v>
      </c>
    </row>
    <row r="1525" spans="30:32" x14ac:dyDescent="0.25">
      <c r="AD1525" s="165" t="str">
        <v>EUR_YC3MRH_AB3EBASIS6Y</v>
      </c>
      <c r="AE1525" s="165" t="s">
        <v>1788</v>
      </c>
      <c r="AF1525" s="165">
        <f>_xll.ohObjectCreationTime(AE1525)</f>
        <v>41709.403005497683</v>
      </c>
    </row>
    <row r="1526" spans="30:32" x14ac:dyDescent="0.25">
      <c r="AD1526" s="165" t="str">
        <v>EUR_YC3MRH_AB3EBASIS7Y</v>
      </c>
      <c r="AE1526" s="165" t="s">
        <v>1807</v>
      </c>
      <c r="AF1526" s="165">
        <f>_xll.ohObjectCreationTime(AE1526)</f>
        <v>41709.403005891203</v>
      </c>
    </row>
    <row r="1527" spans="30:32" x14ac:dyDescent="0.25">
      <c r="AD1527" s="165" t="str">
        <v>EUR_YC3MRH_AB3EBASIS8Y</v>
      </c>
      <c r="AE1527" s="165" t="s">
        <v>1783</v>
      </c>
      <c r="AF1527" s="165">
        <f>_xll.ohObjectCreationTime(AE1527)</f>
        <v>41709.403006030094</v>
      </c>
    </row>
    <row r="1528" spans="30:32" x14ac:dyDescent="0.25">
      <c r="AD1528" s="165" t="str">
        <v>EUR_YC3MRH_AB3EBASIS9Y</v>
      </c>
      <c r="AE1528" s="165" t="s">
        <v>1775</v>
      </c>
      <c r="AF1528" s="165">
        <f>_xll.ohObjectCreationTime(AE1528)</f>
        <v>41709.403006145832</v>
      </c>
    </row>
    <row r="1529" spans="30:32" x14ac:dyDescent="0.25">
      <c r="AD1529" s="165" t="str">
        <v>EUR_YC3MRH_AB3EBASIS_ibor3M</v>
      </c>
      <c r="AE1529" s="165" t="s">
        <v>1797</v>
      </c>
      <c r="AF1529" s="165">
        <f>_xll.ohObjectCreationTime(AE1529)</f>
        <v>41709.403006342596</v>
      </c>
    </row>
    <row r="1530" spans="30:32" x14ac:dyDescent="0.25">
      <c r="AD1530" s="165" t="str">
        <v>EUR_YC3MRH_AB3E_ibor3M</v>
      </c>
      <c r="AE1530" s="165" t="s">
        <v>1776</v>
      </c>
      <c r="AF1530" s="165">
        <f>_xll.ohObjectCreationTime(AE1530)</f>
        <v>41709.403006458335</v>
      </c>
    </row>
    <row r="1531" spans="30:32" x14ac:dyDescent="0.25">
      <c r="AD1531" s="165" t="str">
        <v>EUR_YC3MRH_FUT3MF5</v>
      </c>
      <c r="AE1531" s="165" t="s">
        <v>1764</v>
      </c>
      <c r="AF1531" s="165">
        <f>_xll.ohObjectCreationTime(AE1531)</f>
        <v>41709.403006539353</v>
      </c>
    </row>
    <row r="1532" spans="30:32" x14ac:dyDescent="0.25">
      <c r="AD1532" s="165" t="str">
        <v>EUR_YC3MRH_FUT3MG5</v>
      </c>
      <c r="AE1532" s="165" t="s">
        <v>1799</v>
      </c>
      <c r="AF1532" s="165">
        <f>_xll.ohObjectCreationTime(AE1532)</f>
        <v>41709.40300662037</v>
      </c>
    </row>
    <row r="1533" spans="30:32" x14ac:dyDescent="0.25">
      <c r="AD1533" s="165" t="str">
        <v>EUR_YC3MRH_FUT3MH0</v>
      </c>
      <c r="AE1533" s="165" t="s">
        <v>1760</v>
      </c>
      <c r="AF1533" s="165">
        <f>_xll.ohObjectCreationTime(AE1533)</f>
        <v>41709.403006701388</v>
      </c>
    </row>
    <row r="1534" spans="30:32" x14ac:dyDescent="0.25">
      <c r="AD1534" s="165" t="str">
        <v>EUR_YC3MRH_FUT3MH1</v>
      </c>
      <c r="AE1534" s="165" t="s">
        <v>1793</v>
      </c>
      <c r="AF1534" s="165">
        <f>_xll.ohObjectCreationTime(AE1534)</f>
        <v>41709.403006875</v>
      </c>
    </row>
    <row r="1535" spans="30:32" x14ac:dyDescent="0.25">
      <c r="AD1535" s="165" t="str">
        <v>EUR_YC3MRH_FUT3MH2</v>
      </c>
      <c r="AE1535" s="165" t="s">
        <v>1810</v>
      </c>
      <c r="AF1535" s="165">
        <f>_xll.ohObjectCreationTime(AE1535)</f>
        <v>41709.40300697917</v>
      </c>
    </row>
    <row r="1536" spans="30:32" x14ac:dyDescent="0.25">
      <c r="AD1536" s="165" t="str">
        <v>EUR_YC3MRH_FUT3MH4</v>
      </c>
      <c r="AE1536" s="165" t="s">
        <v>1802</v>
      </c>
      <c r="AF1536" s="165">
        <f>_xll.ohObjectCreationTime(AE1536)</f>
        <v>41709.403007060188</v>
      </c>
    </row>
    <row r="1537" spans="30:32" x14ac:dyDescent="0.25">
      <c r="AD1537" s="165" t="str">
        <v>EUR_YC3MRH_FUT3MH5</v>
      </c>
      <c r="AE1537" s="165" t="s">
        <v>1771</v>
      </c>
      <c r="AF1537" s="165">
        <f>_xll.ohObjectCreationTime(AE1537)</f>
        <v>41709.403007141205</v>
      </c>
    </row>
    <row r="1538" spans="30:32" x14ac:dyDescent="0.25">
      <c r="AD1538" s="165" t="str">
        <v>EUR_YC3MRH_FUT3MH6</v>
      </c>
      <c r="AE1538" s="165" t="s">
        <v>1796</v>
      </c>
      <c r="AF1538" s="165">
        <f>_xll.ohObjectCreationTime(AE1538)</f>
        <v>41709.403007361114</v>
      </c>
    </row>
    <row r="1539" spans="30:32" x14ac:dyDescent="0.25">
      <c r="AD1539" s="165" t="str">
        <v>EUR_YC3MRH_FUT3MH7</v>
      </c>
      <c r="AE1539" s="165" t="s">
        <v>1777</v>
      </c>
      <c r="AF1539" s="165">
        <f>_xll.ohObjectCreationTime(AE1539)</f>
        <v>41709.403007488429</v>
      </c>
    </row>
    <row r="1540" spans="30:32" x14ac:dyDescent="0.25">
      <c r="AD1540" s="165" t="str">
        <v>EUR_YC3MRH_FUT3MH8</v>
      </c>
      <c r="AE1540" s="165" t="s">
        <v>1800</v>
      </c>
      <c r="AF1540" s="165">
        <f>_xll.ohObjectCreationTime(AE1540)</f>
        <v>41709.403007685185</v>
      </c>
    </row>
    <row r="1541" spans="30:32" x14ac:dyDescent="0.25">
      <c r="AD1541" s="165" t="str">
        <v>EUR_YC3MRH_FUT3MH9</v>
      </c>
      <c r="AE1541" s="165" t="s">
        <v>1789</v>
      </c>
      <c r="AF1541" s="165">
        <f>_xll.ohObjectCreationTime(AE1541)</f>
        <v>41709.403007777779</v>
      </c>
    </row>
    <row r="1542" spans="30:32" x14ac:dyDescent="0.25">
      <c r="AD1542" s="165" t="str">
        <v>EUR_YC3MRH_FUT3MJ4</v>
      </c>
      <c r="AE1542" s="165" t="s">
        <v>1759</v>
      </c>
      <c r="AF1542" s="165">
        <f>_xll.ohObjectCreationTime(AE1542)</f>
        <v>41709.403007858797</v>
      </c>
    </row>
    <row r="1543" spans="30:32" x14ac:dyDescent="0.25">
      <c r="AD1543" s="165" t="str">
        <v>EUR_YC3MRH_FUT3MK4</v>
      </c>
      <c r="AE1543" s="165" t="s">
        <v>1784</v>
      </c>
      <c r="AF1543" s="165">
        <f>_xll.ohObjectCreationTime(AE1543)</f>
        <v>41709.403007939814</v>
      </c>
    </row>
    <row r="1544" spans="30:32" x14ac:dyDescent="0.25">
      <c r="AD1544" s="165" t="str">
        <v>EUR_YC3MRH_FUT3MM0</v>
      </c>
      <c r="AE1544" s="165" t="s">
        <v>1785</v>
      </c>
      <c r="AF1544" s="165">
        <f>_xll.ohObjectCreationTime(AE1544)</f>
        <v>41709.403008078705</v>
      </c>
    </row>
    <row r="1545" spans="30:32" x14ac:dyDescent="0.25">
      <c r="AD1545" s="165" t="str">
        <v>EUR_YC3MRH_FUT3MM1</v>
      </c>
      <c r="AE1545" s="165" t="s">
        <v>1782</v>
      </c>
      <c r="AF1545" s="165">
        <f>_xll.ohObjectCreationTime(AE1545)</f>
        <v>41709.403008217596</v>
      </c>
    </row>
    <row r="1546" spans="30:32" x14ac:dyDescent="0.25">
      <c r="AD1546" s="165" t="str">
        <v>EUR_YC3MRH_FUT3MM2</v>
      </c>
      <c r="AE1546" s="165" t="s">
        <v>1804</v>
      </c>
      <c r="AF1546" s="165">
        <f>_xll.ohObjectCreationTime(AE1546)</f>
        <v>41709.403008298614</v>
      </c>
    </row>
    <row r="1547" spans="30:32" x14ac:dyDescent="0.25">
      <c r="AD1547" s="165" t="str">
        <v>EUR_YC3MRH_FUT3MM4</v>
      </c>
      <c r="AE1547" s="165" t="s">
        <v>1758</v>
      </c>
      <c r="AF1547" s="165">
        <f>_xll.ohObjectCreationTime(AE1547)</f>
        <v>41709.4030083912</v>
      </c>
    </row>
    <row r="1548" spans="30:32" x14ac:dyDescent="0.25">
      <c r="AD1548" s="165" t="str">
        <v>EUR_YC3MRH_FUT3MM5</v>
      </c>
      <c r="AE1548" s="165" t="s">
        <v>1809</v>
      </c>
      <c r="AF1548" s="165">
        <f>_xll.ohObjectCreationTime(AE1548)</f>
        <v>41709.403008483794</v>
      </c>
    </row>
    <row r="1549" spans="30:32" x14ac:dyDescent="0.25">
      <c r="AD1549" s="165" t="str">
        <v>EUR_YC3MRH_FUT3MM6</v>
      </c>
      <c r="AE1549" s="165" t="s">
        <v>1801</v>
      </c>
      <c r="AF1549" s="165">
        <f>_xll.ohObjectCreationTime(AE1549)</f>
        <v>41709.403008715279</v>
      </c>
    </row>
    <row r="1550" spans="30:32" x14ac:dyDescent="0.25">
      <c r="AD1550" s="165" t="str">
        <v>EUR_YC3MRH_FUT3MM7</v>
      </c>
      <c r="AE1550" s="165" t="s">
        <v>1790</v>
      </c>
      <c r="AF1550" s="165">
        <f>_xll.ohObjectCreationTime(AE1550)</f>
        <v>41709.403008865738</v>
      </c>
    </row>
    <row r="1551" spans="30:32" x14ac:dyDescent="0.25">
      <c r="AD1551" s="165" t="str">
        <v>EUR_YC3MRH_FUT3MM8</v>
      </c>
      <c r="AE1551" s="165" t="s">
        <v>1780</v>
      </c>
      <c r="AF1551" s="165">
        <f>_xll.ohObjectCreationTime(AE1551)</f>
        <v>41709.403008946756</v>
      </c>
    </row>
    <row r="1552" spans="30:32" x14ac:dyDescent="0.25">
      <c r="AD1552" s="165" t="str">
        <v>EUR_YC3MRH_FUT3MM9</v>
      </c>
      <c r="AE1552" s="165" t="s">
        <v>1763</v>
      </c>
      <c r="AF1552" s="165">
        <f>_xll.ohObjectCreationTime(AE1552)</f>
        <v>41709.40300903935</v>
      </c>
    </row>
    <row r="1553" spans="30:32" x14ac:dyDescent="0.25">
      <c r="AD1553" s="165" t="str">
        <v>EUR_YC3MRH_FUT3MN4</v>
      </c>
      <c r="AE1553" s="165" t="s">
        <v>1792</v>
      </c>
      <c r="AF1553" s="165">
        <f>_xll.ohObjectCreationTime(AE1553)</f>
        <v>41709.403009212961</v>
      </c>
    </row>
    <row r="1554" spans="30:32" x14ac:dyDescent="0.25">
      <c r="AD1554" s="165" t="str">
        <v>EUR_YC3MRH_FUT3MQ4</v>
      </c>
      <c r="AE1554" s="165" t="s">
        <v>1791</v>
      </c>
      <c r="AF1554" s="165">
        <f>_xll.ohObjectCreationTime(AE1554)</f>
        <v>41709.403009374997</v>
      </c>
    </row>
    <row r="1555" spans="30:32" x14ac:dyDescent="0.25">
      <c r="AD1555" s="165" t="str">
        <v>EUR_YC3MRH_FUT3MU0</v>
      </c>
      <c r="AE1555" s="165" t="s">
        <v>1795</v>
      </c>
      <c r="AF1555" s="165">
        <f>_xll.ohObjectCreationTime(AE1555)</f>
        <v>41709.403009548609</v>
      </c>
    </row>
    <row r="1556" spans="30:32" x14ac:dyDescent="0.25">
      <c r="AD1556" s="165" t="str">
        <v>EUR_YC3MRH_FUT3MU1</v>
      </c>
      <c r="AE1556" s="165" t="s">
        <v>1805</v>
      </c>
      <c r="AF1556" s="165">
        <f>_xll.ohObjectCreationTime(AE1556)</f>
        <v>41709.403009872687</v>
      </c>
    </row>
    <row r="1557" spans="30:32" x14ac:dyDescent="0.25">
      <c r="AD1557" s="165" t="str">
        <v>EUR_YC3MRH_FUT3MU4</v>
      </c>
      <c r="AE1557" s="165" t="s">
        <v>1781</v>
      </c>
      <c r="AF1557" s="165">
        <f>_xll.ohObjectCreationTime(AE1557)</f>
        <v>41709.403010011571</v>
      </c>
    </row>
    <row r="1558" spans="30:32" x14ac:dyDescent="0.25">
      <c r="AD1558" s="165" t="str">
        <v>EUR_YC3MRH_FUT3MU5</v>
      </c>
      <c r="AE1558" s="165" t="s">
        <v>1806</v>
      </c>
      <c r="AF1558" s="165">
        <f>_xll.ohObjectCreationTime(AE1558)</f>
        <v>41709.403010092596</v>
      </c>
    </row>
    <row r="1559" spans="30:32" x14ac:dyDescent="0.25">
      <c r="AD1559" s="165" t="str">
        <v>EUR_YC3MRH_FUT3MU6</v>
      </c>
      <c r="AE1559" s="165" t="s">
        <v>1786</v>
      </c>
      <c r="AF1559" s="165">
        <f>_xll.ohObjectCreationTime(AE1559)</f>
        <v>41709.403010243055</v>
      </c>
    </row>
    <row r="1560" spans="30:32" x14ac:dyDescent="0.25">
      <c r="AD1560" s="165" t="str">
        <v>EUR_YC3MRH_FUT3MU7</v>
      </c>
      <c r="AE1560" s="165" t="s">
        <v>1768</v>
      </c>
      <c r="AF1560" s="165">
        <f>_xll.ohObjectCreationTime(AE1560)</f>
        <v>41709.403010312497</v>
      </c>
    </row>
    <row r="1561" spans="30:32" x14ac:dyDescent="0.25">
      <c r="AD1561" s="165" t="str">
        <v>EUR_YC3MRH_FUT3MU8</v>
      </c>
      <c r="AE1561" s="165" t="s">
        <v>1873</v>
      </c>
      <c r="AF1561" s="165">
        <f>_xll.ohObjectCreationTime(AE1561)</f>
        <v>41709.403010740738</v>
      </c>
    </row>
    <row r="1562" spans="30:32" x14ac:dyDescent="0.25">
      <c r="AD1562" s="165" t="str">
        <v>EUR_YC3MRH_FUT3MU9</v>
      </c>
      <c r="AE1562" s="165" t="s">
        <v>1872</v>
      </c>
      <c r="AF1562" s="165">
        <f>_xll.ohObjectCreationTime(AE1562)</f>
        <v>41709.403010810187</v>
      </c>
    </row>
    <row r="1563" spans="30:32" x14ac:dyDescent="0.25">
      <c r="AD1563" s="165" t="str">
        <v>EUR_YC3MRH_FUT3MV4</v>
      </c>
      <c r="AE1563" s="165" t="s">
        <v>1852</v>
      </c>
      <c r="AF1563" s="165">
        <f>_xll.ohObjectCreationTime(AE1563)</f>
        <v>41709.403010879629</v>
      </c>
    </row>
    <row r="1564" spans="30:32" x14ac:dyDescent="0.25">
      <c r="AD1564" s="165" t="str">
        <v>EUR_YC3MRH_FUT3MX4</v>
      </c>
      <c r="AE1564" s="165" t="s">
        <v>1882</v>
      </c>
      <c r="AF1564" s="165">
        <f>_xll.ohObjectCreationTime(AE1564)</f>
        <v>41709.403010937502</v>
      </c>
    </row>
    <row r="1565" spans="30:32" x14ac:dyDescent="0.25">
      <c r="AD1565" s="165" t="str">
        <v>EUR_YC3MRH_FUT3MZ0</v>
      </c>
      <c r="AE1565" s="165" t="s">
        <v>1883</v>
      </c>
      <c r="AF1565" s="165">
        <f>_xll.ohObjectCreationTime(AE1565)</f>
        <v>41709.403011006943</v>
      </c>
    </row>
    <row r="1566" spans="30:32" x14ac:dyDescent="0.25">
      <c r="AD1566" s="165" t="str">
        <v>EUR_YC3MRH_FUT3MZ1</v>
      </c>
      <c r="AE1566" s="165" t="s">
        <v>1885</v>
      </c>
      <c r="AF1566" s="165">
        <f>_xll.ohObjectCreationTime(AE1566)</f>
        <v>41709.403011076392</v>
      </c>
    </row>
    <row r="1567" spans="30:32" x14ac:dyDescent="0.25">
      <c r="AD1567" s="165" t="str">
        <v>EUR_YC3MRH_FUT3MZ4</v>
      </c>
      <c r="AE1567" s="165" t="s">
        <v>1888</v>
      </c>
      <c r="AF1567" s="165">
        <f>_xll.ohObjectCreationTime(AE1567)</f>
        <v>41709.403011134258</v>
      </c>
    </row>
    <row r="1568" spans="30:32" x14ac:dyDescent="0.25">
      <c r="AD1568" s="165" t="str">
        <v>EUR_YC3MRH_FUT3MZ5</v>
      </c>
      <c r="AE1568" s="165" t="s">
        <v>1851</v>
      </c>
      <c r="AF1568" s="165">
        <f>_xll.ohObjectCreationTime(AE1568)</f>
        <v>41709.403011203707</v>
      </c>
    </row>
    <row r="1569" spans="30:32" x14ac:dyDescent="0.25">
      <c r="AD1569" s="165" t="str">
        <v>EUR_YC3MRH_FUT3MZ6</v>
      </c>
      <c r="AE1569" s="165" t="s">
        <v>1881</v>
      </c>
      <c r="AF1569" s="165">
        <f>_xll.ohObjectCreationTime(AE1569)</f>
        <v>41709.403011273149</v>
      </c>
    </row>
    <row r="1570" spans="30:32" x14ac:dyDescent="0.25">
      <c r="AD1570" s="165" t="str">
        <v>EUR_YC3MRH_FUT3MZ7</v>
      </c>
      <c r="AE1570" s="165" t="s">
        <v>1870</v>
      </c>
      <c r="AF1570" s="165">
        <f>_xll.ohObjectCreationTime(AE1570)</f>
        <v>41709.403011331022</v>
      </c>
    </row>
    <row r="1571" spans="30:32" x14ac:dyDescent="0.25">
      <c r="AD1571" s="165" t="str">
        <v>EUR_YC3MRH_FUT3MZ8</v>
      </c>
      <c r="AE1571" s="165" t="s">
        <v>1890</v>
      </c>
      <c r="AF1571" s="165">
        <f>_xll.ohObjectCreationTime(AE1571)</f>
        <v>41709.403011400464</v>
      </c>
    </row>
    <row r="1572" spans="30:32" x14ac:dyDescent="0.25">
      <c r="AD1572" s="165" t="str">
        <v>EUR_YC3MRH_FUT3MZ9</v>
      </c>
      <c r="AE1572" s="165" t="s">
        <v>1878</v>
      </c>
      <c r="AF1572" s="165">
        <f>_xll.ohObjectCreationTime(AE1572)</f>
        <v>41709.403011469905</v>
      </c>
    </row>
    <row r="1573" spans="30:32" x14ac:dyDescent="0.25">
      <c r="AD1573" s="165" t="str">
        <v>EUR_YC3MRH_SND</v>
      </c>
      <c r="AE1573" s="165" t="s">
        <v>1876</v>
      </c>
      <c r="AF1573" s="165">
        <f>_xll.ohObjectCreationTime(AE1573)</f>
        <v>41709.403011527778</v>
      </c>
    </row>
    <row r="1574" spans="30:32" x14ac:dyDescent="0.25">
      <c r="AD1574" s="165" t="str">
        <v>EUR_YC3MRH_SWD</v>
      </c>
      <c r="AE1574" s="165" t="s">
        <v>1856</v>
      </c>
      <c r="AF1574" s="165">
        <f>_xll.ohObjectCreationTime(AE1574)</f>
        <v>41709.40301159722</v>
      </c>
    </row>
    <row r="1575" spans="30:32" x14ac:dyDescent="0.25">
      <c r="AD1575" s="165" t="str">
        <v>EUR_YC3MRH_T3F1</v>
      </c>
      <c r="AE1575" s="165" t="s">
        <v>1863</v>
      </c>
      <c r="AF1575" s="165">
        <f>_xll.ohObjectCreationTime(AE1575)</f>
        <v>41709.403011666669</v>
      </c>
    </row>
    <row r="1576" spans="30:32" x14ac:dyDescent="0.25">
      <c r="AD1576" s="165" t="str">
        <v>EUR_YC3MRH_TOM3F1</v>
      </c>
      <c r="AE1576" s="165" t="s">
        <v>1875</v>
      </c>
      <c r="AF1576" s="165">
        <f>_xll.ohObjectCreationTime(AE1576)</f>
        <v>41709.403011724535</v>
      </c>
    </row>
    <row r="1577" spans="30:32" x14ac:dyDescent="0.25">
      <c r="AD1577" s="165" t="str">
        <v>EUR_YC6MRH_10x16F</v>
      </c>
      <c r="AE1577" s="165" t="s">
        <v>1866</v>
      </c>
      <c r="AF1577" s="165">
        <f>_xll.ohObjectCreationTime(AE1577)</f>
        <v>41709.403011793984</v>
      </c>
    </row>
    <row r="1578" spans="30:32" x14ac:dyDescent="0.25">
      <c r="AD1578" s="165" t="str">
        <v>EUR_YC6MRH_11x17F</v>
      </c>
      <c r="AE1578" s="165" t="s">
        <v>1862</v>
      </c>
      <c r="AF1578" s="165">
        <f>_xll.ohObjectCreationTime(AE1578)</f>
        <v>41709.403011863425</v>
      </c>
    </row>
    <row r="1579" spans="30:32" x14ac:dyDescent="0.25">
      <c r="AD1579" s="165" t="str">
        <v>EUR_YC6MRH_12x18F</v>
      </c>
      <c r="AE1579" s="165" t="s">
        <v>1886</v>
      </c>
      <c r="AF1579" s="165">
        <f>_xll.ohObjectCreationTime(AE1579)</f>
        <v>41709.403011921298</v>
      </c>
    </row>
    <row r="1580" spans="30:32" x14ac:dyDescent="0.25">
      <c r="AD1580" s="165" t="str">
        <v>EUR_YC6MRH_13x19F</v>
      </c>
      <c r="AE1580" s="165" t="s">
        <v>1880</v>
      </c>
      <c r="AF1580" s="165">
        <f>_xll.ohObjectCreationTime(AE1580)</f>
        <v>41709.40301199074</v>
      </c>
    </row>
    <row r="1581" spans="30:32" x14ac:dyDescent="0.25">
      <c r="AD1581" s="165" t="str">
        <v>EUR_YC6MRH_14x20F</v>
      </c>
      <c r="AE1581" s="165" t="s">
        <v>1865</v>
      </c>
      <c r="AF1581" s="165">
        <f>_xll.ohObjectCreationTime(AE1581)</f>
        <v>41709.403012048613</v>
      </c>
    </row>
    <row r="1582" spans="30:32" x14ac:dyDescent="0.25">
      <c r="AD1582" s="165" t="str">
        <v>EUR_YC6MRH_15x21F</v>
      </c>
      <c r="AE1582" s="165" t="s">
        <v>1868</v>
      </c>
      <c r="AF1582" s="165">
        <f>_xll.ohObjectCreationTime(AE1582)</f>
        <v>41709.403012118055</v>
      </c>
    </row>
    <row r="1583" spans="30:32" x14ac:dyDescent="0.25">
      <c r="AD1583" s="165" t="str">
        <v>EUR_YC6MRH_16x22F</v>
      </c>
      <c r="AE1583" s="165" t="s">
        <v>1869</v>
      </c>
      <c r="AF1583" s="165">
        <f>_xll.ohObjectCreationTime(AE1583)</f>
        <v>41709.403012175928</v>
      </c>
    </row>
    <row r="1584" spans="30:32" x14ac:dyDescent="0.25">
      <c r="AD1584" s="165" t="str">
        <v>EUR_YC6MRH_17x23F</v>
      </c>
      <c r="AE1584" s="165" t="s">
        <v>1891</v>
      </c>
      <c r="AF1584" s="165">
        <f>_xll.ohObjectCreationTime(AE1584)</f>
        <v>41709.40301224537</v>
      </c>
    </row>
    <row r="1585" spans="30:32" x14ac:dyDescent="0.25">
      <c r="AD1585" s="165" t="str">
        <v>EUR_YC6MRH_18x24F</v>
      </c>
      <c r="AE1585" s="165" t="s">
        <v>1874</v>
      </c>
      <c r="AF1585" s="165">
        <f>_xll.ohObjectCreationTime(AE1585)</f>
        <v>41709.403012314811</v>
      </c>
    </row>
    <row r="1586" spans="30:32" x14ac:dyDescent="0.25">
      <c r="AD1586" s="165" t="str">
        <v>EUR_YC6MRH_1MD</v>
      </c>
      <c r="AE1586" s="165" t="s">
        <v>1879</v>
      </c>
      <c r="AF1586" s="165">
        <f>_xll.ohObjectCreationTime(AE1586)</f>
        <v>41709.403012372684</v>
      </c>
    </row>
    <row r="1587" spans="30:32" x14ac:dyDescent="0.25">
      <c r="AD1587" s="165" t="str">
        <v>EUR_YC6MRH_1x7F</v>
      </c>
      <c r="AE1587" s="165" t="s">
        <v>1860</v>
      </c>
      <c r="AF1587" s="165">
        <f>_xll.ohObjectCreationTime(AE1587)</f>
        <v>41709.403012442126</v>
      </c>
    </row>
    <row r="1588" spans="30:32" x14ac:dyDescent="0.25">
      <c r="AD1588" s="165" t="str">
        <v>EUR_YC6MRH_2MD</v>
      </c>
      <c r="AE1588" s="165" t="s">
        <v>1859</v>
      </c>
      <c r="AF1588" s="165">
        <f>_xll.ohObjectCreationTime(AE1588)</f>
        <v>41709.403012523151</v>
      </c>
    </row>
    <row r="1589" spans="30:32" x14ac:dyDescent="0.25">
      <c r="AD1589" s="165" t="str">
        <v>EUR_YC6MRH_2WD</v>
      </c>
      <c r="AE1589" s="165" t="s">
        <v>1884</v>
      </c>
      <c r="AF1589" s="165">
        <f>_xll.ohObjectCreationTime(AE1589)</f>
        <v>41709.403012581017</v>
      </c>
    </row>
    <row r="1590" spans="30:32" x14ac:dyDescent="0.25">
      <c r="AD1590" s="165" t="str">
        <v>EUR_YC6MRH_2x8F</v>
      </c>
      <c r="AE1590" s="165" t="s">
        <v>1861</v>
      </c>
      <c r="AF1590" s="165">
        <f>_xll.ohObjectCreationTime(AE1590)</f>
        <v>41709.403012650466</v>
      </c>
    </row>
    <row r="1591" spans="30:32" x14ac:dyDescent="0.25">
      <c r="AD1591" s="165" t="str">
        <v>EUR_YC6MRH_3MD</v>
      </c>
      <c r="AE1591" s="165" t="s">
        <v>1854</v>
      </c>
      <c r="AF1591" s="165">
        <f>_xll.ohObjectCreationTime(AE1591)</f>
        <v>41709.403012743052</v>
      </c>
    </row>
    <row r="1592" spans="30:32" x14ac:dyDescent="0.25">
      <c r="AD1592" s="165" t="str">
        <v>EUR_YC6MRH_3WD</v>
      </c>
      <c r="AE1592" s="165" t="s">
        <v>1855</v>
      </c>
      <c r="AF1592" s="165">
        <f>_xll.ohObjectCreationTime(AE1592)</f>
        <v>41709.403012800925</v>
      </c>
    </row>
    <row r="1593" spans="30:32" x14ac:dyDescent="0.25">
      <c r="AD1593" s="165" t="str">
        <v>EUR_YC6MRH_3x9F</v>
      </c>
      <c r="AE1593" s="165" t="s">
        <v>1867</v>
      </c>
      <c r="AF1593" s="165">
        <f>_xll.ohObjectCreationTime(AE1593)</f>
        <v>41709.403012870367</v>
      </c>
    </row>
    <row r="1594" spans="30:32" x14ac:dyDescent="0.25">
      <c r="AD1594" s="165" t="str">
        <v>EUR_YC6MRH_4MD</v>
      </c>
      <c r="AE1594" s="165" t="s">
        <v>1892</v>
      </c>
      <c r="AF1594" s="165">
        <f>_xll.ohObjectCreationTime(AE1594)</f>
        <v>41709.403012939816</v>
      </c>
    </row>
    <row r="1595" spans="30:32" x14ac:dyDescent="0.25">
      <c r="AD1595" s="165" t="str">
        <v>EUR_YC6MRH_4x10F</v>
      </c>
      <c r="AE1595" s="165" t="s">
        <v>1877</v>
      </c>
      <c r="AF1595" s="165">
        <f>_xll.ohObjectCreationTime(AE1595)</f>
        <v>41709.403013009258</v>
      </c>
    </row>
    <row r="1596" spans="30:32" x14ac:dyDescent="0.25">
      <c r="AD1596" s="165" t="str">
        <v>EUR_YC6MRH_5MD</v>
      </c>
      <c r="AE1596" s="165" t="s">
        <v>1864</v>
      </c>
      <c r="AF1596" s="165">
        <f>_xll.ohObjectCreationTime(AE1596)</f>
        <v>41709.403013078707</v>
      </c>
    </row>
    <row r="1597" spans="30:32" x14ac:dyDescent="0.25">
      <c r="AD1597" s="165" t="str">
        <v>EUR_YC6MRH_5x11F</v>
      </c>
      <c r="AE1597" s="165" t="s">
        <v>1857</v>
      </c>
      <c r="AF1597" s="165">
        <f>_xll.ohObjectCreationTime(AE1597)</f>
        <v>41709.403013136573</v>
      </c>
    </row>
    <row r="1598" spans="30:32" x14ac:dyDescent="0.25">
      <c r="AD1598" s="165" t="str">
        <v>EUR_YC6MRH_6MD</v>
      </c>
      <c r="AE1598" s="165" t="s">
        <v>1858</v>
      </c>
      <c r="AF1598" s="165">
        <f>_xll.ohObjectCreationTime(AE1598)</f>
        <v>41709.403013206022</v>
      </c>
    </row>
    <row r="1599" spans="30:32" x14ac:dyDescent="0.25">
      <c r="AD1599" s="165" t="str">
        <v>EUR_YC6MRH_6x12F</v>
      </c>
      <c r="AE1599" s="165" t="s">
        <v>1887</v>
      </c>
      <c r="AF1599" s="165">
        <f>_xll.ohObjectCreationTime(AE1599)</f>
        <v>41709.403013275463</v>
      </c>
    </row>
    <row r="1600" spans="30:32" x14ac:dyDescent="0.25">
      <c r="AD1600" s="165" t="str">
        <v>EUR_YC6MRH_7x13F</v>
      </c>
      <c r="AE1600" s="165" t="s">
        <v>1853</v>
      </c>
      <c r="AF1600" s="165">
        <f>_xll.ohObjectCreationTime(AE1600)</f>
        <v>41709.403013333336</v>
      </c>
    </row>
    <row r="1601" spans="30:32" x14ac:dyDescent="0.25">
      <c r="AD1601" s="165" t="str">
        <v>EUR_YC6MRH_8x14F</v>
      </c>
      <c r="AE1601" s="165" t="s">
        <v>1889</v>
      </c>
      <c r="AF1601" s="165">
        <f>_xll.ohObjectCreationTime(AE1601)</f>
        <v>41709.403013402778</v>
      </c>
    </row>
    <row r="1602" spans="30:32" x14ac:dyDescent="0.25">
      <c r="AD1602" s="165" t="str">
        <v>EUR_YC6MRH_9x15F</v>
      </c>
      <c r="AE1602" s="165" t="s">
        <v>1871</v>
      </c>
      <c r="AF1602" s="165">
        <f>_xll.ohObjectCreationTime(AE1602)</f>
        <v>41709.40301347222</v>
      </c>
    </row>
    <row r="1603" spans="30:32" x14ac:dyDescent="0.25">
      <c r="AD1603" s="165" t="str">
        <v>EUR_YC6MRH_AB6E10Y</v>
      </c>
      <c r="AE1603" s="165" t="s">
        <v>1761</v>
      </c>
      <c r="AF1603" s="165">
        <f>_xll.ohObjectCreationTime(AE1603)</f>
        <v>41709.403013611111</v>
      </c>
    </row>
    <row r="1604" spans="30:32" x14ac:dyDescent="0.25">
      <c r="AD1604" s="165" t="str">
        <v>EUR_YC6MRH_AB6E11Y</v>
      </c>
      <c r="AE1604" s="165" t="s">
        <v>1772</v>
      </c>
      <c r="AF1604" s="165">
        <f>_xll.ohObjectCreationTime(AE1604)</f>
        <v>41709.403013668983</v>
      </c>
    </row>
    <row r="1605" spans="30:32" x14ac:dyDescent="0.25">
      <c r="AD1605" s="165" t="str">
        <v>EUR_YC6MRH_AB6E12Y</v>
      </c>
      <c r="AE1605" s="165" t="s">
        <v>1770</v>
      </c>
      <c r="AF1605" s="165">
        <f>_xll.ohObjectCreationTime(AE1605)</f>
        <v>41709.403013738425</v>
      </c>
    </row>
    <row r="1606" spans="30:32" x14ac:dyDescent="0.25">
      <c r="AD1606" s="165" t="str">
        <v>EUR_YC6MRH_AB6E13Y</v>
      </c>
      <c r="AE1606" s="165" t="s">
        <v>1774</v>
      </c>
      <c r="AF1606" s="165">
        <f>_xll.ohObjectCreationTime(AE1606)</f>
        <v>41709.403013796298</v>
      </c>
    </row>
    <row r="1607" spans="30:32" x14ac:dyDescent="0.25">
      <c r="AD1607" s="165" t="str">
        <v>EUR_YC6MRH_AB6E14Y</v>
      </c>
      <c r="AE1607" s="165" t="s">
        <v>1766</v>
      </c>
      <c r="AF1607" s="165">
        <f>_xll.ohObjectCreationTime(AE1607)</f>
        <v>41709.40301386574</v>
      </c>
    </row>
    <row r="1608" spans="30:32" x14ac:dyDescent="0.25">
      <c r="AD1608" s="165" t="str">
        <v>EUR_YC6MRH_AB6E15M</v>
      </c>
      <c r="AE1608" s="165" t="s">
        <v>1896</v>
      </c>
      <c r="AF1608" s="165">
        <f>_xll.ohObjectCreationTime(AE1608)</f>
        <v>41709.403013923613</v>
      </c>
    </row>
    <row r="1609" spans="30:32" x14ac:dyDescent="0.25">
      <c r="AD1609" s="165" t="str">
        <v>EUR_YC6MRH_AB6E15Y</v>
      </c>
      <c r="AE1609" s="165" t="s">
        <v>1773</v>
      </c>
      <c r="AF1609" s="165">
        <f>_xll.ohObjectCreationTime(AE1609)</f>
        <v>41709.403013993055</v>
      </c>
    </row>
    <row r="1610" spans="30:32" x14ac:dyDescent="0.25">
      <c r="AD1610" s="165" t="str">
        <v>EUR_YC6MRH_AB6E16Y</v>
      </c>
      <c r="AE1610" s="165" t="s">
        <v>1895</v>
      </c>
      <c r="AF1610" s="165">
        <f>_xll.ohObjectCreationTime(AE1610)</f>
        <v>41709.403014050928</v>
      </c>
    </row>
    <row r="1611" spans="30:32" x14ac:dyDescent="0.25">
      <c r="AD1611" s="165" t="str">
        <v>EUR_YC6MRH_AB6E17Y</v>
      </c>
      <c r="AE1611" s="165" t="s">
        <v>1762</v>
      </c>
      <c r="AF1611" s="165">
        <f>_xll.ohObjectCreationTime(AE1611)</f>
        <v>41709.403014212963</v>
      </c>
    </row>
    <row r="1612" spans="30:32" x14ac:dyDescent="0.25">
      <c r="AD1612" s="165" t="str">
        <v>EUR_YC6MRH_AB6E18M</v>
      </c>
      <c r="AE1612" s="165" t="s">
        <v>1894</v>
      </c>
      <c r="AF1612" s="165">
        <f>_xll.ohObjectCreationTime(AE1612)</f>
        <v>41709.403014282405</v>
      </c>
    </row>
    <row r="1613" spans="30:32" x14ac:dyDescent="0.25">
      <c r="AD1613" s="165" t="str">
        <v>EUR_YC6MRH_AB6E18Y</v>
      </c>
      <c r="AE1613" s="165" t="s">
        <v>1757</v>
      </c>
      <c r="AF1613" s="165">
        <f>_xll.ohObjectCreationTime(AE1613)</f>
        <v>41709.403014340278</v>
      </c>
    </row>
    <row r="1614" spans="30:32" x14ac:dyDescent="0.25">
      <c r="AD1614" s="165" t="str">
        <v>EUR_YC6MRH_AB6E19Y</v>
      </c>
      <c r="AE1614" s="165" t="s">
        <v>1893</v>
      </c>
      <c r="AF1614" s="165">
        <f>_xll.ohObjectCreationTime(AE1614)</f>
        <v>41709.40301440972</v>
      </c>
    </row>
    <row r="1615" spans="30:32" x14ac:dyDescent="0.25">
      <c r="AD1615" s="165" t="str">
        <v>EUR_YC6MRH_AB6E1Y</v>
      </c>
      <c r="AE1615" s="165" t="s">
        <v>1767</v>
      </c>
      <c r="AF1615" s="165">
        <f>_xll.ohObjectCreationTime(AE1615)</f>
        <v>41709.403014479169</v>
      </c>
    </row>
    <row r="1616" spans="30:32" x14ac:dyDescent="0.25">
      <c r="AD1616" s="165" t="str">
        <v>EUR_YC6MRH_AB6E20Y</v>
      </c>
      <c r="AE1616" s="165" t="s">
        <v>1769</v>
      </c>
      <c r="AF1616" s="165">
        <f>_xll.ohObjectCreationTime(AE1616)</f>
        <v>41709.403014537034</v>
      </c>
    </row>
    <row r="1617" spans="30:32" x14ac:dyDescent="0.25">
      <c r="AD1617" s="165" t="str">
        <v>EUR_YC6MRH_AB6E21M</v>
      </c>
      <c r="AE1617" s="165" t="s">
        <v>1765</v>
      </c>
      <c r="AF1617" s="165">
        <f>_xll.ohObjectCreationTime(AE1617)</f>
        <v>41709.403014606483</v>
      </c>
    </row>
    <row r="1618" spans="30:32" x14ac:dyDescent="0.25">
      <c r="AD1618" s="165" t="str">
        <v>EUR_YC6MRH_AB6E21Y</v>
      </c>
      <c r="AE1618" s="165" t="s">
        <v>2106</v>
      </c>
      <c r="AF1618" s="165">
        <f>_xll.ohObjectCreationTime(AE1618)</f>
        <v>41709.403019062498</v>
      </c>
    </row>
    <row r="1619" spans="30:32" x14ac:dyDescent="0.25">
      <c r="AD1619" s="165" t="str">
        <v>EUR_YC6MRH_AB6E22Y</v>
      </c>
      <c r="AE1619" s="165" t="s">
        <v>2109</v>
      </c>
      <c r="AF1619" s="165">
        <f>_xll.ohObjectCreationTime(AE1619)</f>
        <v>41709.403019999998</v>
      </c>
    </row>
    <row r="1620" spans="30:32" x14ac:dyDescent="0.25">
      <c r="AD1620" s="165" t="str">
        <v>EUR_YC6MRH_AB6E23Y</v>
      </c>
      <c r="AE1620" s="165" t="s">
        <v>1913</v>
      </c>
      <c r="AF1620" s="165">
        <f>_xll.ohObjectCreationTime(AE1620)</f>
        <v>41709.40306960648</v>
      </c>
    </row>
    <row r="1621" spans="30:32" x14ac:dyDescent="0.25">
      <c r="AD1621" s="165" t="str">
        <v>EUR_YC6MRH_AB6E24Y</v>
      </c>
      <c r="AE1621" s="165" t="s">
        <v>1960</v>
      </c>
      <c r="AF1621" s="165">
        <f>_xll.ohObjectCreationTime(AE1621)</f>
        <v>41709.403069675929</v>
      </c>
    </row>
    <row r="1622" spans="30:32" x14ac:dyDescent="0.25">
      <c r="AD1622" s="165" t="str">
        <v>EUR_YC6MRH_AB6E25Y</v>
      </c>
      <c r="AE1622" s="165" t="s">
        <v>1939</v>
      </c>
      <c r="AF1622" s="165">
        <f>_xll.ohObjectCreationTime(AE1622)</f>
        <v>41709.403069803244</v>
      </c>
    </row>
    <row r="1623" spans="30:32" x14ac:dyDescent="0.25">
      <c r="AD1623" s="165" t="str">
        <v>EUR_YC6MRH_AB6E26Y</v>
      </c>
      <c r="AE1623" s="165" t="s">
        <v>1907</v>
      </c>
      <c r="AF1623" s="165">
        <f>_xll.ohObjectCreationTime(AE1623)</f>
        <v>41709.403069872686</v>
      </c>
    </row>
    <row r="1624" spans="30:32" x14ac:dyDescent="0.25">
      <c r="AD1624" s="165" t="str">
        <v>EUR_YC6MRH_AB6E27Y</v>
      </c>
      <c r="AE1624" s="165" t="s">
        <v>1916</v>
      </c>
      <c r="AF1624" s="165">
        <f>_xll.ohObjectCreationTime(AE1624)</f>
        <v>41709.403069942127</v>
      </c>
    </row>
    <row r="1625" spans="30:32" x14ac:dyDescent="0.25">
      <c r="AD1625" s="165" t="str">
        <v>EUR_YC6MRH_AB6E28Y</v>
      </c>
      <c r="AE1625" s="165" t="s">
        <v>1965</v>
      </c>
      <c r="AF1625" s="165">
        <f>_xll.ohObjectCreationTime(AE1625)</f>
        <v>41709.403070011576</v>
      </c>
    </row>
    <row r="1626" spans="30:32" x14ac:dyDescent="0.25">
      <c r="AD1626" s="165" t="str">
        <v>EUR_YC6MRH_AB6E29Y</v>
      </c>
      <c r="AE1626" s="165" t="s">
        <v>1933</v>
      </c>
      <c r="AF1626" s="165">
        <f>_xll.ohObjectCreationTime(AE1626)</f>
        <v>41709.403070127315</v>
      </c>
    </row>
    <row r="1627" spans="30:32" x14ac:dyDescent="0.25">
      <c r="AD1627" s="165" t="str">
        <v>EUR_YC6MRH_AB6E2Y</v>
      </c>
      <c r="AE1627" s="165" t="s">
        <v>1949</v>
      </c>
      <c r="AF1627" s="165">
        <f>_xll.ohObjectCreationTime(AE1627)</f>
        <v>41709.403070289351</v>
      </c>
    </row>
    <row r="1628" spans="30:32" x14ac:dyDescent="0.25">
      <c r="AD1628" s="165" t="str">
        <v>EUR_YC6MRH_AB6E30Y</v>
      </c>
      <c r="AE1628" s="165" t="s">
        <v>1925</v>
      </c>
      <c r="AF1628" s="165">
        <f>_xll.ohObjectCreationTime(AE1628)</f>
        <v>41709.40307039352</v>
      </c>
    </row>
    <row r="1629" spans="30:32" x14ac:dyDescent="0.25">
      <c r="AD1629" s="165" t="str">
        <v>EUR_YC6MRH_AB6E35Y</v>
      </c>
      <c r="AE1629" s="165" t="s">
        <v>1943</v>
      </c>
      <c r="AF1629" s="165">
        <f>_xll.ohObjectCreationTime(AE1629)</f>
        <v>41709.403070532404</v>
      </c>
    </row>
    <row r="1630" spans="30:32" x14ac:dyDescent="0.25">
      <c r="AD1630" s="165" t="str">
        <v>EUR_YC6MRH_AB6E3Y</v>
      </c>
      <c r="AE1630" s="165" t="s">
        <v>1931</v>
      </c>
      <c r="AF1630" s="165">
        <f>_xll.ohObjectCreationTime(AE1630)</f>
        <v>41709.403070636574</v>
      </c>
    </row>
    <row r="1631" spans="30:32" x14ac:dyDescent="0.25">
      <c r="AD1631" s="165" t="str">
        <v>EUR_YC6MRH_AB6E40Y</v>
      </c>
      <c r="AE1631" s="165" t="s">
        <v>1941</v>
      </c>
      <c r="AF1631" s="165">
        <f>_xll.ohObjectCreationTime(AE1631)</f>
        <v>41709.403070775465</v>
      </c>
    </row>
    <row r="1632" spans="30:32" x14ac:dyDescent="0.25">
      <c r="AD1632" s="165" t="str">
        <v>EUR_YC6MRH_AB6E4Y</v>
      </c>
      <c r="AE1632" s="165" t="s">
        <v>1946</v>
      </c>
      <c r="AF1632" s="165">
        <f>_xll.ohObjectCreationTime(AE1632)</f>
        <v>41709.403070914355</v>
      </c>
    </row>
    <row r="1633" spans="30:32" x14ac:dyDescent="0.25">
      <c r="AD1633" s="165" t="str">
        <v>EUR_YC6MRH_AB6E50Y</v>
      </c>
      <c r="AE1633" s="165" t="s">
        <v>1917</v>
      </c>
      <c r="AF1633" s="165">
        <f>_xll.ohObjectCreationTime(AE1633)</f>
        <v>41709.403070995373</v>
      </c>
    </row>
    <row r="1634" spans="30:32" x14ac:dyDescent="0.25">
      <c r="AD1634" s="165" t="str">
        <v>EUR_YC6MRH_AB6E5Y</v>
      </c>
      <c r="AE1634" s="165" t="s">
        <v>1937</v>
      </c>
      <c r="AF1634" s="165">
        <f>_xll.ohObjectCreationTime(AE1634)</f>
        <v>41709.403071076391</v>
      </c>
    </row>
    <row r="1635" spans="30:32" x14ac:dyDescent="0.25">
      <c r="AD1635" s="165" t="str">
        <v>EUR_YC6MRH_AB6E60Y</v>
      </c>
      <c r="AE1635" s="165" t="s">
        <v>1956</v>
      </c>
      <c r="AF1635" s="165">
        <f>_xll.ohObjectCreationTime(AE1635)</f>
        <v>41709.403071180554</v>
      </c>
    </row>
    <row r="1636" spans="30:32" x14ac:dyDescent="0.25">
      <c r="AD1636" s="165" t="str">
        <v>EUR_YC6MRH_AB6E6Y</v>
      </c>
      <c r="AE1636" s="165" t="s">
        <v>1908</v>
      </c>
      <c r="AF1636" s="165">
        <f>_xll.ohObjectCreationTime(AE1636)</f>
        <v>41709.403071250003</v>
      </c>
    </row>
    <row r="1637" spans="30:32" x14ac:dyDescent="0.25">
      <c r="AD1637" s="165" t="str">
        <v>EUR_YC6MRH_AB6E7Y</v>
      </c>
      <c r="AE1637" s="165" t="s">
        <v>1940</v>
      </c>
      <c r="AF1637" s="165">
        <f>_xll.ohObjectCreationTime(AE1637)</f>
        <v>41709.403071377317</v>
      </c>
    </row>
    <row r="1638" spans="30:32" x14ac:dyDescent="0.25">
      <c r="AD1638" s="165" t="str">
        <v>EUR_YC6MRH_AB6E8Y</v>
      </c>
      <c r="AE1638" s="165" t="s">
        <v>1903</v>
      </c>
      <c r="AF1638" s="165">
        <f>_xll.ohObjectCreationTime(AE1638)</f>
        <v>41709.403071446759</v>
      </c>
    </row>
    <row r="1639" spans="30:32" x14ac:dyDescent="0.25">
      <c r="AD1639" s="165" t="str">
        <v>EUR_YC6MRH_AB6E9Y</v>
      </c>
      <c r="AE1639" s="165" t="s">
        <v>1905</v>
      </c>
      <c r="AF1639" s="165">
        <f>_xll.ohObjectCreationTime(AE1639)</f>
        <v>41709.403071516201</v>
      </c>
    </row>
    <row r="1640" spans="30:32" x14ac:dyDescent="0.25">
      <c r="AD1640" s="165" t="str">
        <v>EUR_YC6MRH_AB6E_ibor6M</v>
      </c>
      <c r="AE1640" s="165" t="s">
        <v>1911</v>
      </c>
      <c r="AF1640" s="165">
        <f>_xll.ohObjectCreationTime(AE1640)</f>
        <v>41709.40307158565</v>
      </c>
    </row>
    <row r="1641" spans="30:32" x14ac:dyDescent="0.25">
      <c r="AD1641" s="165" t="str">
        <v>EUR_YC6MRH_RateHelpersSelected</v>
      </c>
      <c r="AE1641" s="165" t="s">
        <v>1957</v>
      </c>
      <c r="AF1641" s="165">
        <f>_xll.ohObjectCreationTime(AE1641)</f>
        <v>41709.403071666668</v>
      </c>
    </row>
    <row r="1642" spans="30:32" x14ac:dyDescent="0.25">
      <c r="AD1642" s="165" t="str">
        <v>EUR_YC6MRH_SND</v>
      </c>
      <c r="AE1642" s="165" t="s">
        <v>1958</v>
      </c>
      <c r="AF1642" s="165">
        <f>_xll.ohObjectCreationTime(AE1642)</f>
        <v>41709.403071759261</v>
      </c>
    </row>
    <row r="1643" spans="30:32" x14ac:dyDescent="0.25">
      <c r="AD1643" s="165" t="str">
        <v>EUR_YC6MRH_SWD</v>
      </c>
      <c r="AE1643" s="165" t="s">
        <v>1901</v>
      </c>
      <c r="AF1643" s="165">
        <f>_xll.ohObjectCreationTime(AE1643)</f>
        <v>41709.403071817127</v>
      </c>
    </row>
    <row r="1644" spans="30:32" x14ac:dyDescent="0.25">
      <c r="AD1644" s="165" t="str">
        <v>EUR_YC6MRH_T6F1</v>
      </c>
      <c r="AE1644" s="165" t="s">
        <v>1948</v>
      </c>
      <c r="AF1644" s="165">
        <f>_xll.ohObjectCreationTime(AE1644)</f>
        <v>41709.403071956018</v>
      </c>
    </row>
    <row r="1645" spans="30:32" x14ac:dyDescent="0.25">
      <c r="AD1645" s="165" t="str">
        <v>EUR_YC6MRH_TOM6F1</v>
      </c>
      <c r="AE1645" s="165" t="s">
        <v>1921</v>
      </c>
      <c r="AF1645" s="165">
        <f>_xll.ohObjectCreationTime(AE1645)</f>
        <v>41709.40307202546</v>
      </c>
    </row>
    <row r="1646" spans="30:32" x14ac:dyDescent="0.25">
      <c r="AD1646" s="165" t="str">
        <v>EUR_YCONRH_EON10M</v>
      </c>
      <c r="AE1646" s="165" t="s">
        <v>1920</v>
      </c>
      <c r="AF1646" s="165">
        <f>_xll.ohObjectCreationTime(AE1646)</f>
        <v>41709.403072094909</v>
      </c>
    </row>
    <row r="1647" spans="30:32" x14ac:dyDescent="0.25">
      <c r="AD1647" s="165" t="str">
        <v>EUR_YCONRH_EON10Y</v>
      </c>
      <c r="AE1647" s="165" t="s">
        <v>1906</v>
      </c>
      <c r="AF1647" s="165">
        <f>_xll.ohObjectCreationTime(AE1647)</f>
        <v>41709.403072152774</v>
      </c>
    </row>
    <row r="1648" spans="30:32" x14ac:dyDescent="0.25">
      <c r="AD1648" s="165" t="str">
        <v>EUR_YCONRH_EON11M</v>
      </c>
      <c r="AE1648" s="165" t="s">
        <v>1927</v>
      </c>
      <c r="AF1648" s="165">
        <f>_xll.ohObjectCreationTime(AE1648)</f>
        <v>41709.403072256944</v>
      </c>
    </row>
    <row r="1649" spans="30:32" x14ac:dyDescent="0.25">
      <c r="AD1649" s="165" t="str">
        <v>EUR_YCONRH_EON11Y</v>
      </c>
      <c r="AE1649" s="165" t="s">
        <v>1945</v>
      </c>
      <c r="AF1649" s="165">
        <f>_xll.ohObjectCreationTime(AE1649)</f>
        <v>41709.403072384259</v>
      </c>
    </row>
    <row r="1650" spans="30:32" x14ac:dyDescent="0.25">
      <c r="AD1650" s="165" t="str">
        <v>EUR_YCONRH_EON12Y</v>
      </c>
      <c r="AE1650" s="165" t="s">
        <v>1947</v>
      </c>
      <c r="AF1650" s="165">
        <f>_xll.ohObjectCreationTime(AE1650)</f>
        <v>41709.403072465277</v>
      </c>
    </row>
    <row r="1651" spans="30:32" x14ac:dyDescent="0.25">
      <c r="AD1651" s="165" t="str">
        <v>EUR_YCONRH_EON15M</v>
      </c>
      <c r="AE1651" s="165" t="s">
        <v>1904</v>
      </c>
      <c r="AF1651" s="165">
        <f>_xll.ohObjectCreationTime(AE1651)</f>
        <v>41709.40307255787</v>
      </c>
    </row>
    <row r="1652" spans="30:32" x14ac:dyDescent="0.25">
      <c r="AD1652" s="165" t="str">
        <v>EUR_YCONRH_EON15Y</v>
      </c>
      <c r="AE1652" s="165" t="s">
        <v>1953</v>
      </c>
      <c r="AF1652" s="165">
        <f>_xll.ohObjectCreationTime(AE1652)</f>
        <v>41709.403072743058</v>
      </c>
    </row>
    <row r="1653" spans="30:32" x14ac:dyDescent="0.25">
      <c r="AD1653" s="165" t="str">
        <v>EUR_YCONRH_EON18M</v>
      </c>
      <c r="AE1653" s="165" t="s">
        <v>1909</v>
      </c>
      <c r="AF1653" s="165">
        <f>_xll.ohObjectCreationTime(AE1653)</f>
        <v>41709.4030728125</v>
      </c>
    </row>
    <row r="1654" spans="30:32" x14ac:dyDescent="0.25">
      <c r="AD1654" s="165" t="str">
        <v>EUR_YCONRH_EON1M</v>
      </c>
      <c r="AE1654" s="165" t="s">
        <v>1902</v>
      </c>
      <c r="AF1654" s="165">
        <f>_xll.ohObjectCreationTime(AE1654)</f>
        <v>41709.403072870373</v>
      </c>
    </row>
    <row r="1655" spans="30:32" x14ac:dyDescent="0.25">
      <c r="AD1655" s="165" t="str">
        <v>EUR_YCONRH_EON1Y</v>
      </c>
      <c r="AE1655" s="165" t="s">
        <v>1928</v>
      </c>
      <c r="AF1655" s="165">
        <f>_xll.ohObjectCreationTime(AE1655)</f>
        <v>41709.403072951391</v>
      </c>
    </row>
    <row r="1656" spans="30:32" x14ac:dyDescent="0.25">
      <c r="AD1656" s="165" t="str">
        <v>EUR_YCONRH_EON20Y</v>
      </c>
      <c r="AE1656" s="165" t="s">
        <v>1924</v>
      </c>
      <c r="AF1656" s="165">
        <f>_xll.ohObjectCreationTime(AE1656)</f>
        <v>41709.403073055553</v>
      </c>
    </row>
    <row r="1657" spans="30:32" x14ac:dyDescent="0.25">
      <c r="AD1657" s="165" t="str">
        <v>EUR_YCONRH_EON21M</v>
      </c>
      <c r="AE1657" s="165" t="s">
        <v>1915</v>
      </c>
      <c r="AF1657" s="165">
        <f>_xll.ohObjectCreationTime(AE1657)</f>
        <v>41709.403073125002</v>
      </c>
    </row>
    <row r="1658" spans="30:32" x14ac:dyDescent="0.25">
      <c r="AD1658" s="165" t="str">
        <v>EUR_YCONRH_EON25Y</v>
      </c>
      <c r="AE1658" s="165" t="s">
        <v>1962</v>
      </c>
      <c r="AF1658" s="165">
        <f>_xll.ohObjectCreationTime(AE1658)</f>
        <v>41709.403073194444</v>
      </c>
    </row>
    <row r="1659" spans="30:32" x14ac:dyDescent="0.25">
      <c r="AD1659" s="165" t="str">
        <v>EUR_YCONRH_EON2M</v>
      </c>
      <c r="AE1659" s="165" t="s">
        <v>1955</v>
      </c>
      <c r="AF1659" s="165">
        <f>_xll.ohObjectCreationTime(AE1659)</f>
        <v>41709.403073414353</v>
      </c>
    </row>
    <row r="1660" spans="30:32" x14ac:dyDescent="0.25">
      <c r="AD1660" s="165" t="str">
        <v>EUR_YCONRH_EON2W</v>
      </c>
      <c r="AE1660" s="165" t="s">
        <v>1898</v>
      </c>
      <c r="AF1660" s="165">
        <f>_xll.ohObjectCreationTime(AE1660)</f>
        <v>41709.403073483794</v>
      </c>
    </row>
    <row r="1661" spans="30:32" x14ac:dyDescent="0.25">
      <c r="AD1661" s="165" t="str">
        <v>EUR_YCONRH_EON2Y</v>
      </c>
      <c r="AE1661" s="165" t="s">
        <v>1934</v>
      </c>
      <c r="AF1661" s="165">
        <f>_xll.ohObjectCreationTime(AE1661)</f>
        <v>41709.403073611109</v>
      </c>
    </row>
    <row r="1662" spans="30:32" x14ac:dyDescent="0.25">
      <c r="AD1662" s="165" t="str">
        <v>EUR_YCONRH_EON30Y</v>
      </c>
      <c r="AE1662" s="165" t="s">
        <v>1910</v>
      </c>
      <c r="AF1662" s="165">
        <f>_xll.ohObjectCreationTime(AE1662)</f>
        <v>41709.403073680558</v>
      </c>
    </row>
    <row r="1663" spans="30:32" x14ac:dyDescent="0.25">
      <c r="AD1663" s="165" t="str">
        <v>EUR_YCONRH_EON3M</v>
      </c>
      <c r="AE1663" s="165" t="s">
        <v>1951</v>
      </c>
      <c r="AF1663" s="165">
        <f>_xll.ohObjectCreationTime(AE1663)</f>
        <v>41709.403073842594</v>
      </c>
    </row>
    <row r="1664" spans="30:32" x14ac:dyDescent="0.25">
      <c r="AD1664" s="165" t="str">
        <v>EUR_YCONRH_EON3W</v>
      </c>
      <c r="AE1664" s="165" t="s">
        <v>1963</v>
      </c>
      <c r="AF1664" s="165">
        <f>_xll.ohObjectCreationTime(AE1664)</f>
        <v>41709.403073912035</v>
      </c>
    </row>
    <row r="1665" spans="30:32" x14ac:dyDescent="0.25">
      <c r="AD1665" s="165" t="str">
        <v>EUR_YCONRH_EON3Y</v>
      </c>
      <c r="AE1665" s="165" t="s">
        <v>1923</v>
      </c>
      <c r="AF1665" s="165">
        <f>_xll.ohObjectCreationTime(AE1665)</f>
        <v>41709.403074004629</v>
      </c>
    </row>
    <row r="1666" spans="30:32" x14ac:dyDescent="0.25">
      <c r="AD1666" s="165" t="str">
        <v>EUR_YCONRH_EON40Y</v>
      </c>
      <c r="AE1666" s="165" t="s">
        <v>1938</v>
      </c>
      <c r="AF1666" s="165">
        <f>_xll.ohObjectCreationTime(AE1666)</f>
        <v>41709.403074155096</v>
      </c>
    </row>
    <row r="1667" spans="30:32" x14ac:dyDescent="0.25">
      <c r="AD1667" s="165" t="str">
        <v>EUR_YCONRH_EON4M</v>
      </c>
      <c r="AE1667" s="165" t="s">
        <v>1912</v>
      </c>
      <c r="AF1667" s="165">
        <f>_xll.ohObjectCreationTime(AE1667)</f>
        <v>41709.403074224538</v>
      </c>
    </row>
    <row r="1668" spans="30:32" x14ac:dyDescent="0.25">
      <c r="AD1668" s="165" t="str">
        <v>EUR_YCONRH_EON4Y</v>
      </c>
      <c r="AE1668" s="165" t="s">
        <v>1914</v>
      </c>
      <c r="AF1668" s="165">
        <f>_xll.ohObjectCreationTime(AE1668)</f>
        <v>41709.403074293979</v>
      </c>
    </row>
    <row r="1669" spans="30:32" x14ac:dyDescent="0.25">
      <c r="AD1669" s="165" t="str">
        <v>EUR_YCONRH_EON50Y</v>
      </c>
      <c r="AE1669" s="165" t="s">
        <v>1950</v>
      </c>
      <c r="AF1669" s="165">
        <f>_xll.ohObjectCreationTime(AE1669)</f>
        <v>41709.403074374997</v>
      </c>
    </row>
    <row r="1670" spans="30:32" x14ac:dyDescent="0.25">
      <c r="AD1670" s="165" t="str">
        <v>EUR_YCONRH_EON5M</v>
      </c>
      <c r="AE1670" s="165" t="s">
        <v>1932</v>
      </c>
      <c r="AF1670" s="165">
        <f>_xll.ohObjectCreationTime(AE1670)</f>
        <v>41709.403074456015</v>
      </c>
    </row>
    <row r="1671" spans="30:32" x14ac:dyDescent="0.25">
      <c r="AD1671" s="165" t="str">
        <v>EUR_YCONRH_EON5Y</v>
      </c>
      <c r="AE1671" s="165" t="s">
        <v>1952</v>
      </c>
      <c r="AF1671" s="165">
        <f>_xll.ohObjectCreationTime(AE1671)</f>
        <v>41709.40307453704</v>
      </c>
    </row>
    <row r="1672" spans="30:32" x14ac:dyDescent="0.25">
      <c r="AD1672" s="165" t="str">
        <v>EUR_YCONRH_EON60Y</v>
      </c>
      <c r="AE1672" s="165" t="s">
        <v>1899</v>
      </c>
      <c r="AF1672" s="165">
        <f>_xll.ohObjectCreationTime(AE1672)</f>
        <v>41709.403074606482</v>
      </c>
    </row>
    <row r="1673" spans="30:32" x14ac:dyDescent="0.25">
      <c r="AD1673" s="165" t="str">
        <v>EUR_YCONRH_EON6M</v>
      </c>
      <c r="AE1673" s="165" t="s">
        <v>1918</v>
      </c>
      <c r="AF1673" s="165">
        <f>_xll.ohObjectCreationTime(AE1673)</f>
        <v>41709.403074675924</v>
      </c>
    </row>
    <row r="1674" spans="30:32" x14ac:dyDescent="0.25">
      <c r="AD1674" s="165" t="str">
        <v>EUR_YCONRH_EON6Y</v>
      </c>
      <c r="AE1674" s="165" t="s">
        <v>1897</v>
      </c>
      <c r="AF1674" s="165">
        <f>_xll.ohObjectCreationTime(AE1674)</f>
        <v>41709.403074745373</v>
      </c>
    </row>
    <row r="1675" spans="30:32" x14ac:dyDescent="0.25">
      <c r="AD1675" s="165" t="str">
        <v>EUR_YCONRH_EON7M</v>
      </c>
      <c r="AE1675" s="165" t="s">
        <v>1942</v>
      </c>
      <c r="AF1675" s="165">
        <f>_xll.ohObjectCreationTime(AE1675)</f>
        <v>41709.403074872687</v>
      </c>
    </row>
    <row r="1676" spans="30:32" x14ac:dyDescent="0.25">
      <c r="AD1676" s="165" t="str">
        <v>EUR_YCONRH_EON7Y</v>
      </c>
      <c r="AE1676" s="165" t="s">
        <v>1900</v>
      </c>
      <c r="AF1676" s="165">
        <f>_xll.ohObjectCreationTime(AE1676)</f>
        <v>41709.403074942129</v>
      </c>
    </row>
    <row r="1677" spans="30:32" x14ac:dyDescent="0.25">
      <c r="AD1677" s="165" t="str">
        <v>EUR_YCONRH_EON8M</v>
      </c>
      <c r="AE1677" s="165" t="s">
        <v>1935</v>
      </c>
      <c r="AF1677" s="165">
        <f>_xll.ohObjectCreationTime(AE1677)</f>
        <v>41709.403075023147</v>
      </c>
    </row>
    <row r="1678" spans="30:32" x14ac:dyDescent="0.25">
      <c r="AD1678" s="165" t="str">
        <v>EUR_YCONRH_EON8Y</v>
      </c>
      <c r="AE1678" s="165" t="s">
        <v>1944</v>
      </c>
      <c r="AF1678" s="165">
        <f>_xll.ohObjectCreationTime(AE1678)</f>
        <v>41709.403075150462</v>
      </c>
    </row>
    <row r="1679" spans="30:32" x14ac:dyDescent="0.25">
      <c r="AD1679" s="165" t="str">
        <v>EUR_YCONRH_EON9M</v>
      </c>
      <c r="AE1679" s="165" t="s">
        <v>1919</v>
      </c>
      <c r="AF1679" s="165">
        <f>_xll.ohObjectCreationTime(AE1679)</f>
        <v>41709.403075219911</v>
      </c>
    </row>
    <row r="1680" spans="30:32" x14ac:dyDescent="0.25">
      <c r="AD1680" s="165" t="str">
        <v>EUR_YCONRH_EON9Y</v>
      </c>
      <c r="AE1680" s="165" t="s">
        <v>1954</v>
      </c>
      <c r="AF1680" s="165">
        <f>_xll.ohObjectCreationTime(AE1680)</f>
        <v>41709.403075312497</v>
      </c>
    </row>
    <row r="1681" spans="30:32" x14ac:dyDescent="0.25">
      <c r="AD1681" s="165" t="str">
        <v>EUR_YCONRH_EONSW</v>
      </c>
      <c r="AE1681" s="165" t="s">
        <v>1959</v>
      </c>
      <c r="AF1681" s="165">
        <f>_xll.ohObjectCreationTime(AE1681)</f>
        <v>41709.403075405091</v>
      </c>
    </row>
    <row r="1682" spans="30:32" x14ac:dyDescent="0.25">
      <c r="AD1682" s="165" t="str">
        <v>EUR_YCONRH_EON_iborON</v>
      </c>
      <c r="AE1682" s="165" t="s">
        <v>1964</v>
      </c>
      <c r="AF1682" s="165">
        <f>_xll.ohObjectCreationTime(AE1682)</f>
        <v>41709.403075497685</v>
      </c>
    </row>
    <row r="1683" spans="30:32" x14ac:dyDescent="0.25">
      <c r="AD1683" s="165" t="str">
        <v>EUR_YCONRH_OND</v>
      </c>
      <c r="AE1683" s="165" t="s">
        <v>1936</v>
      </c>
      <c r="AF1683" s="165">
        <f>_xll.ohObjectCreationTime(AE1683)</f>
        <v>41709.403075613423</v>
      </c>
    </row>
    <row r="1684" spans="30:32" x14ac:dyDescent="0.25">
      <c r="AD1684" s="165" t="str">
        <v>EUR_YCONRH_RateHelpersSelected</v>
      </c>
      <c r="AE1684" s="165" t="s">
        <v>1929</v>
      </c>
      <c r="AF1684" s="165">
        <f>_xll.ohObjectCreationTime(AE1684)</f>
        <v>41709.403075717593</v>
      </c>
    </row>
    <row r="1685" spans="30:32" x14ac:dyDescent="0.25">
      <c r="AD1685" s="165" t="str">
        <v>EUR_YCONRH_SND</v>
      </c>
      <c r="AE1685" s="165" t="s">
        <v>1922</v>
      </c>
      <c r="AF1685" s="165">
        <f>_xll.ohObjectCreationTime(AE1685)</f>
        <v>41709.403075787035</v>
      </c>
    </row>
    <row r="1686" spans="30:32" x14ac:dyDescent="0.25">
      <c r="AD1686" s="165" t="str">
        <v>EUR_YCONRH_TND</v>
      </c>
      <c r="AE1686" s="165" t="s">
        <v>1930</v>
      </c>
      <c r="AF1686" s="165">
        <f>_xll.ohObjectCreationTime(AE1686)</f>
        <v>41709.403075891205</v>
      </c>
    </row>
    <row r="1687" spans="30:32" x14ac:dyDescent="0.25">
      <c r="AD1687" s="165" t="str">
        <v>EUR_YCSTDRH_10MD</v>
      </c>
      <c r="AE1687" s="165" t="s">
        <v>1926</v>
      </c>
      <c r="AF1687" s="165">
        <f>_xll.ohObjectCreationTime(AE1687)</f>
        <v>41709.403075995368</v>
      </c>
    </row>
    <row r="1688" spans="30:32" x14ac:dyDescent="0.25">
      <c r="AD1688" s="165" t="str">
        <v>EUR_YCSTDRH_11MD</v>
      </c>
      <c r="AE1688" s="165" t="s">
        <v>1961</v>
      </c>
      <c r="AF1688" s="165">
        <f>_xll.ohObjectCreationTime(AE1688)</f>
        <v>41709.403082777775</v>
      </c>
    </row>
    <row r="1689" spans="30:32" x14ac:dyDescent="0.25">
      <c r="AD1689" s="165" t="str">
        <v>EUR_YCSTDRH_1MD</v>
      </c>
      <c r="AE1689" s="165" t="s">
        <v>2110</v>
      </c>
      <c r="AF1689" s="165">
        <f>_xll.ohObjectCreationTime(AE1689)</f>
        <v>41709.40308290509</v>
      </c>
    </row>
    <row r="1690" spans="30:32" x14ac:dyDescent="0.25">
      <c r="AD1690" s="165" t="str">
        <v>EUR_YCSTDRH_1YD</v>
      </c>
      <c r="AE1690" s="165" t="s">
        <v>1751</v>
      </c>
      <c r="AF1690" s="165">
        <f>_xll.ohObjectCreationTime(AE1690)</f>
        <v>41709.403176666667</v>
      </c>
    </row>
    <row r="1691" spans="30:32" x14ac:dyDescent="0.25">
      <c r="AD1691" s="165" t="str">
        <v>EUR_YCSTDRH_2MD</v>
      </c>
      <c r="AE1691" s="165" t="s">
        <v>1726</v>
      </c>
      <c r="AF1691" s="165">
        <f>_xll.ohObjectCreationTime(AE1691)</f>
        <v>41709.403176747684</v>
      </c>
    </row>
    <row r="1692" spans="30:32" x14ac:dyDescent="0.25">
      <c r="AD1692" s="165" t="str">
        <v>EUR_YCSTDRH_2WD</v>
      </c>
      <c r="AE1692" s="165" t="s">
        <v>1660</v>
      </c>
      <c r="AF1692" s="165">
        <f>_xll.ohObjectCreationTime(AE1692)</f>
        <v>41709.403176817126</v>
      </c>
    </row>
    <row r="1693" spans="30:32" x14ac:dyDescent="0.25">
      <c r="AD1693" s="165" t="str">
        <v>EUR_YCSTDRH_3MD</v>
      </c>
      <c r="AE1693" s="165" t="s">
        <v>1754</v>
      </c>
      <c r="AF1693" s="165">
        <f>_xll.ohObjectCreationTime(AE1693)</f>
        <v>41709.403176886575</v>
      </c>
    </row>
    <row r="1694" spans="30:32" x14ac:dyDescent="0.25">
      <c r="AD1694" s="165" t="str">
        <v>EUR_YCSTDRH_3WD</v>
      </c>
      <c r="AE1694" s="165" t="s">
        <v>1661</v>
      </c>
      <c r="AF1694" s="165">
        <f>_xll.ohObjectCreationTime(AE1694)</f>
        <v>41709.403176956017</v>
      </c>
    </row>
    <row r="1695" spans="30:32" x14ac:dyDescent="0.25">
      <c r="AD1695" s="165" t="str">
        <v>EUR_YCSTDRH_4MD</v>
      </c>
      <c r="AE1695" s="165" t="s">
        <v>1696</v>
      </c>
      <c r="AF1695" s="165">
        <f>_xll.ohObjectCreationTime(AE1695)</f>
        <v>41709.403177025466</v>
      </c>
    </row>
    <row r="1696" spans="30:32" x14ac:dyDescent="0.25">
      <c r="AD1696" s="165" t="str">
        <v>EUR_YCSTDRH_5MD</v>
      </c>
      <c r="AE1696" s="165" t="s">
        <v>1694</v>
      </c>
      <c r="AF1696" s="165">
        <f>_xll.ohObjectCreationTime(AE1696)</f>
        <v>41709.403177094908</v>
      </c>
    </row>
    <row r="1697" spans="30:32" x14ac:dyDescent="0.25">
      <c r="AD1697" s="165" t="str">
        <v>EUR_YCSTDRH_6MD</v>
      </c>
      <c r="AE1697" s="165" t="s">
        <v>1656</v>
      </c>
      <c r="AF1697" s="165">
        <f>_xll.ohObjectCreationTime(AE1697)</f>
        <v>41709.403177164349</v>
      </c>
    </row>
    <row r="1698" spans="30:32" x14ac:dyDescent="0.25">
      <c r="AD1698" s="165" t="str">
        <v>EUR_YCSTDRH_7MD</v>
      </c>
      <c r="AE1698" s="165" t="s">
        <v>1701</v>
      </c>
      <c r="AF1698" s="165">
        <f>_xll.ohObjectCreationTime(AE1698)</f>
        <v>41709.403177233798</v>
      </c>
    </row>
    <row r="1699" spans="30:32" x14ac:dyDescent="0.25">
      <c r="AD1699" s="165" t="str">
        <v>EUR_YCSTDRH_8MD</v>
      </c>
      <c r="AE1699" s="165" t="s">
        <v>1699</v>
      </c>
      <c r="AF1699" s="165">
        <f>_xll.ohObjectCreationTime(AE1699)</f>
        <v>41709.403177314816</v>
      </c>
    </row>
    <row r="1700" spans="30:32" x14ac:dyDescent="0.25">
      <c r="AD1700" s="165" t="str">
        <v>EUR_YCSTDRH_9MD</v>
      </c>
      <c r="AE1700" s="165" t="s">
        <v>1690</v>
      </c>
      <c r="AF1700" s="165">
        <f>_xll.ohObjectCreationTime(AE1700)</f>
        <v>41709.403177384258</v>
      </c>
    </row>
    <row r="1701" spans="30:32" x14ac:dyDescent="0.25">
      <c r="AD1701" s="165" t="str">
        <v>EUR_YCSTDRH_AB6E10Y</v>
      </c>
      <c r="AE1701" s="165" t="s">
        <v>1665</v>
      </c>
      <c r="AF1701" s="165">
        <f>_xll.ohObjectCreationTime(AE1701)</f>
        <v>41709.403177453707</v>
      </c>
    </row>
    <row r="1702" spans="30:32" x14ac:dyDescent="0.25">
      <c r="AD1702" s="165" t="str">
        <v>EUR_YCSTDRH_AB6E11Y</v>
      </c>
      <c r="AE1702" s="165" t="s">
        <v>1675</v>
      </c>
      <c r="AF1702" s="165">
        <f>_xll.ohObjectCreationTime(AE1702)</f>
        <v>41709.403177523149</v>
      </c>
    </row>
    <row r="1703" spans="30:32" x14ac:dyDescent="0.25">
      <c r="AD1703" s="165" t="str">
        <v>EUR_YCSTDRH_AB6E12Y</v>
      </c>
      <c r="AE1703" s="165" t="s">
        <v>1669</v>
      </c>
      <c r="AF1703" s="165">
        <f>_xll.ohObjectCreationTime(AE1703)</f>
        <v>41709.403177592591</v>
      </c>
    </row>
    <row r="1704" spans="30:32" x14ac:dyDescent="0.25">
      <c r="AD1704" s="165" t="str">
        <v>EUR_YCSTDRH_AB6E13Y</v>
      </c>
      <c r="AE1704" s="165" t="s">
        <v>1673</v>
      </c>
      <c r="AF1704" s="165">
        <f>_xll.ohObjectCreationTime(AE1704)</f>
        <v>41709.40317766204</v>
      </c>
    </row>
    <row r="1705" spans="30:32" x14ac:dyDescent="0.25">
      <c r="AD1705" s="165" t="str">
        <v>EUR_YCSTDRH_AB6E14Y</v>
      </c>
      <c r="AE1705" s="165" t="s">
        <v>1709</v>
      </c>
      <c r="AF1705" s="165">
        <f>_xll.ohObjectCreationTime(AE1705)</f>
        <v>41709.403177743057</v>
      </c>
    </row>
    <row r="1706" spans="30:32" x14ac:dyDescent="0.25">
      <c r="AD1706" s="165" t="str">
        <v>EUR_YCSTDRH_AB6E15M</v>
      </c>
      <c r="AE1706" s="165" t="s">
        <v>1672</v>
      </c>
      <c r="AF1706" s="165">
        <f>_xll.ohObjectCreationTime(AE1706)</f>
        <v>41709.403177812499</v>
      </c>
    </row>
    <row r="1707" spans="30:32" x14ac:dyDescent="0.25">
      <c r="AD1707" s="165" t="str">
        <v>EUR_YCSTDRH_AB6E15Y</v>
      </c>
      <c r="AE1707" s="165" t="s">
        <v>1697</v>
      </c>
      <c r="AF1707" s="165">
        <f>_xll.ohObjectCreationTime(AE1707)</f>
        <v>41709.403177905093</v>
      </c>
    </row>
    <row r="1708" spans="30:32" x14ac:dyDescent="0.25">
      <c r="AD1708" s="165" t="str">
        <v>EUR_YCSTDRH_AB6E16Y</v>
      </c>
      <c r="AE1708" s="165" t="s">
        <v>1676</v>
      </c>
      <c r="AF1708" s="165">
        <f>_xll.ohObjectCreationTime(AE1708)</f>
        <v>41709.403177974535</v>
      </c>
    </row>
    <row r="1709" spans="30:32" x14ac:dyDescent="0.25">
      <c r="AD1709" s="165" t="str">
        <v>EUR_YCSTDRH_AB6E17Y</v>
      </c>
      <c r="AE1709" s="165" t="s">
        <v>1691</v>
      </c>
      <c r="AF1709" s="165">
        <f>_xll.ohObjectCreationTime(AE1709)</f>
        <v>41709.403178043984</v>
      </c>
    </row>
    <row r="1710" spans="30:32" x14ac:dyDescent="0.25">
      <c r="AD1710" s="165" t="str">
        <v>EUR_YCSTDRH_AB6E18M</v>
      </c>
      <c r="AE1710" s="165" t="s">
        <v>1681</v>
      </c>
      <c r="AF1710" s="165">
        <f>_xll.ohObjectCreationTime(AE1710)</f>
        <v>41709.403178125001</v>
      </c>
    </row>
    <row r="1711" spans="30:32" x14ac:dyDescent="0.25">
      <c r="AD1711" s="165" t="str">
        <v>EUR_YCSTDRH_AB6E18Y</v>
      </c>
      <c r="AE1711" s="165" t="s">
        <v>1685</v>
      </c>
      <c r="AF1711" s="165">
        <f>_xll.ohObjectCreationTime(AE1711)</f>
        <v>41709.403178194443</v>
      </c>
    </row>
    <row r="1712" spans="30:32" x14ac:dyDescent="0.25">
      <c r="AD1712" s="165" t="str">
        <v>EUR_YCSTDRH_AB6E19Y</v>
      </c>
      <c r="AE1712" s="165" t="s">
        <v>1668</v>
      </c>
      <c r="AF1712" s="165">
        <f>_xll.ohObjectCreationTime(AE1712)</f>
        <v>41709.403178263892</v>
      </c>
    </row>
    <row r="1713" spans="30:32" x14ac:dyDescent="0.25">
      <c r="AD1713" s="165" t="str">
        <v>EUR_YCSTDRH_AB6E1Y</v>
      </c>
      <c r="AE1713" s="165" t="s">
        <v>1683</v>
      </c>
      <c r="AF1713" s="165">
        <f>_xll.ohObjectCreationTime(AE1713)</f>
        <v>41709.403178333334</v>
      </c>
    </row>
    <row r="1714" spans="30:32" x14ac:dyDescent="0.25">
      <c r="AD1714" s="165" t="str">
        <v>EUR_YCSTDRH_AB6E20Y</v>
      </c>
      <c r="AE1714" s="165" t="s">
        <v>1755</v>
      </c>
      <c r="AF1714" s="165">
        <f>_xll.ohObjectCreationTime(AE1714)</f>
        <v>41709.403178402776</v>
      </c>
    </row>
    <row r="1715" spans="30:32" x14ac:dyDescent="0.25">
      <c r="AD1715" s="165" t="str">
        <v>EUR_YCSTDRH_AB6E21M</v>
      </c>
      <c r="AE1715" s="165" t="s">
        <v>1703</v>
      </c>
      <c r="AF1715" s="165">
        <f>_xll.ohObjectCreationTime(AE1715)</f>
        <v>41709.403178483793</v>
      </c>
    </row>
    <row r="1716" spans="30:32" x14ac:dyDescent="0.25">
      <c r="AD1716" s="165" t="str">
        <v>EUR_YCSTDRH_AB6E21Y</v>
      </c>
      <c r="AE1716" s="165" t="s">
        <v>1674</v>
      </c>
      <c r="AF1716" s="165">
        <f>_xll.ohObjectCreationTime(AE1716)</f>
        <v>41709.403178553242</v>
      </c>
    </row>
    <row r="1717" spans="30:32" x14ac:dyDescent="0.25">
      <c r="AD1717" s="165" t="str">
        <v>EUR_YCSTDRH_AB6E22Y</v>
      </c>
      <c r="AE1717" s="165" t="s">
        <v>1679</v>
      </c>
      <c r="AF1717" s="165">
        <f>_xll.ohObjectCreationTime(AE1717)</f>
        <v>41709.403178622684</v>
      </c>
    </row>
    <row r="1718" spans="30:32" x14ac:dyDescent="0.25">
      <c r="AD1718" s="165" t="str">
        <v>EUR_YCSTDRH_AB6E23Y</v>
      </c>
      <c r="AE1718" s="165" t="s">
        <v>1688</v>
      </c>
      <c r="AF1718" s="165">
        <f>_xll.ohObjectCreationTime(AE1718)</f>
        <v>41709.403178703702</v>
      </c>
    </row>
    <row r="1719" spans="30:32" x14ac:dyDescent="0.25">
      <c r="AD1719" s="165" t="str">
        <v>EUR_YCSTDRH_AB6E24Y</v>
      </c>
      <c r="AE1719" s="165" t="s">
        <v>1677</v>
      </c>
      <c r="AF1719" s="165">
        <f>_xll.ohObjectCreationTime(AE1719)</f>
        <v>41709.40317878472</v>
      </c>
    </row>
    <row r="1720" spans="30:32" x14ac:dyDescent="0.25">
      <c r="AD1720" s="165" t="str">
        <v>EUR_YCSTDRH_AB6E25Y</v>
      </c>
      <c r="AE1720" s="165" t="s">
        <v>1705</v>
      </c>
      <c r="AF1720" s="165">
        <f>_xll.ohObjectCreationTime(AE1720)</f>
        <v>41709.403178854169</v>
      </c>
    </row>
    <row r="1721" spans="30:32" x14ac:dyDescent="0.25">
      <c r="AD1721" s="165" t="str">
        <v>EUR_YCSTDRH_AB6E26Y</v>
      </c>
      <c r="AE1721" s="165" t="s">
        <v>1692</v>
      </c>
      <c r="AF1721" s="165">
        <f>_xll.ohObjectCreationTime(AE1721)</f>
        <v>41709.403178923611</v>
      </c>
    </row>
    <row r="1722" spans="30:32" x14ac:dyDescent="0.25">
      <c r="AD1722" s="165" t="str">
        <v>EUR_YCSTDRH_AB6E27Y</v>
      </c>
      <c r="AE1722" s="165" t="s">
        <v>1700</v>
      </c>
      <c r="AF1722" s="165">
        <f>_xll.ohObjectCreationTime(AE1722)</f>
        <v>41709.403179004628</v>
      </c>
    </row>
    <row r="1723" spans="30:32" x14ac:dyDescent="0.25">
      <c r="AD1723" s="165" t="str">
        <v>EUR_YCSTDRH_AB6E28Y</v>
      </c>
      <c r="AE1723" s="165" t="s">
        <v>1664</v>
      </c>
      <c r="AF1723" s="165">
        <f>_xll.ohObjectCreationTime(AE1723)</f>
        <v>41709.403179085646</v>
      </c>
    </row>
    <row r="1724" spans="30:32" x14ac:dyDescent="0.25">
      <c r="AD1724" s="165" t="str">
        <v>EUR_YCSTDRH_AB6E29Y</v>
      </c>
      <c r="AE1724" s="165" t="s">
        <v>1704</v>
      </c>
      <c r="AF1724" s="165">
        <f>_xll.ohObjectCreationTime(AE1724)</f>
        <v>41709.403179155095</v>
      </c>
    </row>
    <row r="1725" spans="30:32" x14ac:dyDescent="0.25">
      <c r="AD1725" s="165" t="str">
        <v>EUR_YCSTDRH_AB6E2Y</v>
      </c>
      <c r="AE1725" s="165" t="s">
        <v>1671</v>
      </c>
      <c r="AF1725" s="165">
        <f>_xll.ohObjectCreationTime(AE1725)</f>
        <v>41709.403179236113</v>
      </c>
    </row>
    <row r="1726" spans="30:32" x14ac:dyDescent="0.25">
      <c r="AD1726" s="165" t="str">
        <v>EUR_YCSTDRH_AB6E30Y</v>
      </c>
      <c r="AE1726" s="165" t="s">
        <v>1695</v>
      </c>
      <c r="AF1726" s="165">
        <f>_xll.ohObjectCreationTime(AE1726)</f>
        <v>41709.403179317131</v>
      </c>
    </row>
    <row r="1727" spans="30:32" x14ac:dyDescent="0.25">
      <c r="AD1727" s="165" t="str">
        <v>EUR_YCSTDRH_AB6E35Y</v>
      </c>
      <c r="AE1727" s="165" t="s">
        <v>1711</v>
      </c>
      <c r="AF1727" s="165">
        <f>_xll.ohObjectCreationTime(AE1727)</f>
        <v>41709.403179386572</v>
      </c>
    </row>
    <row r="1728" spans="30:32" x14ac:dyDescent="0.25">
      <c r="AD1728" s="165" t="str">
        <v>EUR_YCSTDRH_AB6E3Y</v>
      </c>
      <c r="AE1728" s="165" t="s">
        <v>1689</v>
      </c>
      <c r="AF1728" s="165">
        <f>_xll.ohObjectCreationTime(AE1728)</f>
        <v>41709.40317946759</v>
      </c>
    </row>
    <row r="1729" spans="30:32" x14ac:dyDescent="0.25">
      <c r="AD1729" s="165" t="str">
        <v>EUR_YCSTDRH_AB6E40Y</v>
      </c>
      <c r="AE1729" s="165" t="s">
        <v>1756</v>
      </c>
      <c r="AF1729" s="165">
        <f>_xll.ohObjectCreationTime(AE1729)</f>
        <v>41709.403179548608</v>
      </c>
    </row>
    <row r="1730" spans="30:32" x14ac:dyDescent="0.25">
      <c r="AD1730" s="165" t="str">
        <v>EUR_YCSTDRH_AB6E4Y</v>
      </c>
      <c r="AE1730" s="165" t="s">
        <v>1680</v>
      </c>
      <c r="AF1730" s="165">
        <f>_xll.ohObjectCreationTime(AE1730)</f>
        <v>41709.403179618057</v>
      </c>
    </row>
    <row r="1731" spans="30:32" x14ac:dyDescent="0.25">
      <c r="AD1731" s="165" t="str">
        <v>EUR_YCSTDRH_AB6E50Y</v>
      </c>
      <c r="AE1731" s="165" t="s">
        <v>1698</v>
      </c>
      <c r="AF1731" s="165">
        <f>_xll.ohObjectCreationTime(AE1731)</f>
        <v>41709.403179699075</v>
      </c>
    </row>
    <row r="1732" spans="30:32" x14ac:dyDescent="0.25">
      <c r="AD1732" s="165" t="str">
        <v>EUR_YCSTDRH_AB6E5Y</v>
      </c>
      <c r="AE1732" s="165" t="s">
        <v>1753</v>
      </c>
      <c r="AF1732" s="165">
        <f>_xll.ohObjectCreationTime(AE1732)</f>
        <v>41709.403179780093</v>
      </c>
    </row>
    <row r="1733" spans="30:32" x14ac:dyDescent="0.25">
      <c r="AD1733" s="165" t="str">
        <v>EUR_YCSTDRH_AB6E60Y</v>
      </c>
      <c r="AE1733" s="165" t="s">
        <v>1667</v>
      </c>
      <c r="AF1733" s="165">
        <f>_xll.ohObjectCreationTime(AE1733)</f>
        <v>41709.403179849534</v>
      </c>
    </row>
    <row r="1734" spans="30:32" x14ac:dyDescent="0.25">
      <c r="AD1734" s="165" t="str">
        <v>EUR_YCSTDRH_AB6E6Y</v>
      </c>
      <c r="AE1734" s="165" t="s">
        <v>1702</v>
      </c>
      <c r="AF1734" s="165">
        <f>_xll.ohObjectCreationTime(AE1734)</f>
        <v>41709.403179930552</v>
      </c>
    </row>
    <row r="1735" spans="30:32" x14ac:dyDescent="0.25">
      <c r="AD1735" s="165" t="str">
        <v>EUR_YCSTDRH_AB6E7Y</v>
      </c>
      <c r="AE1735" s="165" t="s">
        <v>1659</v>
      </c>
      <c r="AF1735" s="165">
        <f>_xll.ohObjectCreationTime(AE1735)</f>
        <v>41709.403180000001</v>
      </c>
    </row>
    <row r="1736" spans="30:32" x14ac:dyDescent="0.25">
      <c r="AD1736" s="165" t="str">
        <v>EUR_YCSTDRH_AB6E8Y</v>
      </c>
      <c r="AE1736" s="165" t="s">
        <v>1666</v>
      </c>
      <c r="AF1736" s="165">
        <f>_xll.ohObjectCreationTime(AE1736)</f>
        <v>41709.403180069443</v>
      </c>
    </row>
    <row r="1737" spans="30:32" x14ac:dyDescent="0.25">
      <c r="AD1737" s="165" t="str">
        <v>EUR_YCSTDRH_AB6E9Y</v>
      </c>
      <c r="AE1737" s="165" t="s">
        <v>1710</v>
      </c>
      <c r="AF1737" s="165">
        <f>_xll.ohObjectCreationTime(AE1737)</f>
        <v>41709.403180150461</v>
      </c>
    </row>
    <row r="1738" spans="30:32" x14ac:dyDescent="0.25">
      <c r="AD1738" s="165" t="str">
        <v>EUR_YCSTDRH_AB6E_ibor6M</v>
      </c>
      <c r="AE1738" s="165" t="s">
        <v>1678</v>
      </c>
      <c r="AF1738" s="165">
        <f>_xll.ohObjectCreationTime(AE1738)</f>
        <v>41709.403180243055</v>
      </c>
    </row>
    <row r="1739" spans="30:32" x14ac:dyDescent="0.25">
      <c r="AD1739" s="165" t="str">
        <v>EUR_YCSTDRH_FUT3MF5</v>
      </c>
      <c r="AE1739" s="165" t="s">
        <v>1663</v>
      </c>
      <c r="AF1739" s="165">
        <f>_xll.ohObjectCreationTime(AE1739)</f>
        <v>41709.403180324072</v>
      </c>
    </row>
    <row r="1740" spans="30:32" x14ac:dyDescent="0.25">
      <c r="AD1740" s="165" t="str">
        <v>EUR_YCSTDRH_FUT3MG5</v>
      </c>
      <c r="AE1740" s="165" t="s">
        <v>1707</v>
      </c>
      <c r="AF1740" s="165">
        <f>_xll.ohObjectCreationTime(AE1740)</f>
        <v>41709.403180393521</v>
      </c>
    </row>
    <row r="1741" spans="30:32" x14ac:dyDescent="0.25">
      <c r="AD1741" s="165" t="str">
        <v>EUR_YCSTDRH_FUT3MH0</v>
      </c>
      <c r="AE1741" s="165" t="s">
        <v>1657</v>
      </c>
      <c r="AF1741" s="165">
        <f>_xll.ohObjectCreationTime(AE1741)</f>
        <v>41709.403180462963</v>
      </c>
    </row>
    <row r="1742" spans="30:32" x14ac:dyDescent="0.25">
      <c r="AD1742" s="165" t="str">
        <v>EUR_YCSTDRH_FUT3MH1</v>
      </c>
      <c r="AE1742" s="165" t="s">
        <v>1658</v>
      </c>
      <c r="AF1742" s="165">
        <f>_xll.ohObjectCreationTime(AE1742)</f>
        <v>41709.403180532405</v>
      </c>
    </row>
    <row r="1743" spans="30:32" x14ac:dyDescent="0.25">
      <c r="AD1743" s="165" t="str">
        <v>EUR_YCSTDRH_FUT3MH2</v>
      </c>
      <c r="AE1743" s="165" t="s">
        <v>1713</v>
      </c>
      <c r="AF1743" s="165">
        <f>_xll.ohObjectCreationTime(AE1743)</f>
        <v>41709.403180613423</v>
      </c>
    </row>
    <row r="1744" spans="30:32" x14ac:dyDescent="0.25">
      <c r="AD1744" s="165" t="str">
        <v>EUR_YCSTDRH_FUT3MH4</v>
      </c>
      <c r="AE1744" s="165" t="s">
        <v>1686</v>
      </c>
      <c r="AF1744" s="165">
        <f>_xll.ohObjectCreationTime(AE1744)</f>
        <v>41709.403180682872</v>
      </c>
    </row>
    <row r="1745" spans="30:32" x14ac:dyDescent="0.25">
      <c r="AD1745" s="165" t="str">
        <v>EUR_YCSTDRH_FUT3MH5</v>
      </c>
      <c r="AE1745" s="165" t="s">
        <v>1655</v>
      </c>
      <c r="AF1745" s="165">
        <f>_xll.ohObjectCreationTime(AE1745)</f>
        <v>41709.403180752313</v>
      </c>
    </row>
    <row r="1746" spans="30:32" x14ac:dyDescent="0.25">
      <c r="AD1746" s="165" t="str">
        <v>EUR_YCSTDRH_FUT3MH6</v>
      </c>
      <c r="AE1746" s="165" t="s">
        <v>1682</v>
      </c>
      <c r="AF1746" s="165">
        <f>_xll.ohObjectCreationTime(AE1746)</f>
        <v>41709.403180821762</v>
      </c>
    </row>
    <row r="1747" spans="30:32" x14ac:dyDescent="0.25">
      <c r="AD1747" s="165" t="str">
        <v>EUR_YCSTDRH_FUT3MH7</v>
      </c>
      <c r="AE1747" s="165" t="s">
        <v>1708</v>
      </c>
      <c r="AF1747" s="165">
        <f>_xll.ohObjectCreationTime(AE1747)</f>
        <v>41709.403180891204</v>
      </c>
    </row>
    <row r="1748" spans="30:32" x14ac:dyDescent="0.25">
      <c r="AD1748" s="165" t="str">
        <v>EUR_YCSTDRH_FUT3MH8</v>
      </c>
      <c r="AE1748" s="165" t="s">
        <v>1670</v>
      </c>
      <c r="AF1748" s="165">
        <f>_xll.ohObjectCreationTime(AE1748)</f>
        <v>41709.403180972222</v>
      </c>
    </row>
    <row r="1749" spans="30:32" x14ac:dyDescent="0.25">
      <c r="AD1749" s="165" t="str">
        <v>EUR_YCSTDRH_FUT3MH9</v>
      </c>
      <c r="AE1749" s="165" t="s">
        <v>1687</v>
      </c>
      <c r="AF1749" s="165">
        <f>_xll.ohObjectCreationTime(AE1749)</f>
        <v>41709.403181041664</v>
      </c>
    </row>
    <row r="1750" spans="30:32" x14ac:dyDescent="0.25">
      <c r="AD1750" s="165" t="str">
        <v>EUR_YCSTDRH_FUT3MJ4</v>
      </c>
      <c r="AE1750" s="165" t="s">
        <v>1662</v>
      </c>
      <c r="AF1750" s="165">
        <f>_xll.ohObjectCreationTime(AE1750)</f>
        <v>41709.403181111113</v>
      </c>
    </row>
    <row r="1751" spans="30:32" x14ac:dyDescent="0.25">
      <c r="AD1751" s="165" t="str">
        <v>EUR_YCSTDRH_FUT3MK4</v>
      </c>
      <c r="AE1751" s="165" t="s">
        <v>1684</v>
      </c>
      <c r="AF1751" s="165">
        <f>_xll.ohObjectCreationTime(AE1751)</f>
        <v>41709.40318119213</v>
      </c>
    </row>
    <row r="1752" spans="30:32" x14ac:dyDescent="0.25">
      <c r="AD1752" s="165" t="str">
        <v>EUR_YCSTDRH_FUT3MM0</v>
      </c>
      <c r="AE1752" s="165" t="s">
        <v>1706</v>
      </c>
      <c r="AF1752" s="165">
        <f>_xll.ohObjectCreationTime(AE1752)</f>
        <v>41709.403181261572</v>
      </c>
    </row>
    <row r="1753" spans="30:32" x14ac:dyDescent="0.25">
      <c r="AD1753" s="165" t="str">
        <v>EUR_YCSTDRH_FUT3MM1</v>
      </c>
      <c r="AE1753" s="165" t="s">
        <v>1719</v>
      </c>
      <c r="AF1753" s="165">
        <f>_xll.ohObjectCreationTime(AE1753)</f>
        <v>41709.40318134259</v>
      </c>
    </row>
    <row r="1754" spans="30:32" x14ac:dyDescent="0.25">
      <c r="AD1754" s="165" t="str">
        <v>EUR_YCSTDRH_FUT3MM2</v>
      </c>
      <c r="AE1754" s="165" t="s">
        <v>1712</v>
      </c>
      <c r="AF1754" s="165">
        <f>_xll.ohObjectCreationTime(AE1754)</f>
        <v>41709.403181423608</v>
      </c>
    </row>
    <row r="1755" spans="30:32" x14ac:dyDescent="0.25">
      <c r="AD1755" s="165" t="str">
        <v>EUR_YCSTDRH_FUT3MM4</v>
      </c>
      <c r="AE1755" s="165" t="s">
        <v>1693</v>
      </c>
      <c r="AF1755" s="165">
        <f>_xll.ohObjectCreationTime(AE1755)</f>
        <v>41709.403181493057</v>
      </c>
    </row>
    <row r="1756" spans="30:32" x14ac:dyDescent="0.25">
      <c r="AD1756" s="165" t="str">
        <v>EUR_YCSTDRH_FUT3MM5</v>
      </c>
      <c r="AE1756" s="165" t="s">
        <v>1723</v>
      </c>
      <c r="AF1756" s="165">
        <f>_xll.ohObjectCreationTime(AE1756)</f>
        <v>41709.403181793983</v>
      </c>
    </row>
    <row r="1757" spans="30:32" x14ac:dyDescent="0.25">
      <c r="AD1757" s="165" t="str">
        <v>EUR_YCSTDRH_FUT3MM6</v>
      </c>
      <c r="AE1757" s="165" t="s">
        <v>1728</v>
      </c>
      <c r="AF1757" s="165">
        <f>_xll.ohObjectCreationTime(AE1757)</f>
        <v>41709.403181886577</v>
      </c>
    </row>
    <row r="1758" spans="30:32" x14ac:dyDescent="0.25">
      <c r="AD1758" s="165" t="str">
        <v>EUR_YCSTDRH_FUT3MM7</v>
      </c>
      <c r="AE1758" s="165" t="s">
        <v>1738</v>
      </c>
      <c r="AF1758" s="165">
        <f>_xll.ohObjectCreationTime(AE1758)</f>
        <v>41709.403181979163</v>
      </c>
    </row>
    <row r="1759" spans="30:32" x14ac:dyDescent="0.25">
      <c r="AD1759" s="165" t="str">
        <v>EUR_YCSTDRH_FUT3MM8</v>
      </c>
      <c r="AE1759" s="165" t="s">
        <v>1741</v>
      </c>
      <c r="AF1759" s="165">
        <f>_xll.ohObjectCreationTime(AE1759)</f>
        <v>41709.403182071757</v>
      </c>
    </row>
    <row r="1760" spans="30:32" x14ac:dyDescent="0.25">
      <c r="AD1760" s="165" t="str">
        <v>EUR_YCSTDRH_FUT3MM9</v>
      </c>
      <c r="AE1760" s="165" t="s">
        <v>1743</v>
      </c>
      <c r="AF1760" s="165">
        <f>_xll.ohObjectCreationTime(AE1760)</f>
        <v>41709.403182164351</v>
      </c>
    </row>
    <row r="1761" spans="30:32" x14ac:dyDescent="0.25">
      <c r="AD1761" s="165" t="str">
        <v>EUR_YCSTDRH_FUT3MN4</v>
      </c>
      <c r="AE1761" s="165" t="s">
        <v>1745</v>
      </c>
      <c r="AF1761" s="165">
        <f>_xll.ohObjectCreationTime(AE1761)</f>
        <v>41709.403182256945</v>
      </c>
    </row>
    <row r="1762" spans="30:32" x14ac:dyDescent="0.25">
      <c r="AD1762" s="165" t="str">
        <v>EUR_YCSTDRH_FUT3MQ4</v>
      </c>
      <c r="AE1762" s="165" t="s">
        <v>1747</v>
      </c>
      <c r="AF1762" s="165">
        <f>_xll.ohObjectCreationTime(AE1762)</f>
        <v>41709.403182349539</v>
      </c>
    </row>
    <row r="1763" spans="30:32" x14ac:dyDescent="0.25">
      <c r="AD1763" s="165" t="str">
        <v>EUR_YCSTDRH_FUT3MU0</v>
      </c>
      <c r="AE1763" s="165" t="s">
        <v>1748</v>
      </c>
      <c r="AF1763" s="165">
        <f>_xll.ohObjectCreationTime(AE1763)</f>
        <v>41709.403182442133</v>
      </c>
    </row>
    <row r="1764" spans="30:32" x14ac:dyDescent="0.25">
      <c r="AD1764" s="165" t="str">
        <v>EUR_YCSTDRH_FUT3MU1</v>
      </c>
      <c r="AE1764" s="165" t="s">
        <v>1749</v>
      </c>
      <c r="AF1764" s="165">
        <f>_xll.ohObjectCreationTime(AE1764)</f>
        <v>41709.403182534719</v>
      </c>
    </row>
    <row r="1765" spans="30:32" x14ac:dyDescent="0.25">
      <c r="AD1765" s="165" t="str">
        <v>EUR_YCSTDRH_FUT3MU4</v>
      </c>
      <c r="AE1765" s="165" t="s">
        <v>1750</v>
      </c>
      <c r="AF1765" s="165">
        <f>_xll.ohObjectCreationTime(AE1765)</f>
        <v>41709.403182638889</v>
      </c>
    </row>
    <row r="1766" spans="30:32" x14ac:dyDescent="0.25">
      <c r="AD1766" s="165" t="str">
        <v>EUR_YCSTDRH_FUT3MU5</v>
      </c>
      <c r="AE1766" s="165" t="s">
        <v>1714</v>
      </c>
      <c r="AF1766" s="165">
        <f>_xll.ohObjectCreationTime(AE1766)</f>
        <v>41709.403182731483</v>
      </c>
    </row>
    <row r="1767" spans="30:32" x14ac:dyDescent="0.25">
      <c r="AD1767" s="165" t="str">
        <v>EUR_YCSTDRH_FUT3MU6</v>
      </c>
      <c r="AE1767" s="165" t="s">
        <v>1715</v>
      </c>
      <c r="AF1767" s="165">
        <f>_xll.ohObjectCreationTime(AE1767)</f>
        <v>41709.403182847222</v>
      </c>
    </row>
    <row r="1768" spans="30:32" x14ac:dyDescent="0.25">
      <c r="AD1768" s="165" t="str">
        <v>EUR_YCSTDRH_FUT3MU7</v>
      </c>
      <c r="AE1768" s="165" t="s">
        <v>1716</v>
      </c>
      <c r="AF1768" s="165">
        <f>_xll.ohObjectCreationTime(AE1768)</f>
        <v>41709.403182951391</v>
      </c>
    </row>
    <row r="1769" spans="30:32" x14ac:dyDescent="0.25">
      <c r="AD1769" s="165" t="str">
        <v>EUR_YCSTDRH_FUT3MU8</v>
      </c>
      <c r="AE1769" s="165" t="s">
        <v>1717</v>
      </c>
      <c r="AF1769" s="165">
        <f>_xll.ohObjectCreationTime(AE1769)</f>
        <v>41709.403183055554</v>
      </c>
    </row>
    <row r="1770" spans="30:32" x14ac:dyDescent="0.25">
      <c r="AD1770" s="165" t="str">
        <v>EUR_YCSTDRH_FUT3MU9</v>
      </c>
      <c r="AE1770" s="165" t="s">
        <v>1718</v>
      </c>
      <c r="AF1770" s="165">
        <f>_xll.ohObjectCreationTime(AE1770)</f>
        <v>41709.403183182869</v>
      </c>
    </row>
    <row r="1771" spans="30:32" x14ac:dyDescent="0.25">
      <c r="AD1771" s="165" t="str">
        <v>EUR_YCSTDRH_FUT3MV4</v>
      </c>
      <c r="AE1771" s="165" t="s">
        <v>1720</v>
      </c>
      <c r="AF1771" s="165">
        <f>_xll.ohObjectCreationTime(AE1771)</f>
        <v>41709.40318332176</v>
      </c>
    </row>
    <row r="1772" spans="30:32" x14ac:dyDescent="0.25">
      <c r="AD1772" s="165" t="str">
        <v>EUR_YCSTDRH_FUT3MX4</v>
      </c>
      <c r="AE1772" s="165" t="s">
        <v>1721</v>
      </c>
      <c r="AF1772" s="165">
        <f>_xll.ohObjectCreationTime(AE1772)</f>
        <v>41709.403183425929</v>
      </c>
    </row>
    <row r="1773" spans="30:32" x14ac:dyDescent="0.25">
      <c r="AD1773" s="165" t="str">
        <v>EUR_YCSTDRH_FUT3MZ0</v>
      </c>
      <c r="AE1773" s="165" t="s">
        <v>1722</v>
      </c>
      <c r="AF1773" s="165">
        <f>_xll.ohObjectCreationTime(AE1773)</f>
        <v>41709.403183541668</v>
      </c>
    </row>
    <row r="1774" spans="30:32" x14ac:dyDescent="0.25">
      <c r="AD1774" s="165" t="str">
        <v>EUR_YCSTDRH_FUT3MZ1</v>
      </c>
      <c r="AE1774" s="165" t="s">
        <v>1724</v>
      </c>
      <c r="AF1774" s="165">
        <f>_xll.ohObjectCreationTime(AE1774)</f>
        <v>41709.403183645831</v>
      </c>
    </row>
    <row r="1775" spans="30:32" x14ac:dyDescent="0.25">
      <c r="AD1775" s="165" t="str">
        <v>EUR_YCSTDRH_FUT3MZ4</v>
      </c>
      <c r="AE1775" s="165" t="s">
        <v>1725</v>
      </c>
      <c r="AF1775" s="165">
        <f>_xll.ohObjectCreationTime(AE1775)</f>
        <v>41709.403183761577</v>
      </c>
    </row>
    <row r="1776" spans="30:32" x14ac:dyDescent="0.25">
      <c r="AD1776" s="165" t="str">
        <v>EUR_YCSTDRH_FUT3MZ5</v>
      </c>
      <c r="AE1776" s="165" t="s">
        <v>1727</v>
      </c>
      <c r="AF1776" s="165">
        <f>_xll.ohObjectCreationTime(AE1776)</f>
        <v>41709.403183865739</v>
      </c>
    </row>
    <row r="1777" spans="30:32" x14ac:dyDescent="0.25">
      <c r="AD1777" s="165" t="str">
        <v>EUR_YCSTDRH_FUT3MZ6</v>
      </c>
      <c r="AE1777" s="165" t="s">
        <v>1729</v>
      </c>
      <c r="AF1777" s="165">
        <f>_xll.ohObjectCreationTime(AE1777)</f>
        <v>41709.403183981478</v>
      </c>
    </row>
    <row r="1778" spans="30:32" x14ac:dyDescent="0.25">
      <c r="AD1778" s="165" t="str">
        <v>EUR_YCSTDRH_FUT3MZ7</v>
      </c>
      <c r="AE1778" s="165" t="s">
        <v>1730</v>
      </c>
      <c r="AF1778" s="165">
        <f>_xll.ohObjectCreationTime(AE1778)</f>
        <v>41709.403184120369</v>
      </c>
    </row>
    <row r="1779" spans="30:32" x14ac:dyDescent="0.25">
      <c r="AD1779" s="165" t="str">
        <v>EUR_YCSTDRH_FUT3MZ8</v>
      </c>
      <c r="AE1779" s="165" t="s">
        <v>1731</v>
      </c>
      <c r="AF1779" s="165">
        <f>_xll.ohObjectCreationTime(AE1779)</f>
        <v>41709.403184236115</v>
      </c>
    </row>
    <row r="1780" spans="30:32" x14ac:dyDescent="0.25">
      <c r="AD1780" s="165" t="str">
        <v>EUR_YCSTDRH_FUT3MZ9</v>
      </c>
      <c r="AE1780" s="165" t="s">
        <v>1732</v>
      </c>
      <c r="AF1780" s="165">
        <f>_xll.ohObjectCreationTime(AE1780)</f>
        <v>41709.403184363429</v>
      </c>
    </row>
    <row r="1781" spans="30:32" x14ac:dyDescent="0.25">
      <c r="AD1781" s="165" t="str">
        <v>EUR_YCSTDRH_OND</v>
      </c>
      <c r="AE1781" s="165" t="s">
        <v>1733</v>
      </c>
      <c r="AF1781" s="165">
        <f>_xll.ohObjectCreationTime(AE1781)</f>
        <v>41709.403184490744</v>
      </c>
    </row>
    <row r="1782" spans="30:32" x14ac:dyDescent="0.25">
      <c r="AD1782" s="165" t="str">
        <v>EUR_YCSTDRH_RateHelpersSelected</v>
      </c>
      <c r="AE1782" s="165" t="s">
        <v>1734</v>
      </c>
      <c r="AF1782" s="165">
        <f>_xll.ohObjectCreationTime(AE1782)</f>
        <v>41709.403184618059</v>
      </c>
    </row>
    <row r="1783" spans="30:32" x14ac:dyDescent="0.25">
      <c r="AD1783" s="165" t="str">
        <v>EUR_YCSTDRH_SND</v>
      </c>
      <c r="AE1783" s="165" t="s">
        <v>1735</v>
      </c>
      <c r="AF1783" s="165">
        <f>_xll.ohObjectCreationTime(AE1783)</f>
        <v>41709.403184745373</v>
      </c>
    </row>
    <row r="1784" spans="30:32" x14ac:dyDescent="0.25">
      <c r="AD1784" s="165" t="str">
        <v>EUR_YCSTDRH_SWD</v>
      </c>
      <c r="AE1784" s="165" t="s">
        <v>1736</v>
      </c>
      <c r="AF1784" s="165">
        <f>_xll.ohObjectCreationTime(AE1784)</f>
        <v>41709.403184861112</v>
      </c>
    </row>
    <row r="1785" spans="30:32" x14ac:dyDescent="0.25">
      <c r="AD1785" s="165" t="str">
        <v>EUR_YCSTDRH_TND</v>
      </c>
      <c r="AE1785" s="165" t="s">
        <v>1737</v>
      </c>
      <c r="AF1785" s="165">
        <f>_xll.ohObjectCreationTime(AE1785)</f>
        <v>41709.403184988427</v>
      </c>
    </row>
    <row r="1786" spans="30:32" x14ac:dyDescent="0.25">
      <c r="AD1786" s="165" t="str">
        <v>obj_00651</v>
      </c>
      <c r="AE1786" s="165" t="s">
        <v>1739</v>
      </c>
      <c r="AF1786" s="165">
        <f>_xll.ohObjectCreationTime(AE1786)</f>
        <v>41709.403185104165</v>
      </c>
    </row>
    <row r="1787" spans="30:32" x14ac:dyDescent="0.25">
      <c r="AD1787" s="165" t="str">
        <v>_EURYC1M</v>
      </c>
      <c r="AE1787" s="165" t="s">
        <v>1740</v>
      </c>
      <c r="AF1787" s="165">
        <f>_xll.ohObjectCreationTime(AE1787)</f>
        <v>41709.40318523148</v>
      </c>
    </row>
    <row r="1788" spans="30:32" x14ac:dyDescent="0.25">
      <c r="AD1788" s="165" t="str">
        <v>_EURYC1Y</v>
      </c>
      <c r="AE1788" s="165" t="s">
        <v>1742</v>
      </c>
      <c r="AF1788" s="165">
        <f>_xll.ohObjectCreationTime(AE1788)</f>
        <v>41709.403185381947</v>
      </c>
    </row>
    <row r="1789" spans="30:32" x14ac:dyDescent="0.25">
      <c r="AD1789" s="165" t="str">
        <v>_EURYC3M</v>
      </c>
      <c r="AE1789" s="165" t="s">
        <v>1744</v>
      </c>
      <c r="AF1789" s="165">
        <f>_xll.ohObjectCreationTime(AE1789)</f>
        <v>41709.403185532406</v>
      </c>
    </row>
    <row r="1790" spans="30:32" x14ac:dyDescent="0.25">
      <c r="AD1790" s="165" t="str">
        <v>_EURYC6M</v>
      </c>
      <c r="AE1790" s="165" t="s">
        <v>1746</v>
      </c>
      <c r="AF1790" s="165">
        <f>_xll.ohObjectCreationTime(AE1790)</f>
        <v>41709.403185694442</v>
      </c>
    </row>
    <row r="1791" spans="30:32" x14ac:dyDescent="0.25">
      <c r="AD1791" s="165" t="str">
        <v>_EURYCON</v>
      </c>
      <c r="AE1791" s="165" t="s">
        <v>1752</v>
      </c>
      <c r="AF1791" s="165">
        <f>_xll.ohObjectCreationTime(AE1791)</f>
        <v>41709.403192048609</v>
      </c>
    </row>
    <row r="1792" spans="30:32" x14ac:dyDescent="0.25">
      <c r="AD1792" s="165" t="str">
        <v>_EURYCSTD</v>
      </c>
      <c r="AE1792" s="165" t="s">
        <v>2108</v>
      </c>
      <c r="AF1792" s="165">
        <f>_xll.ohObjectCreationTime(AE1792)</f>
        <v>41709.403192488426</v>
      </c>
    </row>
    <row r="1793" spans="30:30" x14ac:dyDescent="0.25">
      <c r="AD1793" s="165" t="e">
        <v>#N/A</v>
      </c>
    </row>
    <row r="1794" spans="30:30" x14ac:dyDescent="0.25">
      <c r="AD1794" s="165" t="e">
        <v>#N/A</v>
      </c>
    </row>
    <row r="1795" spans="30:30" x14ac:dyDescent="0.25">
      <c r="AD1795" s="165" t="e">
        <v>#N/A</v>
      </c>
    </row>
    <row r="1796" spans="30:30" x14ac:dyDescent="0.25">
      <c r="AD1796" s="165" t="e">
        <v>#N/A</v>
      </c>
    </row>
    <row r="1797" spans="30:30" x14ac:dyDescent="0.25">
      <c r="AD1797" s="165" t="e">
        <v>#N/A</v>
      </c>
    </row>
    <row r="1798" spans="30:30" x14ac:dyDescent="0.25">
      <c r="AD1798" s="165" t="e">
        <v>#N/A</v>
      </c>
    </row>
    <row r="1799" spans="30:30" x14ac:dyDescent="0.25">
      <c r="AD1799" s="165" t="e">
        <v>#N/A</v>
      </c>
    </row>
    <row r="1800" spans="30:30" x14ac:dyDescent="0.25">
      <c r="AD1800" s="165" t="e">
        <v>#N/A</v>
      </c>
    </row>
    <row r="1801" spans="30:30" x14ac:dyDescent="0.25">
      <c r="AD1801" s="165" t="e">
        <v>#N/A</v>
      </c>
    </row>
    <row r="1802" spans="30:30" x14ac:dyDescent="0.25">
      <c r="AD1802" s="165" t="e">
        <v>#N/A</v>
      </c>
    </row>
    <row r="1803" spans="30:30" x14ac:dyDescent="0.25">
      <c r="AD1803" s="165" t="e">
        <v>#N/A</v>
      </c>
    </row>
    <row r="1804" spans="30:30" x14ac:dyDescent="0.25">
      <c r="AD1804" s="165" t="e">
        <v>#N/A</v>
      </c>
    </row>
    <row r="1805" spans="30:30" x14ac:dyDescent="0.25">
      <c r="AD1805" s="165" t="e">
        <v>#N/A</v>
      </c>
    </row>
    <row r="1806" spans="30:30" x14ac:dyDescent="0.25">
      <c r="AD1806" s="165" t="e">
        <v>#N/A</v>
      </c>
    </row>
    <row r="1807" spans="30:30" x14ac:dyDescent="0.25">
      <c r="AD1807" s="165" t="e">
        <v>#N/A</v>
      </c>
    </row>
    <row r="1808" spans="30:30" x14ac:dyDescent="0.25">
      <c r="AD1808" s="165" t="e">
        <v>#N/A</v>
      </c>
    </row>
    <row r="1809" spans="30:30" x14ac:dyDescent="0.25">
      <c r="AD1809" s="165" t="e">
        <v>#N/A</v>
      </c>
    </row>
    <row r="1810" spans="30:30" x14ac:dyDescent="0.25">
      <c r="AD1810" s="165" t="e">
        <v>#N/A</v>
      </c>
    </row>
    <row r="1811" spans="30:30" x14ac:dyDescent="0.25">
      <c r="AD1811" s="165" t="e">
        <v>#N/A</v>
      </c>
    </row>
    <row r="1812" spans="30:30" x14ac:dyDescent="0.25">
      <c r="AD1812" s="165" t="e">
        <v>#N/A</v>
      </c>
    </row>
    <row r="1813" spans="30:30" x14ac:dyDescent="0.25">
      <c r="AD1813" s="165" t="e">
        <v>#N/A</v>
      </c>
    </row>
    <row r="1814" spans="30:30" x14ac:dyDescent="0.25">
      <c r="AD1814" s="165" t="e">
        <v>#N/A</v>
      </c>
    </row>
    <row r="1815" spans="30:30" x14ac:dyDescent="0.25">
      <c r="AD1815" s="165" t="e">
        <v>#N/A</v>
      </c>
    </row>
    <row r="1816" spans="30:30" x14ac:dyDescent="0.25">
      <c r="AD1816" s="165" t="e">
        <v>#N/A</v>
      </c>
    </row>
    <row r="1817" spans="30:30" x14ac:dyDescent="0.25">
      <c r="AD1817" s="165" t="e">
        <v>#N/A</v>
      </c>
    </row>
    <row r="1818" spans="30:30" x14ac:dyDescent="0.25">
      <c r="AD1818" s="165" t="e">
        <v>#N/A</v>
      </c>
    </row>
    <row r="1819" spans="30:30" x14ac:dyDescent="0.25">
      <c r="AD1819" s="165" t="e">
        <v>#N/A</v>
      </c>
    </row>
    <row r="1820" spans="30:30" x14ac:dyDescent="0.25">
      <c r="AD1820" s="165" t="e">
        <v>#N/A</v>
      </c>
    </row>
    <row r="1821" spans="30:30" x14ac:dyDescent="0.25">
      <c r="AD1821" s="165" t="e">
        <v>#N/A</v>
      </c>
    </row>
    <row r="1822" spans="30:30" x14ac:dyDescent="0.25">
      <c r="AD1822" s="165" t="e">
        <v>#N/A</v>
      </c>
    </row>
    <row r="1823" spans="30:30" x14ac:dyDescent="0.25">
      <c r="AD1823" s="165" t="e">
        <v>#N/A</v>
      </c>
    </row>
    <row r="1824" spans="30:30" x14ac:dyDescent="0.25">
      <c r="AD1824" s="165" t="e">
        <v>#N/A</v>
      </c>
    </row>
    <row r="1825" spans="30:30" x14ac:dyDescent="0.25">
      <c r="AD1825" s="165" t="e">
        <v>#N/A</v>
      </c>
    </row>
    <row r="1826" spans="30:30" x14ac:dyDescent="0.25">
      <c r="AD1826" s="165" t="e">
        <v>#N/A</v>
      </c>
    </row>
    <row r="1827" spans="30:30" x14ac:dyDescent="0.25">
      <c r="AD1827" s="165" t="e">
        <v>#N/A</v>
      </c>
    </row>
    <row r="1828" spans="30:30" x14ac:dyDescent="0.25">
      <c r="AD1828" s="165" t="e">
        <v>#N/A</v>
      </c>
    </row>
    <row r="1829" spans="30:30" x14ac:dyDescent="0.25">
      <c r="AD1829" s="165" t="e">
        <v>#N/A</v>
      </c>
    </row>
    <row r="1830" spans="30:30" x14ac:dyDescent="0.25">
      <c r="AD1830" s="165" t="e">
        <v>#N/A</v>
      </c>
    </row>
    <row r="1831" spans="30:30" x14ac:dyDescent="0.25">
      <c r="AD1831" s="165" t="e">
        <v>#N/A</v>
      </c>
    </row>
    <row r="1832" spans="30:30" x14ac:dyDescent="0.25">
      <c r="AD1832" s="165" t="e">
        <v>#N/A</v>
      </c>
    </row>
    <row r="1833" spans="30:30" x14ac:dyDescent="0.25">
      <c r="AD1833" s="165" t="e">
        <v>#N/A</v>
      </c>
    </row>
    <row r="1834" spans="30:30" x14ac:dyDescent="0.25">
      <c r="AD1834" s="165" t="e">
        <v>#N/A</v>
      </c>
    </row>
    <row r="1835" spans="30:30" x14ac:dyDescent="0.25">
      <c r="AD1835" s="165" t="e">
        <v>#N/A</v>
      </c>
    </row>
    <row r="1836" spans="30:30" x14ac:dyDescent="0.25">
      <c r="AD1836" s="165" t="e">
        <v>#N/A</v>
      </c>
    </row>
    <row r="1837" spans="30:30" x14ac:dyDescent="0.25">
      <c r="AD1837" s="165" t="e">
        <v>#N/A</v>
      </c>
    </row>
    <row r="1838" spans="30:30" x14ac:dyDescent="0.25">
      <c r="AD1838" s="165" t="e">
        <v>#N/A</v>
      </c>
    </row>
    <row r="1839" spans="30:30" x14ac:dyDescent="0.25">
      <c r="AD1839" s="165" t="e">
        <v>#N/A</v>
      </c>
    </row>
    <row r="1840" spans="30:30" x14ac:dyDescent="0.25">
      <c r="AD1840" s="165" t="e">
        <v>#N/A</v>
      </c>
    </row>
    <row r="1841" spans="30:30" x14ac:dyDescent="0.25">
      <c r="AD1841" s="165" t="e">
        <v>#N/A</v>
      </c>
    </row>
    <row r="1842" spans="30:30" x14ac:dyDescent="0.25">
      <c r="AD1842" s="165" t="e">
        <v>#N/A</v>
      </c>
    </row>
    <row r="1843" spans="30:30" x14ac:dyDescent="0.25">
      <c r="AD1843" s="165" t="e">
        <v>#N/A</v>
      </c>
    </row>
    <row r="1844" spans="30:30" x14ac:dyDescent="0.25">
      <c r="AD1844" s="165" t="e">
        <v>#N/A</v>
      </c>
    </row>
    <row r="1845" spans="30:30" x14ac:dyDescent="0.25">
      <c r="AD1845" s="165" t="e">
        <v>#N/A</v>
      </c>
    </row>
    <row r="1846" spans="30:30" x14ac:dyDescent="0.25">
      <c r="AD1846" s="165" t="e">
        <v>#N/A</v>
      </c>
    </row>
    <row r="1847" spans="30:30" x14ac:dyDescent="0.25">
      <c r="AD1847" s="165" t="e">
        <v>#N/A</v>
      </c>
    </row>
    <row r="1848" spans="30:30" x14ac:dyDescent="0.25">
      <c r="AD1848" s="165" t="e">
        <v>#N/A</v>
      </c>
    </row>
    <row r="1849" spans="30:30" x14ac:dyDescent="0.25">
      <c r="AD1849" s="165" t="e">
        <v>#N/A</v>
      </c>
    </row>
    <row r="1850" spans="30:30" x14ac:dyDescent="0.25">
      <c r="AD1850" s="165" t="e">
        <v>#N/A</v>
      </c>
    </row>
    <row r="1851" spans="30:30" x14ac:dyDescent="0.25">
      <c r="AD1851" s="165" t="e">
        <v>#N/A</v>
      </c>
    </row>
    <row r="1852" spans="30:30" x14ac:dyDescent="0.25">
      <c r="AD1852" s="165" t="e">
        <v>#N/A</v>
      </c>
    </row>
    <row r="1853" spans="30:30" x14ac:dyDescent="0.25">
      <c r="AD1853" s="165" t="e">
        <v>#N/A</v>
      </c>
    </row>
    <row r="1854" spans="30:30" x14ac:dyDescent="0.25">
      <c r="AD1854" s="165" t="e">
        <v>#N/A</v>
      </c>
    </row>
    <row r="1855" spans="30:30" x14ac:dyDescent="0.25">
      <c r="AD1855" s="165" t="e">
        <v>#N/A</v>
      </c>
    </row>
    <row r="1856" spans="30:30" x14ac:dyDescent="0.25">
      <c r="AD1856" s="165" t="e">
        <v>#N/A</v>
      </c>
    </row>
    <row r="1857" spans="30:30" x14ac:dyDescent="0.25">
      <c r="AD1857" s="165" t="e">
        <v>#N/A</v>
      </c>
    </row>
    <row r="1858" spans="30:30" x14ac:dyDescent="0.25">
      <c r="AD1858" s="165" t="e">
        <v>#N/A</v>
      </c>
    </row>
    <row r="1859" spans="30:30" x14ac:dyDescent="0.25">
      <c r="AD1859" s="165" t="e">
        <v>#N/A</v>
      </c>
    </row>
    <row r="1860" spans="30:30" x14ac:dyDescent="0.25">
      <c r="AD1860" s="165" t="e">
        <v>#N/A</v>
      </c>
    </row>
    <row r="1861" spans="30:30" x14ac:dyDescent="0.25">
      <c r="AD1861" s="165" t="e">
        <v>#N/A</v>
      </c>
    </row>
    <row r="1862" spans="30:30" x14ac:dyDescent="0.25">
      <c r="AD1862" s="165" t="e">
        <v>#N/A</v>
      </c>
    </row>
    <row r="1863" spans="30:30" x14ac:dyDescent="0.25">
      <c r="AD1863" s="165" t="e">
        <v>#N/A</v>
      </c>
    </row>
    <row r="1864" spans="30:30" x14ac:dyDescent="0.25">
      <c r="AD1864" s="165" t="e">
        <v>#N/A</v>
      </c>
    </row>
    <row r="1865" spans="30:30" x14ac:dyDescent="0.25">
      <c r="AD1865" s="165" t="e">
        <v>#N/A</v>
      </c>
    </row>
    <row r="1866" spans="30:30" x14ac:dyDescent="0.25">
      <c r="AD1866" s="165" t="e">
        <v>#N/A</v>
      </c>
    </row>
    <row r="1867" spans="30:30" x14ac:dyDescent="0.25">
      <c r="AD1867" s="165" t="e">
        <v>#N/A</v>
      </c>
    </row>
    <row r="1868" spans="30:30" x14ac:dyDescent="0.25">
      <c r="AD1868" s="165" t="e">
        <v>#N/A</v>
      </c>
    </row>
    <row r="1869" spans="30:30" x14ac:dyDescent="0.25">
      <c r="AD1869" s="165" t="e">
        <v>#N/A</v>
      </c>
    </row>
    <row r="1870" spans="30:30" x14ac:dyDescent="0.25">
      <c r="AD1870" s="165" t="e">
        <v>#N/A</v>
      </c>
    </row>
    <row r="1871" spans="30:30" x14ac:dyDescent="0.25">
      <c r="AD1871" s="165" t="e">
        <v>#N/A</v>
      </c>
    </row>
    <row r="1872" spans="30:30" x14ac:dyDescent="0.25">
      <c r="AD1872" s="165" t="e">
        <v>#N/A</v>
      </c>
    </row>
    <row r="1873" spans="30:30" x14ac:dyDescent="0.25">
      <c r="AD1873" s="165" t="e">
        <v>#N/A</v>
      </c>
    </row>
    <row r="1874" spans="30:30" x14ac:dyDescent="0.25">
      <c r="AD1874" s="165" t="e">
        <v>#N/A</v>
      </c>
    </row>
    <row r="1875" spans="30:30" x14ac:dyDescent="0.25">
      <c r="AD1875" s="165" t="e">
        <v>#N/A</v>
      </c>
    </row>
    <row r="1876" spans="30:30" x14ac:dyDescent="0.25">
      <c r="AD1876" s="165" t="e">
        <v>#N/A</v>
      </c>
    </row>
    <row r="1877" spans="30:30" x14ac:dyDescent="0.25">
      <c r="AD1877" s="165" t="e">
        <v>#N/A</v>
      </c>
    </row>
    <row r="1878" spans="30:30" x14ac:dyDescent="0.25">
      <c r="AD1878" s="165" t="e">
        <v>#N/A</v>
      </c>
    </row>
    <row r="1879" spans="30:30" x14ac:dyDescent="0.25">
      <c r="AD1879" s="165" t="e">
        <v>#N/A</v>
      </c>
    </row>
    <row r="1880" spans="30:30" x14ac:dyDescent="0.25">
      <c r="AD1880" s="165" t="e">
        <v>#N/A</v>
      </c>
    </row>
    <row r="1881" spans="30:30" x14ac:dyDescent="0.25">
      <c r="AD1881" s="165" t="e">
        <v>#N/A</v>
      </c>
    </row>
    <row r="1882" spans="30:30" x14ac:dyDescent="0.25">
      <c r="AD1882" s="165" t="e">
        <v>#N/A</v>
      </c>
    </row>
    <row r="1883" spans="30:30" x14ac:dyDescent="0.25">
      <c r="AD1883" s="165" t="e">
        <v>#N/A</v>
      </c>
    </row>
    <row r="1884" spans="30:30" x14ac:dyDescent="0.25">
      <c r="AD1884" s="165" t="e">
        <v>#N/A</v>
      </c>
    </row>
    <row r="1885" spans="30:30" x14ac:dyDescent="0.25">
      <c r="AD1885" s="165" t="e">
        <v>#N/A</v>
      </c>
    </row>
    <row r="1886" spans="30:30" x14ac:dyDescent="0.25">
      <c r="AD1886" s="165" t="e">
        <v>#N/A</v>
      </c>
    </row>
    <row r="1887" spans="30:30" x14ac:dyDescent="0.25">
      <c r="AD1887" s="165" t="e">
        <v>#N/A</v>
      </c>
    </row>
    <row r="1888" spans="30:30" x14ac:dyDescent="0.25">
      <c r="AD1888" s="165" t="e">
        <v>#N/A</v>
      </c>
    </row>
    <row r="1889" spans="30:30" x14ac:dyDescent="0.25">
      <c r="AD1889" s="165" t="e">
        <v>#N/A</v>
      </c>
    </row>
    <row r="1890" spans="30:30" x14ac:dyDescent="0.25">
      <c r="AD1890" s="165" t="e">
        <v>#N/A</v>
      </c>
    </row>
    <row r="1891" spans="30:30" x14ac:dyDescent="0.25">
      <c r="AD1891" s="165" t="e">
        <v>#N/A</v>
      </c>
    </row>
    <row r="1892" spans="30:30" x14ac:dyDescent="0.25">
      <c r="AD1892" s="165" t="e">
        <v>#N/A</v>
      </c>
    </row>
    <row r="1893" spans="30:30" x14ac:dyDescent="0.25">
      <c r="AD1893" s="165" t="e">
        <v>#N/A</v>
      </c>
    </row>
    <row r="1894" spans="30:30" x14ac:dyDescent="0.25">
      <c r="AD1894" s="165" t="e">
        <v>#N/A</v>
      </c>
    </row>
    <row r="1895" spans="30:30" x14ac:dyDescent="0.25">
      <c r="AD1895" s="165" t="e">
        <v>#N/A</v>
      </c>
    </row>
    <row r="1896" spans="30:30" x14ac:dyDescent="0.25">
      <c r="AD1896" s="165" t="e">
        <v>#N/A</v>
      </c>
    </row>
    <row r="1897" spans="30:30" x14ac:dyDescent="0.25">
      <c r="AD1897" s="165" t="e">
        <v>#N/A</v>
      </c>
    </row>
    <row r="1898" spans="30:30" x14ac:dyDescent="0.25">
      <c r="AD1898" s="165" t="e">
        <v>#N/A</v>
      </c>
    </row>
    <row r="1899" spans="30:30" x14ac:dyDescent="0.25">
      <c r="AD1899" s="165" t="e">
        <v>#N/A</v>
      </c>
    </row>
    <row r="1900" spans="30:30" x14ac:dyDescent="0.25">
      <c r="AD1900" s="165" t="e">
        <v>#N/A</v>
      </c>
    </row>
    <row r="1901" spans="30:30" x14ac:dyDescent="0.25">
      <c r="AD1901" s="165" t="e">
        <v>#N/A</v>
      </c>
    </row>
    <row r="1902" spans="30:30" x14ac:dyDescent="0.25">
      <c r="AD1902" s="165" t="e">
        <v>#N/A</v>
      </c>
    </row>
    <row r="1903" spans="30:30" x14ac:dyDescent="0.25">
      <c r="AD1903" s="165" t="e">
        <v>#N/A</v>
      </c>
    </row>
    <row r="1904" spans="30:30" x14ac:dyDescent="0.25">
      <c r="AD1904" s="165" t="e">
        <v>#N/A</v>
      </c>
    </row>
    <row r="1905" spans="30:30" x14ac:dyDescent="0.25">
      <c r="AD1905" s="165" t="e">
        <v>#N/A</v>
      </c>
    </row>
    <row r="1906" spans="30:30" x14ac:dyDescent="0.25">
      <c r="AD1906" s="165" t="e">
        <v>#N/A</v>
      </c>
    </row>
    <row r="1907" spans="30:30" x14ac:dyDescent="0.25">
      <c r="AD1907" s="165" t="e">
        <v>#N/A</v>
      </c>
    </row>
    <row r="1908" spans="30:30" x14ac:dyDescent="0.25">
      <c r="AD1908" s="165" t="e">
        <v>#N/A</v>
      </c>
    </row>
    <row r="1909" spans="30:30" x14ac:dyDescent="0.25">
      <c r="AD1909" s="165" t="e">
        <v>#N/A</v>
      </c>
    </row>
    <row r="1910" spans="30:30" x14ac:dyDescent="0.25">
      <c r="AD1910" s="165" t="e">
        <v>#N/A</v>
      </c>
    </row>
    <row r="1911" spans="30:30" x14ac:dyDescent="0.25">
      <c r="AD1911" s="165" t="e">
        <v>#N/A</v>
      </c>
    </row>
    <row r="1912" spans="30:30" x14ac:dyDescent="0.25">
      <c r="AD1912" s="165" t="e">
        <v>#N/A</v>
      </c>
    </row>
    <row r="1913" spans="30:30" x14ac:dyDescent="0.25">
      <c r="AD1913" s="165" t="e">
        <v>#N/A</v>
      </c>
    </row>
    <row r="1914" spans="30:30" x14ac:dyDescent="0.25">
      <c r="AD1914" s="165" t="e">
        <v>#N/A</v>
      </c>
    </row>
    <row r="1915" spans="30:30" x14ac:dyDescent="0.25">
      <c r="AD1915" s="165" t="e">
        <v>#N/A</v>
      </c>
    </row>
    <row r="1916" spans="30:30" x14ac:dyDescent="0.25">
      <c r="AD1916" s="165" t="e">
        <v>#N/A</v>
      </c>
    </row>
    <row r="1917" spans="30:30" x14ac:dyDescent="0.25">
      <c r="AD1917" s="165" t="e">
        <v>#N/A</v>
      </c>
    </row>
    <row r="1918" spans="30:30" x14ac:dyDescent="0.25">
      <c r="AD1918" s="165" t="e">
        <v>#N/A</v>
      </c>
    </row>
    <row r="1919" spans="30:30" x14ac:dyDescent="0.25">
      <c r="AD1919" s="165" t="e">
        <v>#N/A</v>
      </c>
    </row>
    <row r="1920" spans="30:30" x14ac:dyDescent="0.25">
      <c r="AD1920" s="165" t="e">
        <v>#N/A</v>
      </c>
    </row>
    <row r="1921" spans="30:30" x14ac:dyDescent="0.25">
      <c r="AD1921" s="165" t="e">
        <v>#N/A</v>
      </c>
    </row>
    <row r="1922" spans="30:30" x14ac:dyDescent="0.25">
      <c r="AD1922" s="165" t="e">
        <v>#N/A</v>
      </c>
    </row>
    <row r="1923" spans="30:30" x14ac:dyDescent="0.25">
      <c r="AD1923" s="165" t="e">
        <v>#N/A</v>
      </c>
    </row>
    <row r="1924" spans="30:30" x14ac:dyDescent="0.25">
      <c r="AD1924" s="165" t="e">
        <v>#N/A</v>
      </c>
    </row>
    <row r="1925" spans="30:30" x14ac:dyDescent="0.25">
      <c r="AD1925" s="165" t="e">
        <v>#N/A</v>
      </c>
    </row>
    <row r="1926" spans="30:30" x14ac:dyDescent="0.25">
      <c r="AD1926" s="165" t="e">
        <v>#N/A</v>
      </c>
    </row>
    <row r="1927" spans="30:30" x14ac:dyDescent="0.25">
      <c r="AD1927" s="165" t="e">
        <v>#N/A</v>
      </c>
    </row>
    <row r="1928" spans="30:30" x14ac:dyDescent="0.25">
      <c r="AD1928" s="165" t="e">
        <v>#N/A</v>
      </c>
    </row>
    <row r="1929" spans="30:30" x14ac:dyDescent="0.25">
      <c r="AD1929" s="165" t="e">
        <v>#N/A</v>
      </c>
    </row>
    <row r="1930" spans="30:30" x14ac:dyDescent="0.25">
      <c r="AD1930" s="165" t="e">
        <v>#N/A</v>
      </c>
    </row>
    <row r="1931" spans="30:30" x14ac:dyDescent="0.25">
      <c r="AD1931" s="165" t="e">
        <v>#N/A</v>
      </c>
    </row>
    <row r="1932" spans="30:30" x14ac:dyDescent="0.25">
      <c r="AD1932" s="165" t="e">
        <v>#N/A</v>
      </c>
    </row>
    <row r="1933" spans="30:30" x14ac:dyDescent="0.25">
      <c r="AD1933" s="165" t="e">
        <v>#N/A</v>
      </c>
    </row>
    <row r="1934" spans="30:30" x14ac:dyDescent="0.25">
      <c r="AD1934" s="165" t="e">
        <v>#N/A</v>
      </c>
    </row>
    <row r="1935" spans="30:30" x14ac:dyDescent="0.25">
      <c r="AD1935" s="165" t="e">
        <v>#N/A</v>
      </c>
    </row>
    <row r="1936" spans="30:30" x14ac:dyDescent="0.25">
      <c r="AD1936" s="165" t="e">
        <v>#N/A</v>
      </c>
    </row>
    <row r="1937" spans="30:30" x14ac:dyDescent="0.25">
      <c r="AD1937" s="165" t="e">
        <v>#N/A</v>
      </c>
    </row>
    <row r="1938" spans="30:30" x14ac:dyDescent="0.25">
      <c r="AD1938" s="165" t="e">
        <v>#N/A</v>
      </c>
    </row>
    <row r="1939" spans="30:30" x14ac:dyDescent="0.25">
      <c r="AD1939" s="165" t="e">
        <v>#N/A</v>
      </c>
    </row>
    <row r="1940" spans="30:30" x14ac:dyDescent="0.25">
      <c r="AD1940" s="165" t="e">
        <v>#N/A</v>
      </c>
    </row>
    <row r="1941" spans="30:30" x14ac:dyDescent="0.25">
      <c r="AD1941" s="165" t="e">
        <v>#N/A</v>
      </c>
    </row>
    <row r="1942" spans="30:30" x14ac:dyDescent="0.25">
      <c r="AD1942" s="165" t="e">
        <v>#N/A</v>
      </c>
    </row>
    <row r="1943" spans="30:30" x14ac:dyDescent="0.25">
      <c r="AD1943" s="165" t="e">
        <v>#N/A</v>
      </c>
    </row>
    <row r="1944" spans="30:30" x14ac:dyDescent="0.25">
      <c r="AD1944" s="165" t="e">
        <v>#N/A</v>
      </c>
    </row>
    <row r="1945" spans="30:30" x14ac:dyDescent="0.25">
      <c r="AD1945" s="165" t="e">
        <v>#N/A</v>
      </c>
    </row>
    <row r="1946" spans="30:30" x14ac:dyDescent="0.25">
      <c r="AD1946" s="165" t="e">
        <v>#N/A</v>
      </c>
    </row>
    <row r="1947" spans="30:30" x14ac:dyDescent="0.25">
      <c r="AD1947" s="165" t="e">
        <v>#N/A</v>
      </c>
    </row>
    <row r="1948" spans="30:30" x14ac:dyDescent="0.25">
      <c r="AD1948" s="165" t="e">
        <v>#N/A</v>
      </c>
    </row>
    <row r="1949" spans="30:30" x14ac:dyDescent="0.25">
      <c r="AD1949" s="165" t="e">
        <v>#N/A</v>
      </c>
    </row>
    <row r="1950" spans="30:30" x14ac:dyDescent="0.25">
      <c r="AD1950" s="165" t="e">
        <v>#N/A</v>
      </c>
    </row>
    <row r="1951" spans="30:30" x14ac:dyDescent="0.25">
      <c r="AD1951" s="165" t="e">
        <v>#N/A</v>
      </c>
    </row>
    <row r="1952" spans="30:30" x14ac:dyDescent="0.25">
      <c r="AD1952" s="165" t="e">
        <v>#N/A</v>
      </c>
    </row>
    <row r="1953" spans="30:30" x14ac:dyDescent="0.25">
      <c r="AD1953" s="165" t="e">
        <v>#N/A</v>
      </c>
    </row>
    <row r="1954" spans="30:30" x14ac:dyDescent="0.25">
      <c r="AD1954" s="165" t="e">
        <v>#N/A</v>
      </c>
    </row>
    <row r="1955" spans="30:30" x14ac:dyDescent="0.25">
      <c r="AD1955" s="165" t="e">
        <v>#N/A</v>
      </c>
    </row>
    <row r="1956" spans="30:30" x14ac:dyDescent="0.25">
      <c r="AD1956" s="165" t="e">
        <v>#N/A</v>
      </c>
    </row>
    <row r="1957" spans="30:30" x14ac:dyDescent="0.25">
      <c r="AD1957" s="165" t="e">
        <v>#N/A</v>
      </c>
    </row>
    <row r="1958" spans="30:30" x14ac:dyDescent="0.25">
      <c r="AD1958" s="165" t="e">
        <v>#N/A</v>
      </c>
    </row>
    <row r="1959" spans="30:30" x14ac:dyDescent="0.25">
      <c r="AD1959" s="165" t="e">
        <v>#N/A</v>
      </c>
    </row>
    <row r="1960" spans="30:30" x14ac:dyDescent="0.25">
      <c r="AD1960" s="165" t="e">
        <v>#N/A</v>
      </c>
    </row>
    <row r="1961" spans="30:30" x14ac:dyDescent="0.25">
      <c r="AD1961" s="165" t="e">
        <v>#N/A</v>
      </c>
    </row>
    <row r="1962" spans="30:30" x14ac:dyDescent="0.25">
      <c r="AD1962" s="165" t="e">
        <v>#N/A</v>
      </c>
    </row>
    <row r="1963" spans="30:30" x14ac:dyDescent="0.25">
      <c r="AD1963" s="165" t="e">
        <v>#N/A</v>
      </c>
    </row>
    <row r="1964" spans="30:30" x14ac:dyDescent="0.25">
      <c r="AD1964" s="165" t="e">
        <v>#N/A</v>
      </c>
    </row>
    <row r="1965" spans="30:30" x14ac:dyDescent="0.25">
      <c r="AD1965" s="165" t="e">
        <v>#N/A</v>
      </c>
    </row>
    <row r="1966" spans="30:30" x14ac:dyDescent="0.25">
      <c r="AD1966" s="165" t="e">
        <v>#N/A</v>
      </c>
    </row>
    <row r="1967" spans="30:30" x14ac:dyDescent="0.25">
      <c r="AD1967" s="165" t="e">
        <v>#N/A</v>
      </c>
    </row>
    <row r="1968" spans="30:30" x14ac:dyDescent="0.25">
      <c r="AD1968" s="165" t="e">
        <v>#N/A</v>
      </c>
    </row>
    <row r="1969" spans="30:30" x14ac:dyDescent="0.25">
      <c r="AD1969" s="165" t="e">
        <v>#N/A</v>
      </c>
    </row>
    <row r="1970" spans="30:30" x14ac:dyDescent="0.25">
      <c r="AD1970" s="165" t="e">
        <v>#N/A</v>
      </c>
    </row>
    <row r="1971" spans="30:30" x14ac:dyDescent="0.25">
      <c r="AD1971" s="165" t="e">
        <v>#N/A</v>
      </c>
    </row>
    <row r="1972" spans="30:30" x14ac:dyDescent="0.25">
      <c r="AD1972" s="165" t="e">
        <v>#N/A</v>
      </c>
    </row>
    <row r="1973" spans="30:30" x14ac:dyDescent="0.25">
      <c r="AD1973" s="165" t="e">
        <v>#N/A</v>
      </c>
    </row>
    <row r="1974" spans="30:30" x14ac:dyDescent="0.25">
      <c r="AD1974" s="165" t="e">
        <v>#N/A</v>
      </c>
    </row>
    <row r="1975" spans="30:30" x14ac:dyDescent="0.25">
      <c r="AD1975" s="165" t="e">
        <v>#N/A</v>
      </c>
    </row>
    <row r="1976" spans="30:30" x14ac:dyDescent="0.25">
      <c r="AD1976" s="165" t="e">
        <v>#N/A</v>
      </c>
    </row>
    <row r="1977" spans="30:30" x14ac:dyDescent="0.25">
      <c r="AD1977" s="165" t="e">
        <v>#N/A</v>
      </c>
    </row>
    <row r="1978" spans="30:30" x14ac:dyDescent="0.25">
      <c r="AD1978" s="165" t="e">
        <v>#N/A</v>
      </c>
    </row>
    <row r="1979" spans="30:30" x14ac:dyDescent="0.25">
      <c r="AD1979" s="165" t="e">
        <v>#N/A</v>
      </c>
    </row>
    <row r="1980" spans="30:30" x14ac:dyDescent="0.25">
      <c r="AD1980" s="165" t="e">
        <v>#N/A</v>
      </c>
    </row>
    <row r="1981" spans="30:30" x14ac:dyDescent="0.25">
      <c r="AD1981" s="165" t="e">
        <v>#N/A</v>
      </c>
    </row>
    <row r="1982" spans="30:30" x14ac:dyDescent="0.25">
      <c r="AD1982" s="165" t="e">
        <v>#N/A</v>
      </c>
    </row>
    <row r="1983" spans="30:30" x14ac:dyDescent="0.25">
      <c r="AD1983" s="165" t="e">
        <v>#N/A</v>
      </c>
    </row>
    <row r="1984" spans="30:30" x14ac:dyDescent="0.25">
      <c r="AD1984" s="165" t="e">
        <v>#N/A</v>
      </c>
    </row>
    <row r="1985" spans="30:30" x14ac:dyDescent="0.25">
      <c r="AD1985" s="165" t="e">
        <v>#N/A</v>
      </c>
    </row>
    <row r="1986" spans="30:30" x14ac:dyDescent="0.25">
      <c r="AD1986" s="165" t="e">
        <v>#N/A</v>
      </c>
    </row>
    <row r="1987" spans="30:30" x14ac:dyDescent="0.25">
      <c r="AD1987" s="165" t="e">
        <v>#N/A</v>
      </c>
    </row>
    <row r="1988" spans="30:30" x14ac:dyDescent="0.25">
      <c r="AD1988" s="165" t="e">
        <v>#N/A</v>
      </c>
    </row>
    <row r="1989" spans="30:30" x14ac:dyDescent="0.25">
      <c r="AD1989" s="165" t="e">
        <v>#N/A</v>
      </c>
    </row>
    <row r="1990" spans="30:30" x14ac:dyDescent="0.25">
      <c r="AD1990" s="165" t="e">
        <v>#N/A</v>
      </c>
    </row>
    <row r="1991" spans="30:30" x14ac:dyDescent="0.25">
      <c r="AD1991" s="165" t="e">
        <v>#N/A</v>
      </c>
    </row>
    <row r="1992" spans="30:30" x14ac:dyDescent="0.25">
      <c r="AD1992" s="165" t="e">
        <v>#N/A</v>
      </c>
    </row>
    <row r="1993" spans="30:30" x14ac:dyDescent="0.25">
      <c r="AD1993" s="165" t="e">
        <v>#N/A</v>
      </c>
    </row>
    <row r="1994" spans="30:30" x14ac:dyDescent="0.25">
      <c r="AD1994" s="165" t="e">
        <v>#N/A</v>
      </c>
    </row>
    <row r="1995" spans="30:30" x14ac:dyDescent="0.25">
      <c r="AD1995" s="165" t="e">
        <v>#N/A</v>
      </c>
    </row>
    <row r="1996" spans="30:30" x14ac:dyDescent="0.25">
      <c r="AD1996" s="165" t="e">
        <v>#N/A</v>
      </c>
    </row>
    <row r="1997" spans="30:30" x14ac:dyDescent="0.25">
      <c r="AD1997" s="165" t="e">
        <v>#N/A</v>
      </c>
    </row>
    <row r="1998" spans="30:30" x14ac:dyDescent="0.25">
      <c r="AD1998" s="165" t="e">
        <v>#N/A</v>
      </c>
    </row>
    <row r="1999" spans="30:30" x14ac:dyDescent="0.25">
      <c r="AD1999" s="165" t="e">
        <v>#N/A</v>
      </c>
    </row>
    <row r="2000" spans="30:30" x14ac:dyDescent="0.25">
      <c r="AD2000" s="165" t="e">
        <v>#N/A</v>
      </c>
    </row>
  </sheetData>
  <sortState ref="AE1:AF1792">
    <sortCondition ref="AF1:AF1792"/>
  </sortState>
  <dataValidations disablePrompts="1"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x14ac:dyDescent="0.2">
      <c r="J1" s="315" t="s">
        <v>293</v>
      </c>
      <c r="K1" s="199"/>
      <c r="L1" s="199"/>
      <c r="M1" s="199"/>
      <c r="N1" s="199"/>
      <c r="O1" s="199"/>
      <c r="P1" s="199"/>
      <c r="Q1" s="199"/>
      <c r="R1" s="199"/>
      <c r="S1" s="199"/>
      <c r="T1" s="199"/>
      <c r="U1" s="199"/>
      <c r="V1" s="199"/>
      <c r="W1" s="199"/>
      <c r="X1" s="199"/>
      <c r="Y1" s="199"/>
      <c r="Z1" s="196"/>
    </row>
    <row r="2" spans="1:28" ht="13.5" thickBot="1" x14ac:dyDescent="0.25">
      <c r="J2" s="287"/>
      <c r="K2" s="253"/>
      <c r="L2" s="253"/>
      <c r="M2" s="253"/>
      <c r="N2" s="253"/>
      <c r="O2" s="144" t="s">
        <v>222</v>
      </c>
      <c r="P2" s="253"/>
      <c r="Q2" s="253"/>
      <c r="R2" s="253"/>
      <c r="S2" s="253"/>
      <c r="T2" s="137"/>
      <c r="U2" s="253"/>
      <c r="V2" s="253"/>
      <c r="W2" s="253"/>
      <c r="X2" s="253"/>
      <c r="Y2" s="253"/>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1</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69"/>
      <c r="L4" s="194"/>
      <c r="M4" s="194"/>
      <c r="N4" s="194"/>
      <c r="O4" s="283" t="e">
        <f ca="1">_xll.RData(O5:O15,P4:S4,,ReutersRtMode,,P5)</f>
        <v>#NAME?</v>
      </c>
      <c r="P4" s="313" t="s">
        <v>243</v>
      </c>
      <c r="Q4" s="313" t="s">
        <v>212</v>
      </c>
      <c r="R4" s="313" t="s">
        <v>227</v>
      </c>
      <c r="S4" s="313" t="s">
        <v>242</v>
      </c>
      <c r="T4" s="279" t="s">
        <v>241</v>
      </c>
      <c r="U4" s="253"/>
      <c r="V4" s="281" t="s">
        <v>239</v>
      </c>
      <c r="W4" s="253"/>
      <c r="X4" s="406" t="s">
        <v>237</v>
      </c>
      <c r="Y4" s="94" t="s">
        <v>236</v>
      </c>
      <c r="Z4" s="217"/>
      <c r="AB4" s="312" t="s">
        <v>240</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EUR2X1S_Quote#0000</v>
      </c>
      <c r="G5" s="22" t="str">
        <f>_xll.ohRangeRetrieveError(F5)</f>
        <v/>
      </c>
      <c r="H5" s="49"/>
      <c r="J5" s="122"/>
      <c r="K5" s="260"/>
      <c r="L5" s="298">
        <v>2</v>
      </c>
      <c r="M5" s="298" t="s">
        <v>181</v>
      </c>
      <c r="N5" s="263" t="str">
        <f t="shared" ref="N5:N15" si="1">Currency&amp;$L5&amp;$M5&amp;$K5</f>
        <v>EUR2X1S</v>
      </c>
      <c r="O5" s="263" t="str">
        <f t="array" ref="O5:O15">Instruments&amp;"="&amp;VLOOKUP(Contributor,ContributorTable,2,FALSE)</f>
        <v>EUR2X1S=ICAP</v>
      </c>
      <c r="P5" s="299">
        <v>0.111</v>
      </c>
      <c r="Q5" s="299">
        <v>0.161</v>
      </c>
      <c r="R5" s="299">
        <v>0</v>
      </c>
      <c r="S5" s="299">
        <v>0</v>
      </c>
      <c r="T5" s="368">
        <f>_xll.qlMidSafe($P5,$Q5)</f>
        <v>0.13600000000000001</v>
      </c>
      <c r="U5" s="253"/>
      <c r="V5" s="261">
        <v>0.13600000000000001</v>
      </c>
      <c r="W5" s="253"/>
      <c r="X5" s="324">
        <f t="array" ref="X5:X15">QuoteStatic</f>
        <v>0.13600000000000001</v>
      </c>
      <c r="Y5" s="258" t="e">
        <f>_xll.qlSimpleQuoteSetValue(F5,X5/100,Trigger)</f>
        <v>#N/A</v>
      </c>
      <c r="Z5" s="217"/>
      <c r="AB5" s="290">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EUR3X1S_Quote#0000</v>
      </c>
      <c r="G6" s="30" t="str">
        <f>_xll.ohRangeRetrieveError(F6)</f>
        <v/>
      </c>
      <c r="H6" s="49"/>
      <c r="J6" s="122"/>
      <c r="K6" s="260"/>
      <c r="L6" s="298">
        <v>3</v>
      </c>
      <c r="M6" s="298" t="s">
        <v>181</v>
      </c>
      <c r="N6" s="263" t="str">
        <f t="shared" si="1"/>
        <v>EUR3X1S</v>
      </c>
      <c r="O6" s="263" t="str">
        <v>EUR3X1S=ICAP</v>
      </c>
      <c r="P6" s="299">
        <v>0.11700000000000001</v>
      </c>
      <c r="Q6" s="299">
        <v>0.16700000000000001</v>
      </c>
      <c r="R6" s="299">
        <v>0</v>
      </c>
      <c r="S6" s="299">
        <v>0</v>
      </c>
      <c r="T6" s="368">
        <f>_xll.qlMidSafe($P6,$Q6)</f>
        <v>0.14200000000000002</v>
      </c>
      <c r="U6" s="253"/>
      <c r="V6" s="261">
        <v>0.14200000000000002</v>
      </c>
      <c r="W6" s="253"/>
      <c r="X6" s="324">
        <v>0.14200000000000002</v>
      </c>
      <c r="Y6" s="258" t="e">
        <f>_xll.qlSimpleQuoteSetValue(F6,X6/100,Trigger)</f>
        <v>#N/A</v>
      </c>
      <c r="Z6" s="217"/>
      <c r="AB6" s="290">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EUR4X1S_Quote#0000</v>
      </c>
      <c r="G7" s="30" t="str">
        <f>_xll.ohRangeRetrieveError(F7)</f>
        <v/>
      </c>
      <c r="H7" s="49"/>
      <c r="J7" s="122"/>
      <c r="K7" s="260"/>
      <c r="L7" s="298">
        <v>4</v>
      </c>
      <c r="M7" s="298" t="s">
        <v>181</v>
      </c>
      <c r="N7" s="263" t="str">
        <f t="shared" si="1"/>
        <v>EUR4X1S</v>
      </c>
      <c r="O7" s="263" t="str">
        <v>EUR4X1S=ICAP</v>
      </c>
      <c r="P7" s="299">
        <v>0.121</v>
      </c>
      <c r="Q7" s="299">
        <v>0.17100000000000001</v>
      </c>
      <c r="R7" s="299">
        <v>0</v>
      </c>
      <c r="S7" s="299">
        <v>0</v>
      </c>
      <c r="T7" s="368">
        <f>_xll.qlMidSafe($P7,$Q7)</f>
        <v>0.14600000000000002</v>
      </c>
      <c r="U7" s="253"/>
      <c r="V7" s="261">
        <v>0.14600000000000002</v>
      </c>
      <c r="W7" s="253"/>
      <c r="X7" s="324">
        <v>0.14600000000000002</v>
      </c>
      <c r="Y7" s="258" t="e">
        <f>_xll.qlSimpleQuoteSetValue(F7,X7/100,Trigger)</f>
        <v>#N/A</v>
      </c>
      <c r="Z7" s="217"/>
      <c r="AB7" s="290">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EUR5X1S_Quote#0000</v>
      </c>
      <c r="G8" s="30" t="str">
        <f>_xll.ohRangeRetrieveError(F8)</f>
        <v/>
      </c>
      <c r="H8" s="49"/>
      <c r="J8" s="122"/>
      <c r="K8" s="260"/>
      <c r="L8" s="298">
        <v>5</v>
      </c>
      <c r="M8" s="298" t="s">
        <v>181</v>
      </c>
      <c r="N8" s="263" t="str">
        <f t="shared" si="1"/>
        <v>EUR5X1S</v>
      </c>
      <c r="O8" s="263" t="str">
        <v>EUR5X1S=ICAP</v>
      </c>
      <c r="P8" s="299">
        <v>0.126</v>
      </c>
      <c r="Q8" s="299">
        <v>0.17599999999999999</v>
      </c>
      <c r="R8" s="299">
        <v>0</v>
      </c>
      <c r="S8" s="299">
        <v>0</v>
      </c>
      <c r="T8" s="368">
        <f>_xll.qlMidSafe($P8,$Q8)</f>
        <v>0.151</v>
      </c>
      <c r="U8" s="253"/>
      <c r="V8" s="261">
        <v>0.151</v>
      </c>
      <c r="W8" s="253"/>
      <c r="X8" s="324">
        <v>0.151</v>
      </c>
      <c r="Y8" s="258" t="e">
        <f>_xll.qlSimpleQuoteSetValue(F8,X8/100,Trigger)</f>
        <v>#N/A</v>
      </c>
      <c r="Z8" s="217"/>
      <c r="AB8" s="290">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EUR6X1S_Quote#0000</v>
      </c>
      <c r="G9" s="30" t="str">
        <f>_xll.ohRangeRetrieveError(F9)</f>
        <v/>
      </c>
      <c r="H9" s="49"/>
      <c r="J9" s="122"/>
      <c r="K9" s="260"/>
      <c r="L9" s="298">
        <v>6</v>
      </c>
      <c r="M9" s="298" t="s">
        <v>181</v>
      </c>
      <c r="N9" s="263" t="str">
        <f t="shared" si="1"/>
        <v>EUR6X1S</v>
      </c>
      <c r="O9" s="263" t="str">
        <v>EUR6X1S=ICAP</v>
      </c>
      <c r="P9" s="299">
        <v>0.13300000000000001</v>
      </c>
      <c r="Q9" s="299">
        <v>0.183</v>
      </c>
      <c r="R9" s="299">
        <v>0</v>
      </c>
      <c r="S9" s="299">
        <v>0</v>
      </c>
      <c r="T9" s="368">
        <f>_xll.qlMidSafe($P9,$Q9)</f>
        <v>0.158</v>
      </c>
      <c r="U9" s="253"/>
      <c r="V9" s="261">
        <v>0.158</v>
      </c>
      <c r="W9" s="253"/>
      <c r="X9" s="324">
        <v>0.158</v>
      </c>
      <c r="Y9" s="258" t="e">
        <f>_xll.qlSimpleQuoteSetValue(F9,X9/100,Trigger)</f>
        <v>#N/A</v>
      </c>
      <c r="Z9" s="217"/>
      <c r="AB9" s="290">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EUR7X1S_Quote#0000</v>
      </c>
      <c r="G10" s="30" t="str">
        <f>_xll.ohRangeRetrieveError(F10)</f>
        <v/>
      </c>
      <c r="H10" s="49"/>
      <c r="J10" s="122"/>
      <c r="K10" s="260"/>
      <c r="L10" s="298">
        <v>7</v>
      </c>
      <c r="M10" s="298" t="s">
        <v>181</v>
      </c>
      <c r="N10" s="263" t="str">
        <f t="shared" si="1"/>
        <v>EUR7X1S</v>
      </c>
      <c r="O10" s="263" t="str">
        <v>EUR7X1S=ICAP</v>
      </c>
      <c r="P10" s="299">
        <v>0.13800000000000001</v>
      </c>
      <c r="Q10" s="299">
        <v>0.188</v>
      </c>
      <c r="R10" s="299">
        <v>0</v>
      </c>
      <c r="S10" s="299">
        <v>0</v>
      </c>
      <c r="T10" s="368">
        <f>_xll.qlMidSafe($P10,$Q10)</f>
        <v>0.16300000000000001</v>
      </c>
      <c r="U10" s="253"/>
      <c r="V10" s="261">
        <v>0.16300000000000001</v>
      </c>
      <c r="W10" s="253"/>
      <c r="X10" s="324">
        <v>0.16300000000000001</v>
      </c>
      <c r="Y10" s="258" t="e">
        <f>_xll.qlSimpleQuoteSetValue(F10,X10/100,Trigger)</f>
        <v>#N/A</v>
      </c>
      <c r="Z10" s="217"/>
      <c r="AB10" s="290">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EUR8X1S_Quote#0000</v>
      </c>
      <c r="G11" s="30" t="str">
        <f>_xll.ohRangeRetrieveError(F11)</f>
        <v/>
      </c>
      <c r="H11" s="49"/>
      <c r="J11" s="122"/>
      <c r="K11" s="260"/>
      <c r="L11" s="298">
        <v>8</v>
      </c>
      <c r="M11" s="298" t="s">
        <v>181</v>
      </c>
      <c r="N11" s="263" t="str">
        <f t="shared" si="1"/>
        <v>EUR8X1S</v>
      </c>
      <c r="O11" s="263" t="str">
        <v>EUR8X1S=ICAP</v>
      </c>
      <c r="P11" s="299">
        <v>0.14399999999999999</v>
      </c>
      <c r="Q11" s="299">
        <v>0.19400000000000001</v>
      </c>
      <c r="R11" s="299">
        <v>0</v>
      </c>
      <c r="S11" s="299">
        <v>0</v>
      </c>
      <c r="T11" s="368">
        <f>_xll.qlMidSafe($P11,$Q11)</f>
        <v>0.16899999999999998</v>
      </c>
      <c r="U11" s="253"/>
      <c r="V11" s="261">
        <v>0.16999999999999998</v>
      </c>
      <c r="W11" s="253"/>
      <c r="X11" s="324">
        <v>0.16999999999999998</v>
      </c>
      <c r="Y11" s="258" t="e">
        <f>_xll.qlSimpleQuoteSetValue(F11,X11/100,Trigger)</f>
        <v>#N/A</v>
      </c>
      <c r="Z11" s="217"/>
      <c r="AB11" s="290">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EUR9X1S_Quote#0000</v>
      </c>
      <c r="G12" s="30" t="str">
        <f>_xll.ohRangeRetrieveError(F12)</f>
        <v/>
      </c>
      <c r="H12" s="49"/>
      <c r="J12" s="122"/>
      <c r="K12" s="260"/>
      <c r="L12" s="298">
        <v>9</v>
      </c>
      <c r="M12" s="298" t="s">
        <v>181</v>
      </c>
      <c r="N12" s="263" t="str">
        <f t="shared" si="1"/>
        <v>EUR9X1S</v>
      </c>
      <c r="O12" s="263" t="str">
        <v>EUR9X1S=ICAP</v>
      </c>
      <c r="P12" s="299">
        <v>0.154</v>
      </c>
      <c r="Q12" s="299">
        <v>0.20399999999999999</v>
      </c>
      <c r="R12" s="299">
        <v>0</v>
      </c>
      <c r="S12" s="299">
        <v>0</v>
      </c>
      <c r="T12" s="368">
        <f>_xll.qlMidSafe($P12,$Q12)</f>
        <v>0.17899999999999999</v>
      </c>
      <c r="U12" s="253"/>
      <c r="V12" s="261">
        <v>0.17899999999999999</v>
      </c>
      <c r="W12" s="253"/>
      <c r="X12" s="324">
        <v>0.17899999999999999</v>
      </c>
      <c r="Y12" s="258" t="e">
        <f>_xll.qlSimpleQuoteSetValue(F12,X12/100,Trigger)</f>
        <v>#N/A</v>
      </c>
      <c r="Z12" s="217"/>
      <c r="AB12" s="290">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EUR10X1S_Quote#0000</v>
      </c>
      <c r="G13" s="30" t="str">
        <f>_xll.ohRangeRetrieveError(F13)</f>
        <v/>
      </c>
      <c r="H13" s="49"/>
      <c r="J13" s="122"/>
      <c r="K13" s="260"/>
      <c r="L13" s="298">
        <v>10</v>
      </c>
      <c r="M13" s="298" t="s">
        <v>181</v>
      </c>
      <c r="N13" s="263" t="str">
        <f t="shared" si="1"/>
        <v>EUR10X1S</v>
      </c>
      <c r="O13" s="263" t="str">
        <v>EUR10X1S=ICAP</v>
      </c>
      <c r="P13" s="299">
        <v>0.161</v>
      </c>
      <c r="Q13" s="299">
        <v>0.21099999999999999</v>
      </c>
      <c r="R13" s="299">
        <v>0</v>
      </c>
      <c r="S13" s="299">
        <v>0</v>
      </c>
      <c r="T13" s="368">
        <f>_xll.qlMidSafe($P13,$Q13)</f>
        <v>0.186</v>
      </c>
      <c r="U13" s="253"/>
      <c r="V13" s="261">
        <v>0.186</v>
      </c>
      <c r="W13" s="253"/>
      <c r="X13" s="324">
        <v>0.186</v>
      </c>
      <c r="Y13" s="258" t="e">
        <f>_xll.qlSimpleQuoteSetValue(F13,X13/100,Trigger)</f>
        <v>#N/A</v>
      </c>
      <c r="Z13" s="217"/>
      <c r="AB13" s="290">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EUR11X1S_Quote#0000</v>
      </c>
      <c r="G14" s="30" t="str">
        <f>_xll.ohRangeRetrieveError(F14)</f>
        <v/>
      </c>
      <c r="H14" s="49"/>
      <c r="J14" s="122"/>
      <c r="K14" s="260"/>
      <c r="L14" s="298">
        <v>11</v>
      </c>
      <c r="M14" s="298" t="s">
        <v>181</v>
      </c>
      <c r="N14" s="263" t="str">
        <f t="shared" si="1"/>
        <v>EUR11X1S</v>
      </c>
      <c r="O14" s="263" t="str">
        <v>EUR11X1S=ICAP</v>
      </c>
      <c r="P14" s="299">
        <v>0.17</v>
      </c>
      <c r="Q14" s="299">
        <v>0.22</v>
      </c>
      <c r="R14" s="299">
        <v>0</v>
      </c>
      <c r="S14" s="299">
        <v>0</v>
      </c>
      <c r="T14" s="368">
        <f>_xll.qlMidSafe($P14,$Q14)</f>
        <v>0.19500000000000001</v>
      </c>
      <c r="U14" s="253"/>
      <c r="V14" s="261">
        <v>0.19500000000000001</v>
      </c>
      <c r="W14" s="253"/>
      <c r="X14" s="324">
        <v>0.19500000000000001</v>
      </c>
      <c r="Y14" s="258" t="e">
        <f>_xll.qlSimpleQuoteSetValue(F14,X14/100,Trigger)</f>
        <v>#N/A</v>
      </c>
      <c r="Z14" s="217"/>
      <c r="AB14" s="290">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EUR12X1S_Quote#0000</v>
      </c>
      <c r="G15" s="30" t="str">
        <f>_xll.ohRangeRetrieveError(F15)</f>
        <v/>
      </c>
      <c r="H15" s="49"/>
      <c r="J15" s="122"/>
      <c r="K15" s="252"/>
      <c r="L15" s="303">
        <v>12</v>
      </c>
      <c r="M15" s="303" t="s">
        <v>181</v>
      </c>
      <c r="N15" s="256" t="str">
        <f t="shared" si="1"/>
        <v>EUR12X1S</v>
      </c>
      <c r="O15" s="256" t="str">
        <v>EUR12X1S=ICAP</v>
      </c>
      <c r="P15" s="304">
        <v>0.17899999999999999</v>
      </c>
      <c r="Q15" s="304">
        <v>0.22900000000000001</v>
      </c>
      <c r="R15" s="304">
        <v>0</v>
      </c>
      <c r="S15" s="304">
        <v>0</v>
      </c>
      <c r="T15" s="367">
        <f>_xll.qlMidSafe($P15,$Q15)</f>
        <v>0.20400000000000001</v>
      </c>
      <c r="U15" s="253"/>
      <c r="V15" s="254">
        <v>0.20400000000000001</v>
      </c>
      <c r="W15" s="253"/>
      <c r="X15" s="317">
        <v>0.20400000000000001</v>
      </c>
      <c r="Y15" s="250" t="e">
        <f>_xll.qlSimpleQuoteSetValue(F15,X15/100,Trigger)</f>
        <v>#N/A</v>
      </c>
      <c r="Z15" s="217"/>
      <c r="AB15" s="290">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66"/>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B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18" width="9.140625" style="16"/>
    <col min="19" max="19" width="10.42578125" style="16" customWidth="1"/>
    <col min="20" max="20" width="9.140625" style="16"/>
    <col min="21" max="21" width="2.7109375" style="16" customWidth="1"/>
    <col min="22" max="22" width="9.140625" style="16"/>
    <col min="23" max="23" width="2.7109375" style="16" customWidth="1"/>
    <col min="24" max="25" width="9.140625" style="16"/>
    <col min="26" max="27" width="2.7109375" style="16" customWidth="1"/>
    <col min="28" max="16384" width="9.140625" style="16"/>
  </cols>
  <sheetData>
    <row r="1" spans="1:28" x14ac:dyDescent="0.2">
      <c r="J1" s="315" t="s">
        <v>293</v>
      </c>
      <c r="K1" s="199"/>
      <c r="L1" s="199"/>
      <c r="M1" s="199"/>
      <c r="N1" s="199"/>
      <c r="O1" s="199"/>
      <c r="P1" s="199"/>
      <c r="Q1" s="199"/>
      <c r="R1" s="199"/>
      <c r="S1" s="199"/>
      <c r="T1" s="199"/>
      <c r="U1" s="199"/>
      <c r="V1" s="199"/>
      <c r="W1" s="199"/>
      <c r="X1" s="199"/>
      <c r="Y1" s="199"/>
      <c r="Z1" s="196"/>
    </row>
    <row r="2" spans="1:28" ht="13.5" thickBot="1" x14ac:dyDescent="0.25">
      <c r="J2" s="287"/>
      <c r="K2" s="137"/>
      <c r="L2" s="253"/>
      <c r="M2" s="253"/>
      <c r="N2" s="253"/>
      <c r="O2" s="144" t="s">
        <v>222</v>
      </c>
      <c r="P2" s="253"/>
      <c r="Q2" s="253"/>
      <c r="R2" s="253"/>
      <c r="S2" s="253"/>
      <c r="T2" s="137"/>
      <c r="U2" s="253"/>
      <c r="V2" s="253"/>
      <c r="W2" s="253"/>
      <c r="X2" s="253"/>
      <c r="Y2" s="137"/>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_xll.ohTrigger(Y5:Y11)</f>
        <v>1</v>
      </c>
      <c r="Z3" s="217"/>
    </row>
    <row r="4" spans="1:28"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69"/>
      <c r="L4" s="194"/>
      <c r="M4" s="194"/>
      <c r="N4" s="194"/>
      <c r="O4" s="283" t="e">
        <f ca="1">_xll.RData(O5:O11,P4:S4,,ReutersRtMode,,P5)</f>
        <v>#NAME?</v>
      </c>
      <c r="P4" s="313" t="s">
        <v>243</v>
      </c>
      <c r="Q4" s="313" t="s">
        <v>212</v>
      </c>
      <c r="R4" s="313" t="s">
        <v>227</v>
      </c>
      <c r="S4" s="313" t="s">
        <v>242</v>
      </c>
      <c r="T4" s="279" t="s">
        <v>241</v>
      </c>
      <c r="U4" s="253"/>
      <c r="V4" s="281" t="s">
        <v>239</v>
      </c>
      <c r="W4" s="253"/>
      <c r="X4" s="406" t="s">
        <v>237</v>
      </c>
      <c r="Y4" s="94" t="s">
        <v>236</v>
      </c>
      <c r="Z4" s="217"/>
      <c r="AB4" s="312" t="s">
        <v>240</v>
      </c>
    </row>
    <row r="5" spans="1:28"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EUR1S12_Quote#0000</v>
      </c>
      <c r="G5" s="22" t="str">
        <f>_xll.ohRangeRetrieveError(F5)</f>
        <v/>
      </c>
      <c r="H5" s="49"/>
      <c r="J5" s="122"/>
      <c r="K5" s="260"/>
      <c r="L5" s="298" t="s">
        <v>182</v>
      </c>
      <c r="M5" s="298">
        <v>12</v>
      </c>
      <c r="N5" s="263" t="str">
        <f t="shared" ref="N5:N11" si="1">Currency&amp;$L5&amp;$M5&amp;$K5</f>
        <v>EUR1S12</v>
      </c>
      <c r="O5" s="263" t="str">
        <f t="array" ref="O5:O11">Instruments&amp;"="&amp;VLOOKUP(Contributor,ContributorTable,2,FALSE)</f>
        <v>EUR1S12=ICAP</v>
      </c>
      <c r="P5" s="299">
        <v>0.33500000000000002</v>
      </c>
      <c r="Q5" s="299">
        <v>0.38500000000000001</v>
      </c>
      <c r="R5" s="299">
        <v>0</v>
      </c>
      <c r="S5" s="299">
        <v>0</v>
      </c>
      <c r="T5" s="368">
        <f>_xll.qlMidSafe($P5,$Q5)</f>
        <v>0.36</v>
      </c>
      <c r="U5" s="253"/>
      <c r="V5" s="261">
        <v>0.36</v>
      </c>
      <c r="W5" s="253"/>
      <c r="X5" s="324">
        <f t="array" ref="X5:X11">QuoteStatic</f>
        <v>0.36</v>
      </c>
      <c r="Y5" s="258" t="e">
        <f>_xll.qlSimpleQuoteSetValue(F5,X5/100,Trigger)</f>
        <v>#N/A</v>
      </c>
      <c r="Z5" s="217"/>
      <c r="AB5" s="290">
        <f t="shared" ref="AB5:AB11" si="2">(Q5-T5)/50</f>
        <v>5.0000000000000044E-4</v>
      </c>
    </row>
    <row r="6" spans="1:28" x14ac:dyDescent="0.2">
      <c r="A6" s="122"/>
      <c r="B6" s="200"/>
      <c r="C6" s="106" t="s">
        <v>183</v>
      </c>
      <c r="D6" s="106">
        <v>12</v>
      </c>
      <c r="E6" s="76" t="str">
        <f t="shared" si="0"/>
        <v>EUR2S12_Quote</v>
      </c>
      <c r="F6" s="76" t="str">
        <f>_xll.qlSimpleQuote(Currency&amp;$C6&amp;$D6&amp;$B6&amp;QuoteSuffix,,RateTickValue,Permanent,Trigger,ObjectOverwrite)</f>
        <v>EUR2S12_Quote#0000</v>
      </c>
      <c r="G6" s="30" t="str">
        <f>_xll.ohRangeRetrieveError(F6)</f>
        <v/>
      </c>
      <c r="H6" s="49"/>
      <c r="J6" s="122"/>
      <c r="K6" s="260"/>
      <c r="L6" s="298" t="s">
        <v>183</v>
      </c>
      <c r="M6" s="298">
        <v>12</v>
      </c>
      <c r="N6" s="263" t="str">
        <f t="shared" si="1"/>
        <v>EUR2S12</v>
      </c>
      <c r="O6" s="263" t="str">
        <v>EUR2S12=ICAP</v>
      </c>
      <c r="P6" s="299">
        <v>0.39700000000000002</v>
      </c>
      <c r="Q6" s="299">
        <v>0.44700000000000001</v>
      </c>
      <c r="R6" s="299">
        <v>0</v>
      </c>
      <c r="S6" s="299">
        <v>0</v>
      </c>
      <c r="T6" s="368">
        <f>_xll.qlMidSafe($P6,$Q6)</f>
        <v>0.42200000000000004</v>
      </c>
      <c r="U6" s="253"/>
      <c r="V6" s="261">
        <v>0.42200000000000004</v>
      </c>
      <c r="W6" s="253"/>
      <c r="X6" s="324">
        <v>0.42200000000000004</v>
      </c>
      <c r="Y6" s="258" t="e">
        <f>_xll.qlSimpleQuoteSetValue(F6,X6/100,Trigger)</f>
        <v>#N/A</v>
      </c>
      <c r="Z6" s="217"/>
      <c r="AB6" s="290">
        <f t="shared" si="2"/>
        <v>4.9999999999999936E-4</v>
      </c>
    </row>
    <row r="7" spans="1:28" x14ac:dyDescent="0.2">
      <c r="A7" s="122"/>
      <c r="B7" s="200"/>
      <c r="C7" s="106" t="s">
        <v>185</v>
      </c>
      <c r="D7" s="106">
        <v>12</v>
      </c>
      <c r="E7" s="76" t="str">
        <f t="shared" si="0"/>
        <v>EUR3S12_Quote</v>
      </c>
      <c r="F7" s="76" t="str">
        <f>_xll.qlSimpleQuote(Currency&amp;$C7&amp;$D7&amp;$B7&amp;QuoteSuffix,,RateTickValue,Permanent,Trigger,ObjectOverwrite)</f>
        <v>EUR3S12_Quote#0000</v>
      </c>
      <c r="G7" s="30" t="str">
        <f>_xll.ohRangeRetrieveError(F7)</f>
        <v/>
      </c>
      <c r="H7" s="49"/>
      <c r="J7" s="122"/>
      <c r="K7" s="260"/>
      <c r="L7" s="298" t="s">
        <v>185</v>
      </c>
      <c r="M7" s="298">
        <v>12</v>
      </c>
      <c r="N7" s="263" t="str">
        <f t="shared" si="1"/>
        <v>EUR3S12</v>
      </c>
      <c r="O7" s="263" t="str">
        <v>EUR3S12=ICAP</v>
      </c>
      <c r="P7" s="299">
        <v>0.46100000000000002</v>
      </c>
      <c r="Q7" s="299">
        <v>0.51100000000000001</v>
      </c>
      <c r="R7" s="299">
        <v>0</v>
      </c>
      <c r="S7" s="299">
        <v>0</v>
      </c>
      <c r="T7" s="368">
        <f>_xll.qlMidSafe($P7,$Q7)</f>
        <v>0.48599999999999999</v>
      </c>
      <c r="U7" s="253"/>
      <c r="V7" s="261">
        <v>0.48599999999999999</v>
      </c>
      <c r="W7" s="253"/>
      <c r="X7" s="324">
        <v>0.48599999999999999</v>
      </c>
      <c r="Y7" s="258" t="e">
        <f>_xll.qlSimpleQuoteSetValue(F7,X7/100,Trigger)</f>
        <v>#N/A</v>
      </c>
      <c r="Z7" s="217"/>
      <c r="AB7" s="290">
        <f t="shared" si="2"/>
        <v>5.0000000000000044E-4</v>
      </c>
    </row>
    <row r="8" spans="1:28" x14ac:dyDescent="0.2">
      <c r="A8" s="122"/>
      <c r="B8" s="200"/>
      <c r="C8" s="106" t="s">
        <v>184</v>
      </c>
      <c r="D8" s="106">
        <v>12</v>
      </c>
      <c r="E8" s="76" t="str">
        <f t="shared" si="0"/>
        <v>EUR4S12_Quote</v>
      </c>
      <c r="F8" s="76" t="str">
        <f>_xll.qlSimpleQuote(Currency&amp;$C8&amp;$D8&amp;$B8&amp;QuoteSuffix,,RateTickValue,Permanent,Trigger,ObjectOverwrite)</f>
        <v>EUR4S12_Quote#0000</v>
      </c>
      <c r="G8" s="30" t="str">
        <f>_xll.ohRangeRetrieveError(F8)</f>
        <v/>
      </c>
      <c r="H8" s="49"/>
      <c r="J8" s="122"/>
      <c r="K8" s="260"/>
      <c r="L8" s="298" t="s">
        <v>184</v>
      </c>
      <c r="M8" s="298">
        <v>12</v>
      </c>
      <c r="N8" s="263" t="str">
        <f t="shared" si="1"/>
        <v>EUR4S12</v>
      </c>
      <c r="O8" s="263" t="str">
        <v>EUR4S12=ICAP</v>
      </c>
      <c r="P8" s="299">
        <v>0.52500000000000002</v>
      </c>
      <c r="Q8" s="299">
        <v>0.57499999999999996</v>
      </c>
      <c r="R8" s="299">
        <v>0</v>
      </c>
      <c r="S8" s="299">
        <v>0</v>
      </c>
      <c r="T8" s="368">
        <f>_xll.qlMidSafe($P8,$Q8)</f>
        <v>0.55000000000000004</v>
      </c>
      <c r="U8" s="253"/>
      <c r="V8" s="261">
        <v>0.55000000000000004</v>
      </c>
      <c r="W8" s="253"/>
      <c r="X8" s="324">
        <v>0.55000000000000004</v>
      </c>
      <c r="Y8" s="258" t="e">
        <f>_xll.qlSimpleQuoteSetValue(F8,X8/100,Trigger)</f>
        <v>#N/A</v>
      </c>
      <c r="Z8" s="217"/>
      <c r="AB8" s="290">
        <f t="shared" si="2"/>
        <v>4.9999999999999828E-4</v>
      </c>
    </row>
    <row r="9" spans="1:28" x14ac:dyDescent="0.2">
      <c r="A9" s="122"/>
      <c r="B9" s="200"/>
      <c r="C9" s="106" t="s">
        <v>182</v>
      </c>
      <c r="D9" s="106">
        <v>24</v>
      </c>
      <c r="E9" s="76" t="str">
        <f t="shared" si="0"/>
        <v>EUR1S24_Quote</v>
      </c>
      <c r="F9" s="76" t="str">
        <f>_xll.qlSimpleQuote(Currency&amp;$C9&amp;$D9&amp;$B9&amp;QuoteSuffix,,RateTickValue,Permanent,Trigger,ObjectOverwrite)</f>
        <v>EUR1S24_Quote#0000</v>
      </c>
      <c r="G9" s="30" t="str">
        <f>_xll.ohRangeRetrieveError(F9)</f>
        <v/>
      </c>
      <c r="H9" s="49"/>
      <c r="J9" s="122"/>
      <c r="K9" s="260"/>
      <c r="L9" s="298" t="s">
        <v>182</v>
      </c>
      <c r="M9" s="298">
        <v>24</v>
      </c>
      <c r="N9" s="263" t="str">
        <f t="shared" si="1"/>
        <v>EUR1S24</v>
      </c>
      <c r="O9" s="263" t="str">
        <v>EUR1S24=ICAP</v>
      </c>
      <c r="P9" s="299">
        <v>0.46400000000000002</v>
      </c>
      <c r="Q9" s="299">
        <v>0.51400000000000001</v>
      </c>
      <c r="R9" s="299">
        <v>0</v>
      </c>
      <c r="S9" s="299">
        <v>0</v>
      </c>
      <c r="T9" s="368">
        <f>_xll.qlMidSafe($P9,$Q9)</f>
        <v>0.48899999999999999</v>
      </c>
      <c r="U9" s="253"/>
      <c r="V9" s="261">
        <v>0.48899999999999999</v>
      </c>
      <c r="W9" s="253"/>
      <c r="X9" s="324">
        <v>0.48899999999999999</v>
      </c>
      <c r="Y9" s="258" t="e">
        <f>_xll.qlSimpleQuoteSetValue(F9,X9/100,Trigger)</f>
        <v>#N/A</v>
      </c>
      <c r="Z9" s="217"/>
      <c r="AB9" s="290">
        <f t="shared" si="2"/>
        <v>5.0000000000000044E-4</v>
      </c>
    </row>
    <row r="10" spans="1:28" x14ac:dyDescent="0.2">
      <c r="A10" s="122"/>
      <c r="B10" s="200"/>
      <c r="C10" s="106" t="s">
        <v>183</v>
      </c>
      <c r="D10" s="106">
        <v>24</v>
      </c>
      <c r="E10" s="76" t="str">
        <f t="shared" si="0"/>
        <v>EUR2S24_Quote</v>
      </c>
      <c r="F10" s="76" t="str">
        <f>_xll.qlSimpleQuote(Currency&amp;$C10&amp;$D10&amp;$B10&amp;QuoteSuffix,,RateTickValue,Permanent,Trigger,ObjectOverwrite)</f>
        <v>EUR2S24_Quote#0000</v>
      </c>
      <c r="G10" s="30" t="str">
        <f>_xll.ohRangeRetrieveError(F10)</f>
        <v/>
      </c>
      <c r="H10" s="49"/>
      <c r="J10" s="122"/>
      <c r="K10" s="260"/>
      <c r="L10" s="298" t="s">
        <v>183</v>
      </c>
      <c r="M10" s="298">
        <v>24</v>
      </c>
      <c r="N10" s="263" t="str">
        <f t="shared" si="1"/>
        <v>EUR2S24</v>
      </c>
      <c r="O10" s="263" t="str">
        <v>EUR2S24=ICAP</v>
      </c>
      <c r="P10" s="299">
        <v>0.53300000000000003</v>
      </c>
      <c r="Q10" s="299">
        <v>0.58299999999999996</v>
      </c>
      <c r="R10" s="299">
        <v>0</v>
      </c>
      <c r="S10" s="299">
        <v>0</v>
      </c>
      <c r="T10" s="368">
        <f>_xll.qlMidSafe($P10,$Q10)</f>
        <v>0.55800000000000005</v>
      </c>
      <c r="U10" s="253"/>
      <c r="V10" s="261">
        <v>0.55899999999999994</v>
      </c>
      <c r="W10" s="253"/>
      <c r="X10" s="324">
        <v>0.55899999999999994</v>
      </c>
      <c r="Y10" s="258" t="e">
        <f>_xll.qlSimpleQuoteSetValue(F10,X10/100,Trigger)</f>
        <v>#N/A</v>
      </c>
      <c r="Z10" s="217"/>
      <c r="AB10" s="290">
        <f t="shared" si="2"/>
        <v>4.9999999999999828E-4</v>
      </c>
    </row>
    <row r="11" spans="1:28" x14ac:dyDescent="0.2">
      <c r="A11" s="122"/>
      <c r="B11" s="200"/>
      <c r="C11" s="106" t="s">
        <v>182</v>
      </c>
      <c r="D11" s="106">
        <v>36</v>
      </c>
      <c r="E11" s="76" t="str">
        <f t="shared" si="0"/>
        <v>EUR1S36_Quote</v>
      </c>
      <c r="F11" s="76" t="str">
        <f>_xll.qlSimpleQuote(Currency&amp;$C11&amp;$D11&amp;$B11&amp;QuoteSuffix,,RateTickValue,Permanent,Trigger,ObjectOverwrite)</f>
        <v>EUR1S36_Quote#0000</v>
      </c>
      <c r="G11" s="30" t="str">
        <f>_xll.ohRangeRetrieveError(F11)</f>
        <v/>
      </c>
      <c r="H11" s="49"/>
      <c r="J11" s="122"/>
      <c r="K11" s="252"/>
      <c r="L11" s="303" t="s">
        <v>182</v>
      </c>
      <c r="M11" s="303">
        <v>36</v>
      </c>
      <c r="N11" s="256" t="str">
        <f t="shared" si="1"/>
        <v>EUR1S36</v>
      </c>
      <c r="O11" s="256" t="str">
        <v>EUR1S36=ICAP</v>
      </c>
      <c r="P11" s="304">
        <v>0.63600000000000001</v>
      </c>
      <c r="Q11" s="304">
        <v>0.68600000000000005</v>
      </c>
      <c r="R11" s="304">
        <v>0</v>
      </c>
      <c r="S11" s="304">
        <v>0</v>
      </c>
      <c r="T11" s="367">
        <f>_xll.qlMidSafe($P11,$Q11)</f>
        <v>0.66100000000000003</v>
      </c>
      <c r="U11" s="253"/>
      <c r="V11" s="254">
        <v>0.66100000000000003</v>
      </c>
      <c r="W11" s="253"/>
      <c r="X11" s="317">
        <v>0.66100000000000003</v>
      </c>
      <c r="Y11" s="250" t="e">
        <f>_xll.qlSimpleQuoteSetValue(F11,X11/100,Trigger)</f>
        <v>#N/A</v>
      </c>
      <c r="Z11" s="217"/>
      <c r="AB11" s="290">
        <f t="shared" si="2"/>
        <v>5.0000000000000044E-4</v>
      </c>
    </row>
    <row r="12" spans="1:28"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366"/>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7109375" style="16" bestFit="1" customWidth="1"/>
    <col min="30" max="31" width="2.7109375" style="16" customWidth="1"/>
    <col min="32" max="34" width="9.140625" style="16"/>
    <col min="35" max="35" width="2.7109375" style="16" customWidth="1"/>
    <col min="36" max="16384" width="9.140625" style="16"/>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53"/>
      <c r="Q2" s="253"/>
      <c r="R2" s="253"/>
      <c r="S2" s="144" t="s">
        <v>222</v>
      </c>
      <c r="T2" s="253"/>
      <c r="U2" s="253"/>
      <c r="V2" s="253"/>
      <c r="W2" s="253"/>
      <c r="X2" s="137"/>
      <c r="Y2" s="253"/>
      <c r="Z2" s="253"/>
      <c r="AA2" s="253"/>
      <c r="AB2" s="253"/>
      <c r="AC2" s="253"/>
      <c r="AD2" s="49"/>
      <c r="AE2" s="17"/>
      <c r="AF2" s="17"/>
      <c r="AG2" s="17"/>
      <c r="AH2" s="17"/>
      <c r="AI2" s="17"/>
      <c r="AJ2" s="17"/>
    </row>
    <row r="3" spans="1:36" ht="13.5" thickBot="1" x14ac:dyDescent="0.25">
      <c r="N3" s="122"/>
      <c r="O3" s="253"/>
      <c r="P3" s="137"/>
      <c r="Q3" s="137"/>
      <c r="R3" s="137"/>
      <c r="S3" s="137"/>
      <c r="T3" s="137"/>
      <c r="U3" s="137"/>
      <c r="V3" s="137"/>
      <c r="W3" s="137"/>
      <c r="X3" s="137"/>
      <c r="Y3" s="253"/>
      <c r="Z3" s="253"/>
      <c r="AA3" s="253"/>
      <c r="AB3" s="137"/>
      <c r="AC3" s="284">
        <f ca="1">_xll.ohTrigger(AC5:AC42)</f>
        <v>35</v>
      </c>
      <c r="AD3" s="217"/>
      <c r="AE3" s="17"/>
      <c r="AF3" s="17"/>
      <c r="AG3" s="17"/>
      <c r="AH3" s="17"/>
      <c r="AI3" s="17"/>
      <c r="AJ3" s="17"/>
    </row>
    <row r="4" spans="1:36" ht="23.25" thickBot="1" x14ac:dyDescent="0.25">
      <c r="A4" s="216" t="s">
        <v>193</v>
      </c>
      <c r="B4" s="199"/>
      <c r="C4" s="199"/>
      <c r="D4" s="199"/>
      <c r="E4" s="197"/>
      <c r="F4" s="198"/>
      <c r="G4" s="197"/>
      <c r="H4" s="196"/>
      <c r="N4" s="122"/>
      <c r="O4" s="369"/>
      <c r="P4" s="194"/>
      <c r="Q4" s="194"/>
      <c r="R4" s="194"/>
      <c r="S4" s="283" t="e">
        <f ca="1">_xll.RData(S5:S42,T4:W4,,ReutersRtMode,,T5)</f>
        <v>#NAME?</v>
      </c>
      <c r="T4" s="313" t="s">
        <v>243</v>
      </c>
      <c r="U4" s="313" t="s">
        <v>212</v>
      </c>
      <c r="V4" s="313" t="s">
        <v>227</v>
      </c>
      <c r="W4" s="313" t="s">
        <v>242</v>
      </c>
      <c r="X4" s="279" t="s">
        <v>241</v>
      </c>
      <c r="Y4" s="253"/>
      <c r="Z4" s="281" t="s">
        <v>239</v>
      </c>
      <c r="AA4" s="253"/>
      <c r="AB4" s="406" t="s">
        <v>237</v>
      </c>
      <c r="AC4" s="94" t="s">
        <v>236</v>
      </c>
      <c r="AD4" s="217"/>
      <c r="AE4" s="17"/>
      <c r="AF4" s="17"/>
      <c r="AG4" s="17"/>
      <c r="AH4" s="17"/>
      <c r="AI4" s="17"/>
      <c r="AJ4" s="312" t="s">
        <v>240</v>
      </c>
    </row>
    <row r="5" spans="1:36"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298" t="str">
        <f t="array" ref="P5:P42">VLOOKUP(Currency,Conventions,2)</f>
        <v>AB</v>
      </c>
      <c r="Q5" s="298" t="str">
        <f t="array" ref="Q5:Q42">VLOOKUP(Currency,Conventions,3)</f>
        <v>3E</v>
      </c>
      <c r="R5" s="298" t="str">
        <f t="shared" ref="R5:R42" si="0">Currency&amp;$P5&amp;$Q5&amp;$O5</f>
        <v>EURAB3E6M</v>
      </c>
      <c r="S5" s="298" t="str">
        <f t="array" ref="S5:S42">Instruments&amp;"="&amp;VLOOKUP(Contributor,ContributorTable,2,FALSE)</f>
        <v>EURAB3E6M=ICAP</v>
      </c>
      <c r="T5" s="299" t="s">
        <v>244</v>
      </c>
      <c r="U5" s="299" t="s">
        <v>244</v>
      </c>
      <c r="V5" s="299" t="s">
        <v>244</v>
      </c>
      <c r="W5" s="299" t="s">
        <v>244</v>
      </c>
      <c r="X5" s="262" t="e">
        <f>_xll.qlMidSafe($T5,$U5)</f>
        <v>#NUM!</v>
      </c>
      <c r="Y5" s="253"/>
      <c r="Z5" s="261" t="e">
        <v>#NUM!</v>
      </c>
      <c r="AA5" s="253"/>
      <c r="AB5" s="324" t="e">
        <f t="array" ref="AB5:AB42">QuoteStatic</f>
        <v>#NUM!</v>
      </c>
      <c r="AC5" s="258" t="e">
        <f ca="1">_xll.qlSimpleQuoteSetValue(F5,AB5/100,Trigger)</f>
        <v>#NUM!</v>
      </c>
      <c r="AD5" s="217"/>
      <c r="AE5" s="17"/>
      <c r="AF5" s="373" t="s">
        <v>124</v>
      </c>
      <c r="AG5" s="88" t="s">
        <v>188</v>
      </c>
      <c r="AH5" s="87" t="s">
        <v>117</v>
      </c>
      <c r="AI5" s="17"/>
      <c r="AJ5" s="290" t="e">
        <f t="shared" ref="AJ5:AJ42" si="1">(U5-X5)/50</f>
        <v>#VALUE!</v>
      </c>
    </row>
    <row r="6" spans="1:36" x14ac:dyDescent="0.2">
      <c r="A6" s="122"/>
      <c r="B6" s="193" t="s">
        <v>21</v>
      </c>
      <c r="C6" s="78" t="str">
        <f t="array" ref="C6:C42">VLOOKUP(Currency,SwapMainSetConventions,2)</f>
        <v>AB</v>
      </c>
      <c r="D6" s="78" t="str">
        <f t="array" ref="D6:D42">VLOOKUP(Currency,SwapMainSetConventions,3)</f>
        <v>3E</v>
      </c>
      <c r="E6" s="76" t="str">
        <f t="shared" ref="E6:E42" si="2">Currency&amp;$C6&amp;$D6&amp;$B6&amp;QuoteSuffix</f>
        <v>EURAB3E1Y_Quote</v>
      </c>
      <c r="F6" s="76" t="str">
        <f>_xll.qlSimpleQuote(Currency&amp;$C6&amp;$D6&amp;$B6&amp;QuoteSuffix,,RateTickValue,Permanent,Trigger,ObjectOverwrite)</f>
        <v>EURAB3E1Y_Quote#0000</v>
      </c>
      <c r="G6" s="22" t="str">
        <f>_xll.ohRangeRetrieveError(F6)</f>
        <v/>
      </c>
      <c r="H6" s="49"/>
      <c r="J6" s="205" t="s">
        <v>124</v>
      </c>
      <c r="K6" s="85" t="s">
        <v>188</v>
      </c>
      <c r="L6" s="84" t="s">
        <v>117</v>
      </c>
      <c r="N6" s="122"/>
      <c r="O6" s="264" t="s">
        <v>21</v>
      </c>
      <c r="P6" s="298" t="str">
        <v>AB</v>
      </c>
      <c r="Q6" s="298" t="str">
        <v>3E</v>
      </c>
      <c r="R6" s="298" t="str">
        <f t="shared" si="0"/>
        <v>EURAB3E1Y</v>
      </c>
      <c r="S6" s="298" t="str">
        <v>EURAB3E1Y=ICAP</v>
      </c>
      <c r="T6" s="299">
        <v>0.30199999999999999</v>
      </c>
      <c r="U6" s="299">
        <v>0.35199999999999998</v>
      </c>
      <c r="V6" s="299">
        <v>0</v>
      </c>
      <c r="W6" s="299">
        <v>0</v>
      </c>
      <c r="X6" s="262">
        <f>_xll.qlMidSafe($T6,$U6)</f>
        <v>0.32699999999999996</v>
      </c>
      <c r="Y6" s="253"/>
      <c r="Z6" s="261">
        <v>0.30399999999999999</v>
      </c>
      <c r="AA6" s="253"/>
      <c r="AB6" s="324">
        <v>0.30399999999999999</v>
      </c>
      <c r="AC6" s="258" t="e">
        <f>_xll.qlSimpleQuoteSetValue(F6,AB6/100,Trigger)</f>
        <v>#N/A</v>
      </c>
      <c r="AD6" s="217"/>
      <c r="AE6" s="17"/>
      <c r="AF6" s="205" t="s">
        <v>110</v>
      </c>
      <c r="AG6" s="85" t="s">
        <v>188</v>
      </c>
      <c r="AH6" s="84" t="s">
        <v>129</v>
      </c>
      <c r="AI6" s="17"/>
      <c r="AJ6" s="290">
        <f t="shared" si="1"/>
        <v>5.0000000000000044E-4</v>
      </c>
    </row>
    <row r="7" spans="1:36" x14ac:dyDescent="0.2">
      <c r="A7" s="122"/>
      <c r="B7" s="192" t="s">
        <v>127</v>
      </c>
      <c r="C7" s="78" t="str">
        <v>AB</v>
      </c>
      <c r="D7" s="78" t="str">
        <v>3E</v>
      </c>
      <c r="E7" s="76" t="str">
        <f t="shared" si="2"/>
        <v>EURAB3E15M_Quote</v>
      </c>
      <c r="F7" s="76" t="str">
        <f>_xll.qlSimpleQuote(Currency&amp;$C7&amp;$D7&amp;$B7&amp;QuoteSuffix,,RateTickValue,Permanent,Trigger,ObjectOverwrite)</f>
        <v>EURAB3E15M_Quote#0000</v>
      </c>
      <c r="G7" s="30" t="str">
        <f>_xll.ohRangeRetrieveError(F7)</f>
        <v/>
      </c>
      <c r="H7" s="49"/>
      <c r="J7" s="205" t="s">
        <v>110</v>
      </c>
      <c r="K7" s="85" t="s">
        <v>188</v>
      </c>
      <c r="L7" s="84" t="s">
        <v>129</v>
      </c>
      <c r="N7" s="122"/>
      <c r="O7" s="264" t="s">
        <v>127</v>
      </c>
      <c r="P7" s="298" t="str">
        <v>AB</v>
      </c>
      <c r="Q7" s="298" t="str">
        <v>3E</v>
      </c>
      <c r="R7" s="298" t="str">
        <f t="shared" si="0"/>
        <v>EURAB3E15M</v>
      </c>
      <c r="S7" s="298" t="str">
        <v>EURAB3E15M=ICAP</v>
      </c>
      <c r="T7" s="299">
        <v>0.33400000000000002</v>
      </c>
      <c r="U7" s="299">
        <v>0.38400000000000001</v>
      </c>
      <c r="V7" s="299">
        <v>0</v>
      </c>
      <c r="W7" s="299">
        <v>0</v>
      </c>
      <c r="X7" s="262">
        <f>_xll.qlMidSafe($T7,$U7)</f>
        <v>0.35899999999999999</v>
      </c>
      <c r="Y7" s="253"/>
      <c r="Z7" s="261">
        <v>0.309</v>
      </c>
      <c r="AA7" s="253"/>
      <c r="AB7" s="324">
        <v>0.309</v>
      </c>
      <c r="AC7" s="258" t="e">
        <f>_xll.qlSimpleQuoteSetValue(F7,AB7/100,Trigger)</f>
        <v>#N/A</v>
      </c>
      <c r="AD7" s="217"/>
      <c r="AE7" s="17"/>
      <c r="AF7" s="205" t="s">
        <v>121</v>
      </c>
      <c r="AG7" s="85" t="s">
        <v>186</v>
      </c>
      <c r="AH7" s="84" t="s">
        <v>117</v>
      </c>
      <c r="AI7" s="17"/>
      <c r="AJ7" s="290">
        <f t="shared" si="1"/>
        <v>5.0000000000000044E-4</v>
      </c>
    </row>
    <row r="8" spans="1:36" x14ac:dyDescent="0.2">
      <c r="A8" s="122"/>
      <c r="B8" s="192" t="s">
        <v>126</v>
      </c>
      <c r="C8" s="78" t="str">
        <v>AB</v>
      </c>
      <c r="D8" s="78" t="str">
        <v>3E</v>
      </c>
      <c r="E8" s="76" t="str">
        <f t="shared" si="2"/>
        <v>EURAB3E18M_Quote</v>
      </c>
      <c r="F8" s="76" t="str">
        <f>_xll.qlSimpleQuote(Currency&amp;$C8&amp;$D8&amp;$B8&amp;QuoteSuffix,,RateTickValue,Permanent,Trigger,ObjectOverwrite)</f>
        <v>EURAB3E18M_Quote#0000</v>
      </c>
      <c r="G8" s="30" t="str">
        <f>_xll.ohRangeRetrieveError(F8)</f>
        <v/>
      </c>
      <c r="H8" s="49"/>
      <c r="J8" s="205" t="s">
        <v>121</v>
      </c>
      <c r="K8" s="85" t="s">
        <v>186</v>
      </c>
      <c r="L8" s="84" t="s">
        <v>117</v>
      </c>
      <c r="N8" s="122"/>
      <c r="O8" s="264" t="s">
        <v>126</v>
      </c>
      <c r="P8" s="298" t="str">
        <v>AB</v>
      </c>
      <c r="Q8" s="298" t="str">
        <v>3E</v>
      </c>
      <c r="R8" s="298" t="str">
        <f t="shared" si="0"/>
        <v>EURAB3E18M</v>
      </c>
      <c r="S8" s="298" t="str">
        <v>EURAB3E18M=ICAP</v>
      </c>
      <c r="T8" s="299">
        <v>0.36699999999999999</v>
      </c>
      <c r="U8" s="299">
        <v>0.41699999999999998</v>
      </c>
      <c r="V8" s="299">
        <v>0</v>
      </c>
      <c r="W8" s="299">
        <v>0</v>
      </c>
      <c r="X8" s="262">
        <f>_xll.qlMidSafe($T8,$U8)</f>
        <v>0.39200000000000002</v>
      </c>
      <c r="Y8" s="253"/>
      <c r="Z8" s="261">
        <v>0.32100000000000001</v>
      </c>
      <c r="AA8" s="253"/>
      <c r="AB8" s="324">
        <v>0.32100000000000001</v>
      </c>
      <c r="AC8" s="258" t="e">
        <f>_xll.qlSimpleQuoteSetValue(F8,AB8/100,Trigger)</f>
        <v>#N/A</v>
      </c>
      <c r="AD8" s="217"/>
      <c r="AE8" s="17"/>
      <c r="AF8" s="205" t="s">
        <v>266</v>
      </c>
      <c r="AG8" s="85" t="s">
        <v>265</v>
      </c>
      <c r="AH8" s="84" t="s">
        <v>264</v>
      </c>
      <c r="AI8" s="17"/>
      <c r="AJ8" s="290">
        <f t="shared" si="1"/>
        <v>4.9999999999999936E-4</v>
      </c>
    </row>
    <row r="9" spans="1:36" x14ac:dyDescent="0.2">
      <c r="A9" s="122"/>
      <c r="B9" s="192" t="s">
        <v>125</v>
      </c>
      <c r="C9" s="78" t="str">
        <v>AB</v>
      </c>
      <c r="D9" s="78" t="str">
        <v>3E</v>
      </c>
      <c r="E9" s="76" t="str">
        <f t="shared" si="2"/>
        <v>EURAB3E21M_Quote</v>
      </c>
      <c r="F9" s="76" t="str">
        <f>_xll.qlSimpleQuote(Currency&amp;$C9&amp;$D9&amp;$B9&amp;QuoteSuffix,,RateTickValue,Permanent,Trigger,ObjectOverwrite)</f>
        <v>EURAB3E21M_Quote#0000</v>
      </c>
      <c r="G9" s="30" t="str">
        <f>_xll.ohRangeRetrieveError(F9)</f>
        <v/>
      </c>
      <c r="H9" s="49"/>
      <c r="J9" s="205" t="s">
        <v>120</v>
      </c>
      <c r="K9" s="85" t="s">
        <v>187</v>
      </c>
      <c r="L9" s="84" t="s">
        <v>117</v>
      </c>
      <c r="N9" s="122"/>
      <c r="O9" s="264" t="s">
        <v>125</v>
      </c>
      <c r="P9" s="298" t="str">
        <v>AB</v>
      </c>
      <c r="Q9" s="298" t="str">
        <v>3E</v>
      </c>
      <c r="R9" s="298" t="str">
        <f t="shared" si="0"/>
        <v>EURAB3E21M</v>
      </c>
      <c r="S9" s="298" t="str">
        <v>EURAB3E21M=ICAP</v>
      </c>
      <c r="T9" s="299">
        <v>0.39800000000000002</v>
      </c>
      <c r="U9" s="299">
        <v>0.44800000000000001</v>
      </c>
      <c r="V9" s="299">
        <v>0</v>
      </c>
      <c r="W9" s="299">
        <v>0</v>
      </c>
      <c r="X9" s="262">
        <f>_xll.qlMidSafe($T9,$U9)</f>
        <v>0.42300000000000004</v>
      </c>
      <c r="Y9" s="253"/>
      <c r="Z9" s="261">
        <v>0.34</v>
      </c>
      <c r="AA9" s="253"/>
      <c r="AB9" s="324">
        <v>0.34</v>
      </c>
      <c r="AC9" s="258" t="e">
        <f>_xll.qlSimpleQuoteSetValue(F9,AB9/100,Trigger)</f>
        <v>#N/A</v>
      </c>
      <c r="AD9" s="217"/>
      <c r="AE9" s="17"/>
      <c r="AF9" s="205" t="s">
        <v>120</v>
      </c>
      <c r="AG9" s="85" t="s">
        <v>187</v>
      </c>
      <c r="AH9" s="84" t="s">
        <v>117</v>
      </c>
      <c r="AI9" s="17"/>
      <c r="AJ9" s="290">
        <f t="shared" si="1"/>
        <v>4.9999999999999936E-4</v>
      </c>
    </row>
    <row r="10" spans="1:36" ht="13.5" thickBot="1" x14ac:dyDescent="0.25">
      <c r="A10" s="122"/>
      <c r="B10" s="192" t="s">
        <v>102</v>
      </c>
      <c r="C10" s="78" t="str">
        <v>AB</v>
      </c>
      <c r="D10" s="78" t="str">
        <v>3E</v>
      </c>
      <c r="E10" s="76" t="str">
        <f t="shared" si="2"/>
        <v>EURAB3E2Y_Quote</v>
      </c>
      <c r="F10" s="76" t="str">
        <f>_xll.qlSimpleQuote(Currency&amp;$C10&amp;$D10&amp;$B10&amp;QuoteSuffix,,RateTickValue,Permanent,Trigger,ObjectOverwrite)</f>
        <v>EURAB3E2Y_Quote#0000</v>
      </c>
      <c r="G10" s="30" t="str">
        <f>_xll.ohRangeRetrieveError(F10)</f>
        <v/>
      </c>
      <c r="H10" s="49"/>
      <c r="J10" s="204" t="s">
        <v>118</v>
      </c>
      <c r="K10" s="82" t="s">
        <v>186</v>
      </c>
      <c r="L10" s="81" t="s">
        <v>117</v>
      </c>
      <c r="N10" s="122"/>
      <c r="O10" s="264" t="s">
        <v>102</v>
      </c>
      <c r="P10" s="298" t="str">
        <v>AB</v>
      </c>
      <c r="Q10" s="298" t="str">
        <v>3E</v>
      </c>
      <c r="R10" s="298" t="str">
        <f t="shared" si="0"/>
        <v>EURAB3E2Y</v>
      </c>
      <c r="S10" s="298" t="str">
        <v>EURAB3E2Y=ICAP</v>
      </c>
      <c r="T10" s="299">
        <v>0.432</v>
      </c>
      <c r="U10" s="299">
        <v>0.48199999999999998</v>
      </c>
      <c r="V10" s="299">
        <v>0</v>
      </c>
      <c r="W10" s="299">
        <v>0</v>
      </c>
      <c r="X10" s="262">
        <f>_xll.qlMidSafe($T10,$U10)</f>
        <v>0.45699999999999996</v>
      </c>
      <c r="Y10" s="253"/>
      <c r="Z10" s="261">
        <v>0.36499999999999999</v>
      </c>
      <c r="AA10" s="253"/>
      <c r="AB10" s="324">
        <v>0.36499999999999999</v>
      </c>
      <c r="AC10" s="258" t="e">
        <f>_xll.qlSimpleQuoteSetValue(F10,AB10/100,Trigger)</f>
        <v>#N/A</v>
      </c>
      <c r="AD10" s="217"/>
      <c r="AE10" s="17"/>
      <c r="AF10" s="204" t="s">
        <v>118</v>
      </c>
      <c r="AG10" s="82" t="s">
        <v>186</v>
      </c>
      <c r="AH10" s="81" t="s">
        <v>117</v>
      </c>
      <c r="AI10" s="17"/>
      <c r="AJ10" s="290">
        <f t="shared" si="1"/>
        <v>5.0000000000000044E-4</v>
      </c>
    </row>
    <row r="11" spans="1:36" x14ac:dyDescent="0.2">
      <c r="A11" s="122"/>
      <c r="B11" s="192" t="s">
        <v>101</v>
      </c>
      <c r="C11" s="78" t="str">
        <v>AB</v>
      </c>
      <c r="D11" s="78" t="str">
        <v>3E</v>
      </c>
      <c r="E11" s="76" t="str">
        <f t="shared" si="2"/>
        <v>EURAB3E3Y_Quote</v>
      </c>
      <c r="F11" s="76" t="str">
        <f>_xll.qlSimpleQuote(Currency&amp;$C11&amp;$D11&amp;$B11&amp;QuoteSuffix,,RateTickValue,Permanent,Trigger,ObjectOverwrite)</f>
        <v>EURAB3E3Y_Quote#0000</v>
      </c>
      <c r="G11" s="30" t="str">
        <f>_xll.ohRangeRetrieveError(F11)</f>
        <v/>
      </c>
      <c r="H11" s="49"/>
      <c r="N11" s="122"/>
      <c r="O11" s="264" t="s">
        <v>101</v>
      </c>
      <c r="P11" s="371" t="str">
        <v>AB</v>
      </c>
      <c r="Q11" s="371" t="str">
        <v>3E</v>
      </c>
      <c r="R11" s="298" t="str">
        <f t="shared" si="0"/>
        <v>EURAB3E3Y</v>
      </c>
      <c r="S11" s="298" t="str">
        <v>EURAB3E3Y=ICAP</v>
      </c>
      <c r="T11" s="299">
        <v>0.59599999999999997</v>
      </c>
      <c r="U11" s="299">
        <v>0.64600000000000002</v>
      </c>
      <c r="V11" s="299">
        <v>0</v>
      </c>
      <c r="W11" s="299">
        <v>0</v>
      </c>
      <c r="X11" s="262">
        <f>_xll.qlMidSafe($T11,$U11)</f>
        <v>0.621</v>
      </c>
      <c r="Y11" s="253"/>
      <c r="Z11" s="261">
        <v>0.52700000000000002</v>
      </c>
      <c r="AA11" s="253"/>
      <c r="AB11" s="324">
        <v>0.52700000000000002</v>
      </c>
      <c r="AC11" s="258" t="e">
        <f>_xll.qlSimpleQuoteSetValue(F11,AB11/100,Trigger)</f>
        <v>#N/A</v>
      </c>
      <c r="AD11" s="217"/>
      <c r="AE11" s="17"/>
      <c r="AF11" s="17"/>
      <c r="AG11" s="17"/>
      <c r="AH11" s="17"/>
      <c r="AI11" s="17"/>
      <c r="AJ11" s="290">
        <f t="shared" si="1"/>
        <v>5.0000000000000044E-4</v>
      </c>
    </row>
    <row r="12" spans="1:36" x14ac:dyDescent="0.2">
      <c r="A12" s="122"/>
      <c r="B12" s="192" t="s">
        <v>100</v>
      </c>
      <c r="C12" s="78" t="str">
        <v>AB</v>
      </c>
      <c r="D12" s="78" t="str">
        <v>3E</v>
      </c>
      <c r="E12" s="76" t="str">
        <f t="shared" si="2"/>
        <v>EURAB3E4Y_Quote</v>
      </c>
      <c r="F12" s="76" t="str">
        <f>_xll.qlSimpleQuote(Currency&amp;$C12&amp;$D12&amp;$B12&amp;QuoteSuffix,,RateTickValue,Permanent,Trigger,ObjectOverwrite)</f>
        <v>EURAB3E4Y_Quote#0000</v>
      </c>
      <c r="G12" s="30" t="str">
        <f>_xll.ohRangeRetrieveError(F12)</f>
        <v/>
      </c>
      <c r="H12" s="49"/>
      <c r="N12" s="122"/>
      <c r="O12" s="264" t="s">
        <v>100</v>
      </c>
      <c r="P12" s="371" t="str">
        <v>AB</v>
      </c>
      <c r="Q12" s="371" t="str">
        <v>3E</v>
      </c>
      <c r="R12" s="298" t="str">
        <f t="shared" si="0"/>
        <v>EURAB3E4Y</v>
      </c>
      <c r="S12" s="298" t="str">
        <v>EURAB3E4Y=ICAP</v>
      </c>
      <c r="T12" s="299">
        <v>0.81299999999999994</v>
      </c>
      <c r="U12" s="299">
        <v>0.86299999999999999</v>
      </c>
      <c r="V12" s="299">
        <v>0</v>
      </c>
      <c r="W12" s="299">
        <v>0</v>
      </c>
      <c r="X12" s="262">
        <f>_xll.qlMidSafe($T12,$U12)</f>
        <v>0.83799999999999997</v>
      </c>
      <c r="Y12" s="253"/>
      <c r="Z12" s="261">
        <v>0.749</v>
      </c>
      <c r="AA12" s="253"/>
      <c r="AB12" s="324">
        <v>0.749</v>
      </c>
      <c r="AC12" s="258" t="e">
        <f>_xll.qlSimpleQuoteSetValue(F12,AB12/100,Trigger)</f>
        <v>#N/A</v>
      </c>
      <c r="AD12" s="217"/>
      <c r="AE12" s="17"/>
      <c r="AF12" s="17"/>
      <c r="AG12" s="17"/>
      <c r="AH12" s="17"/>
      <c r="AI12" s="17"/>
      <c r="AJ12" s="290">
        <f t="shared" si="1"/>
        <v>5.0000000000000044E-4</v>
      </c>
    </row>
    <row r="13" spans="1:36" x14ac:dyDescent="0.2">
      <c r="A13" s="122"/>
      <c r="B13" s="192" t="s">
        <v>99</v>
      </c>
      <c r="C13" s="78" t="str">
        <v>AB</v>
      </c>
      <c r="D13" s="78" t="str">
        <v>3E</v>
      </c>
      <c r="E13" s="76" t="str">
        <f t="shared" si="2"/>
        <v>EURAB3E5Y_Quote</v>
      </c>
      <c r="F13" s="76" t="str">
        <f>_xll.qlSimpleQuote(Currency&amp;$C13&amp;$D13&amp;$B13&amp;QuoteSuffix,,RateTickValue,Permanent,Trigger,ObjectOverwrite)</f>
        <v>EURAB3E5Y_Quote#0000</v>
      </c>
      <c r="G13" s="30" t="str">
        <f>_xll.ohRangeRetrieveError(F13)</f>
        <v/>
      </c>
      <c r="H13" s="49"/>
      <c r="N13" s="122"/>
      <c r="O13" s="264" t="s">
        <v>99</v>
      </c>
      <c r="P13" s="371" t="str">
        <v>AB</v>
      </c>
      <c r="Q13" s="371" t="str">
        <v>3E</v>
      </c>
      <c r="R13" s="298" t="str">
        <f t="shared" si="0"/>
        <v>EURAB3E5Y</v>
      </c>
      <c r="S13" s="298" t="str">
        <v>EURAB3E5Y=ICAP</v>
      </c>
      <c r="T13" s="299">
        <v>1.04</v>
      </c>
      <c r="U13" s="299">
        <v>1.0900000000000001</v>
      </c>
      <c r="V13" s="299">
        <v>0</v>
      </c>
      <c r="W13" s="299">
        <v>0</v>
      </c>
      <c r="X13" s="262">
        <f>_xll.qlMidSafe($T13,$U13)</f>
        <v>1.0649999999999999</v>
      </c>
      <c r="Y13" s="253"/>
      <c r="Z13" s="261">
        <v>0.98099999999999998</v>
      </c>
      <c r="AA13" s="253"/>
      <c r="AB13" s="324">
        <v>0.98099999999999998</v>
      </c>
      <c r="AC13" s="258" t="e">
        <f>_xll.qlSimpleQuoteSetValue(F13,AB13/100,Trigger)</f>
        <v>#N/A</v>
      </c>
      <c r="AD13" s="217"/>
      <c r="AE13" s="17"/>
      <c r="AF13" s="17"/>
      <c r="AG13" s="17"/>
      <c r="AH13" s="17"/>
      <c r="AI13" s="17"/>
      <c r="AJ13" s="290">
        <f t="shared" si="1"/>
        <v>5.0000000000000261E-4</v>
      </c>
    </row>
    <row r="14" spans="1:36" x14ac:dyDescent="0.2">
      <c r="A14" s="122"/>
      <c r="B14" s="192" t="s">
        <v>98</v>
      </c>
      <c r="C14" s="78" t="str">
        <v>AB</v>
      </c>
      <c r="D14" s="78" t="str">
        <v>3E</v>
      </c>
      <c r="E14" s="76" t="str">
        <f t="shared" si="2"/>
        <v>EURAB3E6Y_Quote</v>
      </c>
      <c r="F14" s="76" t="str">
        <f>_xll.qlSimpleQuote(Currency&amp;$C14&amp;$D14&amp;$B14&amp;QuoteSuffix,,RateTickValue,Permanent,Trigger,ObjectOverwrite)</f>
        <v>EURAB3E6Y_Quote#0000</v>
      </c>
      <c r="G14" s="30" t="str">
        <f>_xll.ohRangeRetrieveError(F14)</f>
        <v/>
      </c>
      <c r="H14" s="49"/>
      <c r="N14" s="122"/>
      <c r="O14" s="264" t="s">
        <v>98</v>
      </c>
      <c r="P14" s="371" t="str">
        <v>AB</v>
      </c>
      <c r="Q14" s="371" t="str">
        <v>3E</v>
      </c>
      <c r="R14" s="298" t="str">
        <f t="shared" si="0"/>
        <v>EURAB3E6Y</v>
      </c>
      <c r="S14" s="298" t="str">
        <v>EURAB3E6Y=ICAP</v>
      </c>
      <c r="T14" s="299">
        <v>1.238</v>
      </c>
      <c r="U14" s="299">
        <v>1.288</v>
      </c>
      <c r="V14" s="299">
        <v>0</v>
      </c>
      <c r="W14" s="299">
        <v>0</v>
      </c>
      <c r="X14" s="262">
        <f>_xll.qlMidSafe($T14,$U14)</f>
        <v>1.2629999999999999</v>
      </c>
      <c r="Y14" s="253"/>
      <c r="Z14" s="261">
        <v>1.2010000000000001</v>
      </c>
      <c r="AA14" s="253"/>
      <c r="AB14" s="324">
        <v>1.2010000000000001</v>
      </c>
      <c r="AC14" s="258" t="e">
        <f>_xll.qlSimpleQuoteSetValue(F14,AB14/100,Trigger)</f>
        <v>#N/A</v>
      </c>
      <c r="AD14" s="217"/>
      <c r="AE14" s="17"/>
      <c r="AF14" s="17"/>
      <c r="AG14" s="17"/>
      <c r="AH14" s="17"/>
      <c r="AI14" s="17"/>
      <c r="AJ14" s="290">
        <f t="shared" si="1"/>
        <v>5.0000000000000261E-4</v>
      </c>
    </row>
    <row r="15" spans="1:36" x14ac:dyDescent="0.2">
      <c r="A15" s="122"/>
      <c r="B15" s="192" t="s">
        <v>97</v>
      </c>
      <c r="C15" s="78" t="str">
        <v>AB</v>
      </c>
      <c r="D15" s="78" t="str">
        <v>3E</v>
      </c>
      <c r="E15" s="76" t="str">
        <f t="shared" si="2"/>
        <v>EURAB3E7Y_Quote</v>
      </c>
      <c r="F15" s="76" t="str">
        <f>_xll.qlSimpleQuote(Currency&amp;$C15&amp;$D15&amp;$B15&amp;QuoteSuffix,,RateTickValue,Permanent,Trigger,ObjectOverwrite)</f>
        <v>EURAB3E7Y_Quote#0000</v>
      </c>
      <c r="G15" s="30" t="str">
        <f>_xll.ohRangeRetrieveError(F15)</f>
        <v/>
      </c>
      <c r="H15" s="49"/>
      <c r="N15" s="122"/>
      <c r="O15" s="264" t="s">
        <v>97</v>
      </c>
      <c r="P15" s="371" t="str">
        <v>AB</v>
      </c>
      <c r="Q15" s="371" t="str">
        <v>3E</v>
      </c>
      <c r="R15" s="298" t="str">
        <f t="shared" si="0"/>
        <v>EURAB3E7Y</v>
      </c>
      <c r="S15" s="298" t="str">
        <v>EURAB3E7Y=ICAP</v>
      </c>
      <c r="T15" s="299">
        <v>1.4139999999999999</v>
      </c>
      <c r="U15" s="299">
        <v>1.464</v>
      </c>
      <c r="V15" s="299">
        <v>0</v>
      </c>
      <c r="W15" s="299">
        <v>0</v>
      </c>
      <c r="X15" s="262">
        <f>_xll.qlMidSafe($T15,$U15)</f>
        <v>1.4390000000000001</v>
      </c>
      <c r="Y15" s="253"/>
      <c r="Z15" s="261">
        <v>1.405</v>
      </c>
      <c r="AA15" s="253"/>
      <c r="AB15" s="324">
        <v>1.405</v>
      </c>
      <c r="AC15" s="258" t="e">
        <f>_xll.qlSimpleQuoteSetValue(F15,AB15/100,Trigger)</f>
        <v>#N/A</v>
      </c>
      <c r="AD15" s="217"/>
      <c r="AE15" s="17"/>
      <c r="AF15" s="17"/>
      <c r="AG15" s="17"/>
      <c r="AH15" s="17"/>
      <c r="AI15" s="17"/>
      <c r="AJ15" s="290">
        <f t="shared" si="1"/>
        <v>4.9999999999999828E-4</v>
      </c>
    </row>
    <row r="16" spans="1:36" x14ac:dyDescent="0.2">
      <c r="A16" s="122"/>
      <c r="B16" s="192" t="s">
        <v>96</v>
      </c>
      <c r="C16" s="78" t="str">
        <v>AB</v>
      </c>
      <c r="D16" s="78" t="str">
        <v>3E</v>
      </c>
      <c r="E16" s="76" t="str">
        <f t="shared" si="2"/>
        <v>EURAB3E8Y_Quote</v>
      </c>
      <c r="F16" s="76" t="str">
        <f>_xll.qlSimpleQuote(Currency&amp;$C16&amp;$D16&amp;$B16&amp;QuoteSuffix,,RateTickValue,Permanent,Trigger,ObjectOverwrite)</f>
        <v>EURAB3E8Y_Quote#0000</v>
      </c>
      <c r="G16" s="30" t="str">
        <f>_xll.ohRangeRetrieveError(F16)</f>
        <v/>
      </c>
      <c r="H16" s="49"/>
      <c r="N16" s="122"/>
      <c r="O16" s="264" t="s">
        <v>96</v>
      </c>
      <c r="P16" s="371" t="str">
        <v>AB</v>
      </c>
      <c r="Q16" s="371" t="str">
        <v>3E</v>
      </c>
      <c r="R16" s="298" t="str">
        <f t="shared" si="0"/>
        <v>EURAB3E8Y</v>
      </c>
      <c r="S16" s="298" t="str">
        <v>EURAB3E8Y=ICAP</v>
      </c>
      <c r="T16" s="299">
        <v>1.57</v>
      </c>
      <c r="U16" s="299">
        <v>1.62</v>
      </c>
      <c r="V16" s="299">
        <v>0</v>
      </c>
      <c r="W16" s="299">
        <v>0</v>
      </c>
      <c r="X16" s="262">
        <f>_xll.qlMidSafe($T16,$U16)</f>
        <v>1.5950000000000002</v>
      </c>
      <c r="Y16" s="253"/>
      <c r="Z16" s="261">
        <v>1.59</v>
      </c>
      <c r="AA16" s="253"/>
      <c r="AB16" s="324">
        <v>1.59</v>
      </c>
      <c r="AC16" s="258" t="e">
        <f>_xll.qlSimpleQuoteSetValue(F16,AB16/100,Trigger)</f>
        <v>#N/A</v>
      </c>
      <c r="AD16" s="217"/>
      <c r="AE16" s="17"/>
      <c r="AF16" s="17"/>
      <c r="AG16" s="17"/>
      <c r="AH16" s="17"/>
      <c r="AI16" s="17"/>
      <c r="AJ16" s="290">
        <f t="shared" si="1"/>
        <v>4.9999999999999828E-4</v>
      </c>
    </row>
    <row r="17" spans="1:36" x14ac:dyDescent="0.2">
      <c r="A17" s="122"/>
      <c r="B17" s="192" t="s">
        <v>95</v>
      </c>
      <c r="C17" s="78" t="str">
        <v>AB</v>
      </c>
      <c r="D17" s="78" t="str">
        <v>3E</v>
      </c>
      <c r="E17" s="76" t="str">
        <f t="shared" si="2"/>
        <v>EURAB3E9Y_Quote</v>
      </c>
      <c r="F17" s="76" t="str">
        <f>_xll.qlSimpleQuote(Currency&amp;$C17&amp;$D17&amp;$B17&amp;QuoteSuffix,,RateTickValue,Permanent,Trigger,ObjectOverwrite)</f>
        <v>EURAB3E9Y_Quote#0000</v>
      </c>
      <c r="G17" s="30" t="str">
        <f>_xll.ohRangeRetrieveError(F17)</f>
        <v/>
      </c>
      <c r="H17" s="49"/>
      <c r="N17" s="122"/>
      <c r="O17" s="264" t="s">
        <v>95</v>
      </c>
      <c r="P17" s="371" t="str">
        <v>AB</v>
      </c>
      <c r="Q17" s="371" t="str">
        <v>3E</v>
      </c>
      <c r="R17" s="298" t="str">
        <f t="shared" si="0"/>
        <v>EURAB3E9Y</v>
      </c>
      <c r="S17" s="298" t="str">
        <v>EURAB3E9Y=ICAP</v>
      </c>
      <c r="T17" s="299">
        <v>1.7150000000000001</v>
      </c>
      <c r="U17" s="299">
        <v>1.7649999999999999</v>
      </c>
      <c r="V17" s="299">
        <v>0</v>
      </c>
      <c r="W17" s="299">
        <v>0</v>
      </c>
      <c r="X17" s="262">
        <f>_xll.qlMidSafe($T17,$U17)</f>
        <v>1.74</v>
      </c>
      <c r="Y17" s="253"/>
      <c r="Z17" s="261">
        <v>1.7549999999999999</v>
      </c>
      <c r="AA17" s="253"/>
      <c r="AB17" s="324">
        <v>1.7549999999999999</v>
      </c>
      <c r="AC17" s="258" t="e">
        <f>_xll.qlSimpleQuoteSetValue(F17,AB17/100,Trigger)</f>
        <v>#N/A</v>
      </c>
      <c r="AD17" s="217"/>
      <c r="AE17" s="17"/>
      <c r="AF17" s="17"/>
      <c r="AG17" s="17"/>
      <c r="AH17" s="17"/>
      <c r="AI17" s="17"/>
      <c r="AJ17" s="290">
        <f t="shared" si="1"/>
        <v>4.9999999999999828E-4</v>
      </c>
    </row>
    <row r="18" spans="1:36" x14ac:dyDescent="0.2">
      <c r="A18" s="122"/>
      <c r="B18" s="192" t="s">
        <v>94</v>
      </c>
      <c r="C18" s="78" t="str">
        <v>AB</v>
      </c>
      <c r="D18" s="78" t="str">
        <v>3E</v>
      </c>
      <c r="E18" s="76" t="str">
        <f t="shared" si="2"/>
        <v>EURAB3E10Y_Quote</v>
      </c>
      <c r="F18" s="76" t="str">
        <f>_xll.qlSimpleQuote(Currency&amp;$C18&amp;$D18&amp;$B18&amp;QuoteSuffix,,RateTickValue,Permanent,Trigger,ObjectOverwrite)</f>
        <v>EURAB3E10Y_Quote#0000</v>
      </c>
      <c r="G18" s="30" t="str">
        <f>_xll.ohRangeRetrieveError(F18)</f>
        <v/>
      </c>
      <c r="H18" s="49"/>
      <c r="N18" s="122"/>
      <c r="O18" s="264" t="s">
        <v>94</v>
      </c>
      <c r="P18" s="371" t="str">
        <v>AB</v>
      </c>
      <c r="Q18" s="371" t="str">
        <v>3E</v>
      </c>
      <c r="R18" s="298" t="str">
        <f t="shared" si="0"/>
        <v>EURAB3E10Y</v>
      </c>
      <c r="S18" s="298" t="str">
        <v>EURAB3E10Y=ICAP</v>
      </c>
      <c r="T18" s="299">
        <v>1.8460000000000001</v>
      </c>
      <c r="U18" s="299">
        <v>1.8959999999999999</v>
      </c>
      <c r="V18" s="299">
        <v>0</v>
      </c>
      <c r="W18" s="299">
        <v>0</v>
      </c>
      <c r="X18" s="262">
        <f>_xll.qlMidSafe($T18,$U18)</f>
        <v>1.871</v>
      </c>
      <c r="Y18" s="253"/>
      <c r="Z18" s="261">
        <v>1.9019999999999999</v>
      </c>
      <c r="AA18" s="253"/>
      <c r="AB18" s="324">
        <v>1.9019999999999999</v>
      </c>
      <c r="AC18" s="258" t="e">
        <f>_xll.qlSimpleQuoteSetValue(F18,AB18/100,Trigger)</f>
        <v>#N/A</v>
      </c>
      <c r="AD18" s="217"/>
      <c r="AE18" s="17"/>
      <c r="AF18" s="17"/>
      <c r="AG18" s="17"/>
      <c r="AH18" s="17"/>
      <c r="AI18" s="17"/>
      <c r="AJ18" s="290">
        <f t="shared" si="1"/>
        <v>4.9999999999999828E-4</v>
      </c>
    </row>
    <row r="19" spans="1:36" x14ac:dyDescent="0.2">
      <c r="A19" s="122"/>
      <c r="B19" s="192" t="s">
        <v>93</v>
      </c>
      <c r="C19" s="78" t="str">
        <v>AB</v>
      </c>
      <c r="D19" s="78" t="str">
        <v>3E</v>
      </c>
      <c r="E19" s="76" t="str">
        <f t="shared" si="2"/>
        <v>EURAB3E11Y_Quote</v>
      </c>
      <c r="F19" s="76" t="str">
        <f>_xll.qlSimpleQuote(Currency&amp;$C19&amp;$D19&amp;$B19&amp;QuoteSuffix,,RateTickValue,Permanent,Trigger,ObjectOverwrite)</f>
        <v>EURAB3E11Y_Quote#0000</v>
      </c>
      <c r="G19" s="30" t="str">
        <f>_xll.ohRangeRetrieveError(F19)</f>
        <v/>
      </c>
      <c r="H19" s="49"/>
      <c r="N19" s="122"/>
      <c r="O19" s="264" t="s">
        <v>93</v>
      </c>
      <c r="P19" s="371" t="str">
        <v>AB</v>
      </c>
      <c r="Q19" s="371" t="str">
        <v>3E</v>
      </c>
      <c r="R19" s="298" t="str">
        <f t="shared" si="0"/>
        <v>EURAB3E11Y</v>
      </c>
      <c r="S19" s="298" t="str">
        <v>EURAB3E11Y=ICAP</v>
      </c>
      <c r="T19" s="299">
        <v>1.9610000000000001</v>
      </c>
      <c r="U19" s="299">
        <v>2.0110000000000001</v>
      </c>
      <c r="V19" s="299">
        <v>0</v>
      </c>
      <c r="W19" s="299">
        <v>0</v>
      </c>
      <c r="X19" s="262">
        <f>_xll.qlMidSafe($T19,$U19)</f>
        <v>1.9860000000000002</v>
      </c>
      <c r="Y19" s="253"/>
      <c r="Z19" s="261">
        <v>2.0289999999999999</v>
      </c>
      <c r="AA19" s="253"/>
      <c r="AB19" s="324">
        <v>2.0289999999999999</v>
      </c>
      <c r="AC19" s="258" t="e">
        <f>_xll.qlSimpleQuoteSetValue(F19,AB19/100,Trigger)</f>
        <v>#N/A</v>
      </c>
      <c r="AD19" s="217"/>
      <c r="AE19" s="17"/>
      <c r="AF19" s="17"/>
      <c r="AG19" s="17"/>
      <c r="AH19" s="17"/>
      <c r="AI19" s="17"/>
      <c r="AJ19" s="290">
        <f t="shared" si="1"/>
        <v>4.9999999999999828E-4</v>
      </c>
    </row>
    <row r="20" spans="1:36" x14ac:dyDescent="0.2">
      <c r="A20" s="122"/>
      <c r="B20" s="192" t="s">
        <v>92</v>
      </c>
      <c r="C20" s="78" t="str">
        <v>AB</v>
      </c>
      <c r="D20" s="78" t="str">
        <v>3E</v>
      </c>
      <c r="E20" s="76" t="str">
        <f t="shared" si="2"/>
        <v>EURAB3E12Y_Quote</v>
      </c>
      <c r="F20" s="76" t="str">
        <f>_xll.qlSimpleQuote(Currency&amp;$C20&amp;$D20&amp;$B20&amp;QuoteSuffix,,RateTickValue,Permanent,Trigger,ObjectOverwrite)</f>
        <v>EURAB3E12Y_Quote#0000</v>
      </c>
      <c r="G20" s="30" t="str">
        <f>_xll.ohRangeRetrieveError(F20)</f>
        <v/>
      </c>
      <c r="H20" s="49"/>
      <c r="N20" s="122"/>
      <c r="O20" s="264" t="s">
        <v>92</v>
      </c>
      <c r="P20" s="371" t="str">
        <v>AB</v>
      </c>
      <c r="Q20" s="371" t="str">
        <v>3E</v>
      </c>
      <c r="R20" s="298" t="str">
        <f t="shared" si="0"/>
        <v>EURAB3E12Y</v>
      </c>
      <c r="S20" s="298" t="str">
        <v>EURAB3E12Y=ICAP</v>
      </c>
      <c r="T20" s="299">
        <v>2.0590000000000002</v>
      </c>
      <c r="U20" s="299">
        <v>2.109</v>
      </c>
      <c r="V20" s="299">
        <v>0</v>
      </c>
      <c r="W20" s="299">
        <v>0</v>
      </c>
      <c r="X20" s="262">
        <f>_xll.qlMidSafe($T20,$U20)</f>
        <v>2.0840000000000001</v>
      </c>
      <c r="Y20" s="253"/>
      <c r="Z20" s="261">
        <v>2.14</v>
      </c>
      <c r="AA20" s="253"/>
      <c r="AB20" s="324">
        <v>2.14</v>
      </c>
      <c r="AC20" s="258" t="e">
        <f>_xll.qlSimpleQuoteSetValue(F20,AB20/100,Trigger)</f>
        <v>#N/A</v>
      </c>
      <c r="AD20" s="217"/>
      <c r="AE20" s="17"/>
      <c r="AF20" s="17"/>
      <c r="AG20" s="17"/>
      <c r="AH20" s="17"/>
      <c r="AI20" s="17"/>
      <c r="AJ20" s="290">
        <f t="shared" si="1"/>
        <v>4.9999999999999828E-4</v>
      </c>
    </row>
    <row r="21" spans="1:36" x14ac:dyDescent="0.2">
      <c r="A21" s="122"/>
      <c r="B21" s="192" t="s">
        <v>91</v>
      </c>
      <c r="C21" s="78" t="str">
        <v>AB</v>
      </c>
      <c r="D21" s="78" t="str">
        <v>3E</v>
      </c>
      <c r="E21" s="76" t="str">
        <f t="shared" si="2"/>
        <v>EURAB3E13Y_Quote</v>
      </c>
      <c r="F21" s="76" t="str">
        <f>_xll.qlSimpleQuote(Currency&amp;$C21&amp;$D21&amp;$B21&amp;QuoteSuffix,,RateTickValue,Permanent,Trigger,ObjectOverwrite)</f>
        <v>EURAB3E13Y_Quote#0000</v>
      </c>
      <c r="G21" s="30" t="str">
        <f>_xll.ohRangeRetrieveError(F21)</f>
        <v/>
      </c>
      <c r="H21" s="49"/>
      <c r="N21" s="122"/>
      <c r="O21" s="264" t="s">
        <v>91</v>
      </c>
      <c r="P21" s="371" t="str">
        <v>AB</v>
      </c>
      <c r="Q21" s="371" t="str">
        <v>3E</v>
      </c>
      <c r="R21" s="298" t="str">
        <f t="shared" si="0"/>
        <v>EURAB3E13Y</v>
      </c>
      <c r="S21" s="298" t="str">
        <v>EURAB3E13Y=ICAP</v>
      </c>
      <c r="T21" s="299" t="s">
        <v>244</v>
      </c>
      <c r="U21" s="299" t="s">
        <v>244</v>
      </c>
      <c r="V21" s="299" t="s">
        <v>244</v>
      </c>
      <c r="W21" s="299" t="s">
        <v>244</v>
      </c>
      <c r="X21" s="262" t="e">
        <f>_xll.qlMidSafe($T21,$U21)</f>
        <v>#NUM!</v>
      </c>
      <c r="Y21" s="253"/>
      <c r="Z21" s="261" t="e">
        <v>#NUM!</v>
      </c>
      <c r="AA21" s="253"/>
      <c r="AB21" s="324" t="e">
        <v>#NUM!</v>
      </c>
      <c r="AC21" s="258" t="e">
        <f>_xll.qlSimpleQuoteSetValue(F21,AB21/100,Trigger)</f>
        <v>#NUM!</v>
      </c>
      <c r="AD21" s="217"/>
      <c r="AE21" s="17"/>
      <c r="AF21" s="17"/>
      <c r="AG21" s="17"/>
      <c r="AH21" s="17"/>
      <c r="AI21" s="17"/>
      <c r="AJ21" s="290" t="e">
        <f t="shared" si="1"/>
        <v>#VALUE!</v>
      </c>
    </row>
    <row r="22" spans="1:36" x14ac:dyDescent="0.2">
      <c r="A22" s="122"/>
      <c r="B22" s="192" t="s">
        <v>90</v>
      </c>
      <c r="C22" s="78" t="str">
        <v>AB</v>
      </c>
      <c r="D22" s="78" t="str">
        <v>3E</v>
      </c>
      <c r="E22" s="76" t="str">
        <f t="shared" si="2"/>
        <v>EURAB3E14Y_Quote</v>
      </c>
      <c r="F22" s="76" t="str">
        <f>_xll.qlSimpleQuote(Currency&amp;$C22&amp;$D22&amp;$B22&amp;QuoteSuffix,,RateTickValue,Permanent,Trigger,ObjectOverwrite)</f>
        <v>EURAB3E14Y_Quote#0000</v>
      </c>
      <c r="G22" s="30" t="str">
        <f>_xll.ohRangeRetrieveError(F22)</f>
        <v/>
      </c>
      <c r="H22" s="49"/>
      <c r="N22" s="122"/>
      <c r="O22" s="264" t="s">
        <v>90</v>
      </c>
      <c r="P22" s="371" t="str">
        <v>AB</v>
      </c>
      <c r="Q22" s="371" t="str">
        <v>3E</v>
      </c>
      <c r="R22" s="298" t="str">
        <f t="shared" si="0"/>
        <v>EURAB3E14Y</v>
      </c>
      <c r="S22" s="298" t="str">
        <v>EURAB3E14Y=ICAP</v>
      </c>
      <c r="T22" s="299" t="s">
        <v>244</v>
      </c>
      <c r="U22" s="299" t="s">
        <v>244</v>
      </c>
      <c r="V22" s="299" t="s">
        <v>244</v>
      </c>
      <c r="W22" s="299" t="s">
        <v>244</v>
      </c>
      <c r="X22" s="262" t="e">
        <f>_xll.qlMidSafe($T22,$U22)</f>
        <v>#NUM!</v>
      </c>
      <c r="Y22" s="253"/>
      <c r="Z22" s="261" t="e">
        <v>#NUM!</v>
      </c>
      <c r="AA22" s="253"/>
      <c r="AB22" s="324" t="e">
        <v>#NUM!</v>
      </c>
      <c r="AC22" s="258" t="e">
        <f>_xll.qlSimpleQuoteSetValue(F22,AB22/100,Trigger)</f>
        <v>#NUM!</v>
      </c>
      <c r="AD22" s="217"/>
      <c r="AE22" s="17"/>
      <c r="AF22" s="17"/>
      <c r="AG22" s="17"/>
      <c r="AH22" s="17"/>
      <c r="AI22" s="17"/>
      <c r="AJ22" s="290" t="e">
        <f t="shared" si="1"/>
        <v>#VALUE!</v>
      </c>
    </row>
    <row r="23" spans="1:36" x14ac:dyDescent="0.2">
      <c r="A23" s="122"/>
      <c r="B23" s="192" t="s">
        <v>89</v>
      </c>
      <c r="C23" s="78" t="str">
        <v>AB</v>
      </c>
      <c r="D23" s="78" t="str">
        <v>3E</v>
      </c>
      <c r="E23" s="76" t="str">
        <f t="shared" si="2"/>
        <v>EURAB3E15Y_Quote</v>
      </c>
      <c r="F23" s="76" t="str">
        <f>_xll.qlSimpleQuote(Currency&amp;$C23&amp;$D23&amp;$B23&amp;QuoteSuffix,,RateTickValue,Permanent,Trigger,ObjectOverwrite)</f>
        <v>EURAB3E15Y_Quote#0000</v>
      </c>
      <c r="G23" s="30" t="str">
        <f>_xll.ohRangeRetrieveError(F23)</f>
        <v/>
      </c>
      <c r="H23" s="49"/>
      <c r="N23" s="122"/>
      <c r="O23" s="264" t="s">
        <v>89</v>
      </c>
      <c r="P23" s="371" t="str">
        <v>AB</v>
      </c>
      <c r="Q23" s="371" t="str">
        <v>3E</v>
      </c>
      <c r="R23" s="298" t="str">
        <f t="shared" si="0"/>
        <v>EURAB3E15Y</v>
      </c>
      <c r="S23" s="298" t="str">
        <v>EURAB3E15Y=ICAP</v>
      </c>
      <c r="T23" s="299">
        <v>2.2639999999999998</v>
      </c>
      <c r="U23" s="299">
        <v>2.3140000000000001</v>
      </c>
      <c r="V23" s="299">
        <v>0</v>
      </c>
      <c r="W23" s="299">
        <v>0</v>
      </c>
      <c r="X23" s="262">
        <f>_xll.qlMidSafe($T23,$U23)</f>
        <v>2.2889999999999997</v>
      </c>
      <c r="Y23" s="253"/>
      <c r="Z23" s="261">
        <v>2.3780000000000001</v>
      </c>
      <c r="AA23" s="253"/>
      <c r="AB23" s="324">
        <v>2.3780000000000001</v>
      </c>
      <c r="AC23" s="258" t="e">
        <f>_xll.qlSimpleQuoteSetValue(F23,AB23/100,Trigger)</f>
        <v>#N/A</v>
      </c>
      <c r="AD23" s="217"/>
      <c r="AE23" s="17"/>
      <c r="AF23" s="17"/>
      <c r="AG23" s="17"/>
      <c r="AH23" s="17"/>
      <c r="AI23" s="17"/>
      <c r="AJ23" s="290">
        <f t="shared" si="1"/>
        <v>5.0000000000000706E-4</v>
      </c>
    </row>
    <row r="24" spans="1:36" x14ac:dyDescent="0.2">
      <c r="A24" s="122"/>
      <c r="B24" s="192" t="s">
        <v>88</v>
      </c>
      <c r="C24" s="78" t="str">
        <v>AB</v>
      </c>
      <c r="D24" s="78" t="str">
        <v>3E</v>
      </c>
      <c r="E24" s="76" t="str">
        <f t="shared" si="2"/>
        <v>EURAB3E16Y_Quote</v>
      </c>
      <c r="F24" s="76" t="str">
        <f>_xll.qlSimpleQuote(Currency&amp;$C24&amp;$D24&amp;$B24&amp;QuoteSuffix,,RateTickValue,Permanent,Trigger,ObjectOverwrite)</f>
        <v>EURAB3E16Y_Quote#0000</v>
      </c>
      <c r="G24" s="30" t="str">
        <f>_xll.ohRangeRetrieveError(F24)</f>
        <v/>
      </c>
      <c r="H24" s="49"/>
      <c r="N24" s="122"/>
      <c r="O24" s="264" t="s">
        <v>88</v>
      </c>
      <c r="P24" s="371" t="str">
        <v>AB</v>
      </c>
      <c r="Q24" s="371" t="str">
        <v>3E</v>
      </c>
      <c r="R24" s="298" t="str">
        <f t="shared" si="0"/>
        <v>EURAB3E16Y</v>
      </c>
      <c r="S24" s="298" t="str">
        <v>EURAB3E16Y=ICAP</v>
      </c>
      <c r="T24" s="299" t="s">
        <v>244</v>
      </c>
      <c r="U24" s="299" t="s">
        <v>244</v>
      </c>
      <c r="V24" s="299" t="s">
        <v>244</v>
      </c>
      <c r="W24" s="299" t="s">
        <v>244</v>
      </c>
      <c r="X24" s="262" t="e">
        <f>_xll.qlMidSafe($T24,$U24)</f>
        <v>#NUM!</v>
      </c>
      <c r="Y24" s="253"/>
      <c r="Z24" s="261" t="e">
        <v>#NUM!</v>
      </c>
      <c r="AA24" s="253"/>
      <c r="AB24" s="324" t="e">
        <v>#NUM!</v>
      </c>
      <c r="AC24" s="258" t="e">
        <f>_xll.qlSimpleQuoteSetValue(F24,AB24/100,Trigger)</f>
        <v>#NUM!</v>
      </c>
      <c r="AD24" s="217"/>
      <c r="AE24" s="17"/>
      <c r="AF24" s="17"/>
      <c r="AG24" s="17"/>
      <c r="AH24" s="17"/>
      <c r="AI24" s="17"/>
      <c r="AJ24" s="290" t="e">
        <f t="shared" si="1"/>
        <v>#VALUE!</v>
      </c>
    </row>
    <row r="25" spans="1:36" x14ac:dyDescent="0.2">
      <c r="A25" s="122"/>
      <c r="B25" s="192" t="s">
        <v>87</v>
      </c>
      <c r="C25" s="78" t="str">
        <v>AB</v>
      </c>
      <c r="D25" s="78" t="str">
        <v>3E</v>
      </c>
      <c r="E25" s="76" t="str">
        <f t="shared" si="2"/>
        <v>EURAB3E17Y_Quote</v>
      </c>
      <c r="F25" s="76" t="str">
        <f>_xll.qlSimpleQuote(Currency&amp;$C25&amp;$D25&amp;$B25&amp;QuoteSuffix,,RateTickValue,Permanent,Trigger,ObjectOverwrite)</f>
        <v>EURAB3E17Y_Quote#0000</v>
      </c>
      <c r="G25" s="30" t="str">
        <f>_xll.ohRangeRetrieveError(F25)</f>
        <v/>
      </c>
      <c r="H25" s="49"/>
      <c r="N25" s="122"/>
      <c r="O25" s="264" t="s">
        <v>87</v>
      </c>
      <c r="P25" s="371" t="str">
        <v>AB</v>
      </c>
      <c r="Q25" s="371" t="str">
        <v>3E</v>
      </c>
      <c r="R25" s="298" t="str">
        <f t="shared" si="0"/>
        <v>EURAB3E17Y</v>
      </c>
      <c r="S25" s="298" t="str">
        <v>EURAB3E17Y=ICAP</v>
      </c>
      <c r="T25" s="299" t="s">
        <v>244</v>
      </c>
      <c r="U25" s="299" t="s">
        <v>244</v>
      </c>
      <c r="V25" s="299" t="s">
        <v>244</v>
      </c>
      <c r="W25" s="299" t="s">
        <v>244</v>
      </c>
      <c r="X25" s="262" t="e">
        <f>_xll.qlMidSafe($T25,$U25)</f>
        <v>#NUM!</v>
      </c>
      <c r="Y25" s="253"/>
      <c r="Z25" s="261" t="e">
        <v>#NUM!</v>
      </c>
      <c r="AA25" s="253"/>
      <c r="AB25" s="324" t="e">
        <v>#NUM!</v>
      </c>
      <c r="AC25" s="258" t="e">
        <f>_xll.qlSimpleQuoteSetValue(F25,AB25/100,Trigger)</f>
        <v>#NUM!</v>
      </c>
      <c r="AD25" s="217"/>
      <c r="AE25" s="17"/>
      <c r="AF25" s="17"/>
      <c r="AG25" s="17"/>
      <c r="AH25" s="17"/>
      <c r="AI25" s="17"/>
      <c r="AJ25" s="290" t="e">
        <f t="shared" si="1"/>
        <v>#VALUE!</v>
      </c>
    </row>
    <row r="26" spans="1:36" x14ac:dyDescent="0.2">
      <c r="A26" s="122"/>
      <c r="B26" s="192" t="s">
        <v>86</v>
      </c>
      <c r="C26" s="78" t="str">
        <v>AB</v>
      </c>
      <c r="D26" s="78" t="str">
        <v>3E</v>
      </c>
      <c r="E26" s="76" t="str">
        <f t="shared" si="2"/>
        <v>EURAB3E18Y_Quote</v>
      </c>
      <c r="F26" s="76" t="str">
        <f>_xll.qlSimpleQuote(Currency&amp;$C26&amp;$D26&amp;$B26&amp;QuoteSuffix,,RateTickValue,Permanent,Trigger,ObjectOverwrite)</f>
        <v>EURAB3E18Y_Quote#0000</v>
      </c>
      <c r="G26" s="30" t="str">
        <f>_xll.ohRangeRetrieveError(F26)</f>
        <v/>
      </c>
      <c r="H26" s="49"/>
      <c r="N26" s="122"/>
      <c r="O26" s="264" t="s">
        <v>86</v>
      </c>
      <c r="P26" s="371" t="str">
        <v>AB</v>
      </c>
      <c r="Q26" s="371" t="str">
        <v>3E</v>
      </c>
      <c r="R26" s="298" t="str">
        <f t="shared" si="0"/>
        <v>EURAB3E18Y</v>
      </c>
      <c r="S26" s="298" t="str">
        <v>EURAB3E18Y=ICAP</v>
      </c>
      <c r="T26" s="299" t="s">
        <v>244</v>
      </c>
      <c r="U26" s="299" t="s">
        <v>244</v>
      </c>
      <c r="V26" s="299" t="s">
        <v>244</v>
      </c>
      <c r="W26" s="299" t="s">
        <v>244</v>
      </c>
      <c r="X26" s="262" t="e">
        <f>_xll.qlMidSafe($T26,$U26)</f>
        <v>#NUM!</v>
      </c>
      <c r="Y26" s="253"/>
      <c r="Z26" s="261" t="e">
        <v>#NUM!</v>
      </c>
      <c r="AA26" s="253"/>
      <c r="AB26" s="324" t="e">
        <v>#NUM!</v>
      </c>
      <c r="AC26" s="258" t="e">
        <f>_xll.qlSimpleQuoteSetValue(F26,AB26/100,Trigger)</f>
        <v>#NUM!</v>
      </c>
      <c r="AD26" s="217"/>
      <c r="AE26" s="17"/>
      <c r="AF26" s="17"/>
      <c r="AG26" s="17"/>
      <c r="AH26" s="17"/>
      <c r="AI26" s="17"/>
      <c r="AJ26" s="290" t="e">
        <f t="shared" si="1"/>
        <v>#VALUE!</v>
      </c>
    </row>
    <row r="27" spans="1:36" x14ac:dyDescent="0.2">
      <c r="A27" s="122"/>
      <c r="B27" s="192" t="s">
        <v>85</v>
      </c>
      <c r="C27" s="78" t="str">
        <v>AB</v>
      </c>
      <c r="D27" s="78" t="str">
        <v>3E</v>
      </c>
      <c r="E27" s="76" t="str">
        <f t="shared" si="2"/>
        <v>EURAB3E19Y_Quote</v>
      </c>
      <c r="F27" s="76" t="str">
        <f>_xll.qlSimpleQuote(Currency&amp;$C27&amp;$D27&amp;$B27&amp;QuoteSuffix,,RateTickValue,Permanent,Trigger,ObjectOverwrite)</f>
        <v>EURAB3E19Y_Quote#0000</v>
      </c>
      <c r="G27" s="30" t="str">
        <f>_xll.ohRangeRetrieveError(F27)</f>
        <v/>
      </c>
      <c r="H27" s="49"/>
      <c r="N27" s="122"/>
      <c r="O27" s="264" t="s">
        <v>85</v>
      </c>
      <c r="P27" s="371" t="str">
        <v>AB</v>
      </c>
      <c r="Q27" s="371" t="str">
        <v>3E</v>
      </c>
      <c r="R27" s="298" t="str">
        <f t="shared" si="0"/>
        <v>EURAB3E19Y</v>
      </c>
      <c r="S27" s="298" t="str">
        <v>EURAB3E19Y=ICAP</v>
      </c>
      <c r="T27" s="299" t="s">
        <v>244</v>
      </c>
      <c r="U27" s="299" t="s">
        <v>244</v>
      </c>
      <c r="V27" s="299" t="s">
        <v>244</v>
      </c>
      <c r="W27" s="299" t="s">
        <v>244</v>
      </c>
      <c r="X27" s="262" t="e">
        <f>_xll.qlMidSafe($T27,$U27)</f>
        <v>#NUM!</v>
      </c>
      <c r="Y27" s="253"/>
      <c r="Z27" s="261" t="e">
        <v>#NUM!</v>
      </c>
      <c r="AA27" s="253"/>
      <c r="AB27" s="324" t="e">
        <v>#NUM!</v>
      </c>
      <c r="AC27" s="258" t="e">
        <f>_xll.qlSimpleQuoteSetValue(F27,AB27/100,Trigger)</f>
        <v>#NUM!</v>
      </c>
      <c r="AD27" s="217"/>
      <c r="AE27" s="17"/>
      <c r="AF27" s="17"/>
      <c r="AG27" s="17"/>
      <c r="AH27" s="17"/>
      <c r="AI27" s="17"/>
      <c r="AJ27" s="290" t="e">
        <f t="shared" si="1"/>
        <v>#VALUE!</v>
      </c>
    </row>
    <row r="28" spans="1:36" x14ac:dyDescent="0.2">
      <c r="A28" s="122"/>
      <c r="B28" s="192" t="s">
        <v>84</v>
      </c>
      <c r="C28" s="78" t="str">
        <v>AB</v>
      </c>
      <c r="D28" s="78" t="str">
        <v>3E</v>
      </c>
      <c r="E28" s="76" t="str">
        <f t="shared" si="2"/>
        <v>EURAB3E20Y_Quote</v>
      </c>
      <c r="F28" s="76" t="str">
        <f>_xll.qlSimpleQuote(Currency&amp;$C28&amp;$D28&amp;$B28&amp;QuoteSuffix,,RateTickValue,Permanent,Trigger,ObjectOverwrite)</f>
        <v>EURAB3E20Y_Quote#0000</v>
      </c>
      <c r="G28" s="30" t="str">
        <f>_xll.ohRangeRetrieveError(F28)</f>
        <v/>
      </c>
      <c r="H28" s="49"/>
      <c r="N28" s="122"/>
      <c r="O28" s="264" t="s">
        <v>84</v>
      </c>
      <c r="P28" s="371" t="str">
        <v>AB</v>
      </c>
      <c r="Q28" s="371" t="str">
        <v>3E</v>
      </c>
      <c r="R28" s="298" t="str">
        <f t="shared" si="0"/>
        <v>EURAB3E20Y</v>
      </c>
      <c r="S28" s="298" t="str">
        <v>EURAB3E20Y=ICAP</v>
      </c>
      <c r="T28" s="299">
        <v>2.387</v>
      </c>
      <c r="U28" s="299">
        <v>2.4369999999999998</v>
      </c>
      <c r="V28" s="299">
        <v>0</v>
      </c>
      <c r="W28" s="299">
        <v>0</v>
      </c>
      <c r="X28" s="262">
        <f>_xll.qlMidSafe($T28,$U28)</f>
        <v>2.4119999999999999</v>
      </c>
      <c r="Y28" s="253"/>
      <c r="Z28" s="261">
        <v>2.5449999999999999</v>
      </c>
      <c r="AA28" s="253"/>
      <c r="AB28" s="324">
        <v>2.5449999999999999</v>
      </c>
      <c r="AC28" s="258" t="e">
        <f>_xll.qlSimpleQuoteSetValue(F28,AB28/100,Trigger)</f>
        <v>#N/A</v>
      </c>
      <c r="AD28" s="217"/>
      <c r="AE28" s="17"/>
      <c r="AF28" s="17"/>
      <c r="AG28" s="17"/>
      <c r="AH28" s="17"/>
      <c r="AI28" s="17"/>
      <c r="AJ28" s="290">
        <f t="shared" si="1"/>
        <v>4.9999999999999828E-4</v>
      </c>
    </row>
    <row r="29" spans="1:36" x14ac:dyDescent="0.2">
      <c r="A29" s="122"/>
      <c r="B29" s="192" t="s">
        <v>83</v>
      </c>
      <c r="C29" s="78" t="str">
        <v>AB</v>
      </c>
      <c r="D29" s="78" t="str">
        <v>3E</v>
      </c>
      <c r="E29" s="76" t="str">
        <f t="shared" si="2"/>
        <v>EURAB3E21Y_Quote</v>
      </c>
      <c r="F29" s="76" t="str">
        <f>_xll.qlSimpleQuote(Currency&amp;$C29&amp;$D29&amp;$B29&amp;QuoteSuffix,,RateTickValue,Permanent,Trigger,ObjectOverwrite)</f>
        <v>EURAB3E21Y_Quote#0000</v>
      </c>
      <c r="G29" s="30" t="str">
        <f>_xll.ohRangeRetrieveError(F29)</f>
        <v/>
      </c>
      <c r="H29" s="49"/>
      <c r="N29" s="122"/>
      <c r="O29" s="264" t="s">
        <v>83</v>
      </c>
      <c r="P29" s="372" t="str">
        <v>AB</v>
      </c>
      <c r="Q29" s="372" t="str">
        <v>3E</v>
      </c>
      <c r="R29" s="298" t="str">
        <f t="shared" si="0"/>
        <v>EURAB3E21Y</v>
      </c>
      <c r="S29" s="298" t="str">
        <v>EURAB3E21Y=ICAP</v>
      </c>
      <c r="T29" s="299" t="s">
        <v>244</v>
      </c>
      <c r="U29" s="299" t="s">
        <v>244</v>
      </c>
      <c r="V29" s="299" t="s">
        <v>244</v>
      </c>
      <c r="W29" s="299" t="s">
        <v>244</v>
      </c>
      <c r="X29" s="262" t="e">
        <f>_xll.qlMidSafe($T29,$U29)</f>
        <v>#NUM!</v>
      </c>
      <c r="Y29" s="253"/>
      <c r="Z29" s="261" t="e">
        <v>#NUM!</v>
      </c>
      <c r="AA29" s="253"/>
      <c r="AB29" s="324" t="e">
        <v>#NUM!</v>
      </c>
      <c r="AC29" s="258" t="e">
        <f>_xll.qlSimpleQuoteSetValue(F29,AB29/100,Trigger)</f>
        <v>#NUM!</v>
      </c>
      <c r="AD29" s="217"/>
      <c r="AE29" s="17"/>
      <c r="AF29" s="17"/>
      <c r="AG29" s="17"/>
      <c r="AH29" s="17"/>
      <c r="AI29" s="17"/>
      <c r="AJ29" s="290" t="e">
        <f t="shared" si="1"/>
        <v>#VALUE!</v>
      </c>
    </row>
    <row r="30" spans="1:36" x14ac:dyDescent="0.2">
      <c r="A30" s="122"/>
      <c r="B30" s="192" t="s">
        <v>82</v>
      </c>
      <c r="C30" s="78" t="str">
        <v>AB</v>
      </c>
      <c r="D30" s="78" t="str">
        <v>3E</v>
      </c>
      <c r="E30" s="76" t="str">
        <f t="shared" si="2"/>
        <v>EURAB3E22Y_Quote</v>
      </c>
      <c r="F30" s="76" t="str">
        <f>_xll.qlSimpleQuote(Currency&amp;$C30&amp;$D30&amp;$B30&amp;QuoteSuffix,,RateTickValue,Permanent,Trigger,ObjectOverwrite)</f>
        <v>EURAB3E22Y_Quote#0000</v>
      </c>
      <c r="G30" s="30" t="str">
        <f>_xll.ohRangeRetrieveError(F30)</f>
        <v/>
      </c>
      <c r="H30" s="49"/>
      <c r="N30" s="122"/>
      <c r="O30" s="264" t="s">
        <v>82</v>
      </c>
      <c r="P30" s="371" t="str">
        <v>AB</v>
      </c>
      <c r="Q30" s="371" t="str">
        <v>3E</v>
      </c>
      <c r="R30" s="298" t="str">
        <f t="shared" si="0"/>
        <v>EURAB3E22Y</v>
      </c>
      <c r="S30" s="298" t="str">
        <v>EURAB3E22Y=ICAP</v>
      </c>
      <c r="T30" s="299" t="s">
        <v>244</v>
      </c>
      <c r="U30" s="299" t="s">
        <v>244</v>
      </c>
      <c r="V30" s="299" t="s">
        <v>244</v>
      </c>
      <c r="W30" s="299" t="s">
        <v>244</v>
      </c>
      <c r="X30" s="262" t="e">
        <f>_xll.qlMidSafe($T30,$U30)</f>
        <v>#NUM!</v>
      </c>
      <c r="Y30" s="253"/>
      <c r="Z30" s="261" t="e">
        <v>#NUM!</v>
      </c>
      <c r="AA30" s="253"/>
      <c r="AB30" s="324" t="e">
        <v>#NUM!</v>
      </c>
      <c r="AC30" s="258" t="e">
        <f>_xll.qlSimpleQuoteSetValue(F30,AB30/100,Trigger)</f>
        <v>#NUM!</v>
      </c>
      <c r="AD30" s="217"/>
      <c r="AE30" s="17"/>
      <c r="AF30" s="17"/>
      <c r="AG30" s="17"/>
      <c r="AH30" s="17"/>
      <c r="AI30" s="17"/>
      <c r="AJ30" s="290" t="e">
        <f t="shared" si="1"/>
        <v>#VALUE!</v>
      </c>
    </row>
    <row r="31" spans="1:36" x14ac:dyDescent="0.2">
      <c r="A31" s="122"/>
      <c r="B31" s="192" t="s">
        <v>81</v>
      </c>
      <c r="C31" s="78" t="str">
        <v>AB</v>
      </c>
      <c r="D31" s="78" t="str">
        <v>3E</v>
      </c>
      <c r="E31" s="76" t="str">
        <f t="shared" si="2"/>
        <v>EURAB3E23Y_Quote</v>
      </c>
      <c r="F31" s="76" t="str">
        <f>_xll.qlSimpleQuote(Currency&amp;$C31&amp;$D31&amp;$B31&amp;QuoteSuffix,,RateTickValue,Permanent,Trigger,ObjectOverwrite)</f>
        <v>EURAB3E23Y_Quote#0000</v>
      </c>
      <c r="G31" s="30" t="str">
        <f>_xll.ohRangeRetrieveError(F31)</f>
        <v/>
      </c>
      <c r="H31" s="49"/>
      <c r="N31" s="122"/>
      <c r="O31" s="264" t="s">
        <v>81</v>
      </c>
      <c r="P31" s="371" t="str">
        <v>AB</v>
      </c>
      <c r="Q31" s="371" t="str">
        <v>3E</v>
      </c>
      <c r="R31" s="298" t="str">
        <f t="shared" si="0"/>
        <v>EURAB3E23Y</v>
      </c>
      <c r="S31" s="298" t="str">
        <v>EURAB3E23Y=ICAP</v>
      </c>
      <c r="T31" s="299" t="s">
        <v>244</v>
      </c>
      <c r="U31" s="299" t="s">
        <v>244</v>
      </c>
      <c r="V31" s="299" t="s">
        <v>244</v>
      </c>
      <c r="W31" s="299" t="s">
        <v>244</v>
      </c>
      <c r="X31" s="262" t="e">
        <f>_xll.qlMidSafe($T31,$U31)</f>
        <v>#NUM!</v>
      </c>
      <c r="Y31" s="253"/>
      <c r="Z31" s="261" t="e">
        <v>#NUM!</v>
      </c>
      <c r="AA31" s="253"/>
      <c r="AB31" s="324" t="e">
        <v>#NUM!</v>
      </c>
      <c r="AC31" s="258" t="e">
        <f>_xll.qlSimpleQuoteSetValue(F31,AB31/100,Trigger)</f>
        <v>#NUM!</v>
      </c>
      <c r="AD31" s="217"/>
      <c r="AE31" s="17"/>
      <c r="AF31" s="17"/>
      <c r="AG31" s="17"/>
      <c r="AH31" s="17"/>
      <c r="AI31" s="17"/>
      <c r="AJ31" s="290" t="e">
        <f t="shared" si="1"/>
        <v>#VALUE!</v>
      </c>
    </row>
    <row r="32" spans="1:36" x14ac:dyDescent="0.2">
      <c r="A32" s="122"/>
      <c r="B32" s="192" t="s">
        <v>80</v>
      </c>
      <c r="C32" s="78" t="str">
        <v>AB</v>
      </c>
      <c r="D32" s="78" t="str">
        <v>3E</v>
      </c>
      <c r="E32" s="76" t="str">
        <f t="shared" si="2"/>
        <v>EURAB3E24Y_Quote</v>
      </c>
      <c r="F32" s="76" t="str">
        <f>_xll.qlSimpleQuote(Currency&amp;$C32&amp;$D32&amp;$B32&amp;QuoteSuffix,,RateTickValue,Permanent,Trigger,ObjectOverwrite)</f>
        <v>EURAB3E24Y_Quote#0000</v>
      </c>
      <c r="G32" s="30" t="str">
        <f>_xll.ohRangeRetrieveError(F32)</f>
        <v/>
      </c>
      <c r="H32" s="49"/>
      <c r="N32" s="122"/>
      <c r="O32" s="264" t="s">
        <v>80</v>
      </c>
      <c r="P32" s="371" t="str">
        <v>AB</v>
      </c>
      <c r="Q32" s="371" t="str">
        <v>3E</v>
      </c>
      <c r="R32" s="298" t="str">
        <f t="shared" si="0"/>
        <v>EURAB3E24Y</v>
      </c>
      <c r="S32" s="298" t="str">
        <v>EURAB3E24Y=ICAP</v>
      </c>
      <c r="T32" s="299" t="s">
        <v>244</v>
      </c>
      <c r="U32" s="299" t="s">
        <v>244</v>
      </c>
      <c r="V32" s="299" t="s">
        <v>244</v>
      </c>
      <c r="W32" s="299" t="s">
        <v>244</v>
      </c>
      <c r="X32" s="262" t="e">
        <f>_xll.qlMidSafe($T32,$U32)</f>
        <v>#NUM!</v>
      </c>
      <c r="Y32" s="253"/>
      <c r="Z32" s="261" t="e">
        <v>#NUM!</v>
      </c>
      <c r="AA32" s="253"/>
      <c r="AB32" s="324" t="e">
        <v>#NUM!</v>
      </c>
      <c r="AC32" s="258" t="e">
        <f>_xll.qlSimpleQuoteSetValue(F32,AB32/100,Trigger)</f>
        <v>#NUM!</v>
      </c>
      <c r="AD32" s="217"/>
      <c r="AE32" s="17"/>
      <c r="AF32" s="17"/>
      <c r="AG32" s="17"/>
      <c r="AH32" s="17"/>
      <c r="AI32" s="17"/>
      <c r="AJ32" s="290" t="e">
        <f t="shared" si="1"/>
        <v>#VALUE!</v>
      </c>
    </row>
    <row r="33" spans="1:36" x14ac:dyDescent="0.2">
      <c r="A33" s="122"/>
      <c r="B33" s="192" t="s">
        <v>79</v>
      </c>
      <c r="C33" s="78" t="str">
        <v>AB</v>
      </c>
      <c r="D33" s="78" t="str">
        <v>3E</v>
      </c>
      <c r="E33" s="76" t="str">
        <f t="shared" si="2"/>
        <v>EURAB3E25Y_Quote</v>
      </c>
      <c r="F33" s="76" t="str">
        <f>_xll.qlSimpleQuote(Currency&amp;$C33&amp;$D33&amp;$B33&amp;QuoteSuffix,,RateTickValue,Permanent,Trigger,ObjectOverwrite)</f>
        <v>EURAB3E25Y_Quote#0000</v>
      </c>
      <c r="G33" s="30" t="str">
        <f>_xll.ohRangeRetrieveError(F33)</f>
        <v/>
      </c>
      <c r="H33" s="49"/>
      <c r="N33" s="122"/>
      <c r="O33" s="264" t="s">
        <v>79</v>
      </c>
      <c r="P33" s="371" t="str">
        <v>AB</v>
      </c>
      <c r="Q33" s="371" t="str">
        <v>3E</v>
      </c>
      <c r="R33" s="298" t="str">
        <f t="shared" si="0"/>
        <v>EURAB3E25Y</v>
      </c>
      <c r="S33" s="298" t="str">
        <v>EURAB3E25Y=ICAP</v>
      </c>
      <c r="T33" s="299">
        <v>2.4089999999999998</v>
      </c>
      <c r="U33" s="299">
        <v>2.4590000000000001</v>
      </c>
      <c r="V33" s="299">
        <v>0</v>
      </c>
      <c r="W33" s="299">
        <v>0</v>
      </c>
      <c r="X33" s="262">
        <f>_xll.qlMidSafe($T33,$U33)</f>
        <v>2.4340000000000002</v>
      </c>
      <c r="Y33" s="253"/>
      <c r="Z33" s="261">
        <v>2.5939999999999999</v>
      </c>
      <c r="AA33" s="253"/>
      <c r="AB33" s="324">
        <v>2.5939999999999999</v>
      </c>
      <c r="AC33" s="258" t="e">
        <f>_xll.qlSimpleQuoteSetValue(F33,AB33/100,Trigger)</f>
        <v>#N/A</v>
      </c>
      <c r="AD33" s="217"/>
      <c r="AE33" s="17"/>
      <c r="AF33" s="17"/>
      <c r="AG33" s="17"/>
      <c r="AH33" s="17"/>
      <c r="AI33" s="17"/>
      <c r="AJ33" s="290">
        <f t="shared" si="1"/>
        <v>4.9999999999999828E-4</v>
      </c>
    </row>
    <row r="34" spans="1:36" x14ac:dyDescent="0.2">
      <c r="A34" s="122"/>
      <c r="B34" s="192" t="s">
        <v>78</v>
      </c>
      <c r="C34" s="78" t="str">
        <v>AB</v>
      </c>
      <c r="D34" s="78" t="str">
        <v>3E</v>
      </c>
      <c r="E34" s="76" t="str">
        <f t="shared" si="2"/>
        <v>EURAB3E26Y_Quote</v>
      </c>
      <c r="F34" s="76" t="str">
        <f>_xll.qlSimpleQuote(Currency&amp;$C34&amp;$D34&amp;$B34&amp;QuoteSuffix,,RateTickValue,Permanent,Trigger,ObjectOverwrite)</f>
        <v>EURAB3E26Y_Quote#0000</v>
      </c>
      <c r="G34" s="30" t="str">
        <f>_xll.ohRangeRetrieveError(F34)</f>
        <v/>
      </c>
      <c r="H34" s="49"/>
      <c r="N34" s="122"/>
      <c r="O34" s="264" t="s">
        <v>78</v>
      </c>
      <c r="P34" s="371" t="str">
        <v>AB</v>
      </c>
      <c r="Q34" s="371" t="str">
        <v>3E</v>
      </c>
      <c r="R34" s="298" t="str">
        <f t="shared" si="0"/>
        <v>EURAB3E26Y</v>
      </c>
      <c r="S34" s="298" t="str">
        <v>EURAB3E26Y=ICAP</v>
      </c>
      <c r="T34" s="299" t="s">
        <v>244</v>
      </c>
      <c r="U34" s="299" t="s">
        <v>244</v>
      </c>
      <c r="V34" s="299" t="s">
        <v>244</v>
      </c>
      <c r="W34" s="299" t="s">
        <v>244</v>
      </c>
      <c r="X34" s="262" t="e">
        <f>_xll.qlMidSafe($T34,$U34)</f>
        <v>#NUM!</v>
      </c>
      <c r="Y34" s="253"/>
      <c r="Z34" s="261" t="e">
        <v>#NUM!</v>
      </c>
      <c r="AA34" s="253"/>
      <c r="AB34" s="324" t="e">
        <v>#NUM!</v>
      </c>
      <c r="AC34" s="258" t="e">
        <f>_xll.qlSimpleQuoteSetValue(F34,AB34/100,Trigger)</f>
        <v>#NUM!</v>
      </c>
      <c r="AD34" s="217"/>
      <c r="AE34" s="17"/>
      <c r="AF34" s="17"/>
      <c r="AG34" s="17"/>
      <c r="AH34" s="17"/>
      <c r="AI34" s="17"/>
      <c r="AJ34" s="290" t="e">
        <f t="shared" si="1"/>
        <v>#VALUE!</v>
      </c>
    </row>
    <row r="35" spans="1:36" x14ac:dyDescent="0.2">
      <c r="A35" s="122"/>
      <c r="B35" s="192" t="s">
        <v>77</v>
      </c>
      <c r="C35" s="78" t="str">
        <v>AB</v>
      </c>
      <c r="D35" s="78" t="str">
        <v>3E</v>
      </c>
      <c r="E35" s="76" t="str">
        <f t="shared" si="2"/>
        <v>EURAB3E27Y_Quote</v>
      </c>
      <c r="F35" s="76" t="str">
        <f>_xll.qlSimpleQuote(Currency&amp;$C35&amp;$D35&amp;$B35&amp;QuoteSuffix,,RateTickValue,Permanent,Trigger,ObjectOverwrite)</f>
        <v>EURAB3E27Y_Quote#0000</v>
      </c>
      <c r="G35" s="30" t="str">
        <f>_xll.ohRangeRetrieveError(F35)</f>
        <v/>
      </c>
      <c r="H35" s="49"/>
      <c r="N35" s="122"/>
      <c r="O35" s="264" t="s">
        <v>77</v>
      </c>
      <c r="P35" s="371" t="str">
        <v>AB</v>
      </c>
      <c r="Q35" s="371" t="str">
        <v>3E</v>
      </c>
      <c r="R35" s="298" t="str">
        <f t="shared" si="0"/>
        <v>EURAB3E27Y</v>
      </c>
      <c r="S35" s="298" t="str">
        <v>EURAB3E27Y=ICAP</v>
      </c>
      <c r="T35" s="299" t="s">
        <v>244</v>
      </c>
      <c r="U35" s="299" t="s">
        <v>244</v>
      </c>
      <c r="V35" s="299" t="s">
        <v>244</v>
      </c>
      <c r="W35" s="299" t="s">
        <v>244</v>
      </c>
      <c r="X35" s="262" t="e">
        <f>_xll.qlMidSafe($T35,$U35)</f>
        <v>#NUM!</v>
      </c>
      <c r="Y35" s="253"/>
      <c r="Z35" s="261" t="e">
        <v>#NUM!</v>
      </c>
      <c r="AA35" s="253"/>
      <c r="AB35" s="324" t="e">
        <v>#NUM!</v>
      </c>
      <c r="AC35" s="258" t="e">
        <f>_xll.qlSimpleQuoteSetValue(F35,AB35/100,Trigger)</f>
        <v>#NUM!</v>
      </c>
      <c r="AD35" s="217"/>
      <c r="AE35" s="17"/>
      <c r="AF35" s="17"/>
      <c r="AG35" s="17"/>
      <c r="AH35" s="17"/>
      <c r="AI35" s="17"/>
      <c r="AJ35" s="290" t="e">
        <f t="shared" si="1"/>
        <v>#VALUE!</v>
      </c>
    </row>
    <row r="36" spans="1:36" x14ac:dyDescent="0.2">
      <c r="A36" s="122"/>
      <c r="B36" s="192" t="s">
        <v>76</v>
      </c>
      <c r="C36" s="78" t="str">
        <v>AB</v>
      </c>
      <c r="D36" s="78" t="str">
        <v>3E</v>
      </c>
      <c r="E36" s="76" t="str">
        <f t="shared" si="2"/>
        <v>EURAB3E28Y_Quote</v>
      </c>
      <c r="F36" s="76" t="str">
        <f>_xll.qlSimpleQuote(Currency&amp;$C36&amp;$D36&amp;$B36&amp;QuoteSuffix,,RateTickValue,Permanent,Trigger,ObjectOverwrite)</f>
        <v>EURAB3E28Y_Quote#0000</v>
      </c>
      <c r="G36" s="30" t="str">
        <f>_xll.ohRangeRetrieveError(F36)</f>
        <v/>
      </c>
      <c r="H36" s="49"/>
      <c r="N36" s="122"/>
      <c r="O36" s="264" t="s">
        <v>76</v>
      </c>
      <c r="P36" s="371" t="str">
        <v>AB</v>
      </c>
      <c r="Q36" s="371" t="str">
        <v>3E</v>
      </c>
      <c r="R36" s="298" t="str">
        <f t="shared" si="0"/>
        <v>EURAB3E28Y</v>
      </c>
      <c r="S36" s="298" t="str">
        <v>EURAB3E28Y=ICAP</v>
      </c>
      <c r="T36" s="299" t="s">
        <v>244</v>
      </c>
      <c r="U36" s="299" t="s">
        <v>244</v>
      </c>
      <c r="V36" s="299" t="s">
        <v>244</v>
      </c>
      <c r="W36" s="299" t="s">
        <v>244</v>
      </c>
      <c r="X36" s="262" t="e">
        <f>_xll.qlMidSafe($T36,$U36)</f>
        <v>#NUM!</v>
      </c>
      <c r="Y36" s="253"/>
      <c r="Z36" s="261" t="e">
        <v>#NUM!</v>
      </c>
      <c r="AA36" s="253"/>
      <c r="AB36" s="324" t="e">
        <v>#NUM!</v>
      </c>
      <c r="AC36" s="258" t="e">
        <f>_xll.qlSimpleQuoteSetValue(F36,AB36/100,Trigger)</f>
        <v>#NUM!</v>
      </c>
      <c r="AD36" s="217"/>
      <c r="AE36" s="17"/>
      <c r="AF36" s="17"/>
      <c r="AG36" s="17"/>
      <c r="AH36" s="17"/>
      <c r="AI36" s="17"/>
      <c r="AJ36" s="290" t="e">
        <f t="shared" si="1"/>
        <v>#VALUE!</v>
      </c>
    </row>
    <row r="37" spans="1:36" x14ac:dyDescent="0.2">
      <c r="A37" s="122"/>
      <c r="B37" s="192" t="s">
        <v>75</v>
      </c>
      <c r="C37" s="78" t="str">
        <v>AB</v>
      </c>
      <c r="D37" s="78" t="str">
        <v>3E</v>
      </c>
      <c r="E37" s="76" t="str">
        <f t="shared" si="2"/>
        <v>EURAB3E29Y_Quote</v>
      </c>
      <c r="F37" s="76" t="str">
        <f>_xll.qlSimpleQuote(Currency&amp;$C37&amp;$D37&amp;$B37&amp;QuoteSuffix,,RateTickValue,Permanent,Trigger,ObjectOverwrite)</f>
        <v>EURAB3E29Y_Quote#0000</v>
      </c>
      <c r="G37" s="30" t="str">
        <f>_xll.ohRangeRetrieveError(F37)</f>
        <v/>
      </c>
      <c r="H37" s="49"/>
      <c r="N37" s="122"/>
      <c r="O37" s="264" t="s">
        <v>75</v>
      </c>
      <c r="P37" s="371" t="str">
        <v>AB</v>
      </c>
      <c r="Q37" s="371" t="str">
        <v>3E</v>
      </c>
      <c r="R37" s="298" t="str">
        <f t="shared" si="0"/>
        <v>EURAB3E29Y</v>
      </c>
      <c r="S37" s="298" t="str">
        <v>EURAB3E29Y=ICAP</v>
      </c>
      <c r="T37" s="299" t="s">
        <v>244</v>
      </c>
      <c r="U37" s="299" t="s">
        <v>244</v>
      </c>
      <c r="V37" s="299" t="s">
        <v>244</v>
      </c>
      <c r="W37" s="299" t="s">
        <v>244</v>
      </c>
      <c r="X37" s="262" t="e">
        <f>_xll.qlMidSafe($T37,$U37)</f>
        <v>#NUM!</v>
      </c>
      <c r="Y37" s="253"/>
      <c r="Z37" s="261" t="e">
        <v>#NUM!</v>
      </c>
      <c r="AA37" s="253"/>
      <c r="AB37" s="324" t="e">
        <v>#NUM!</v>
      </c>
      <c r="AC37" s="258" t="e">
        <f>_xll.qlSimpleQuoteSetValue(F37,AB37/100,Trigger)</f>
        <v>#NUM!</v>
      </c>
      <c r="AD37" s="217"/>
      <c r="AE37" s="17"/>
      <c r="AF37" s="17"/>
      <c r="AG37" s="17"/>
      <c r="AH37" s="17"/>
      <c r="AI37" s="17"/>
      <c r="AJ37" s="290" t="e">
        <f t="shared" si="1"/>
        <v>#VALUE!</v>
      </c>
    </row>
    <row r="38" spans="1:36" x14ac:dyDescent="0.2">
      <c r="A38" s="122"/>
      <c r="B38" s="192" t="s">
        <v>74</v>
      </c>
      <c r="C38" s="78" t="str">
        <v>AB</v>
      </c>
      <c r="D38" s="78" t="str">
        <v>3E</v>
      </c>
      <c r="E38" s="76" t="str">
        <f t="shared" si="2"/>
        <v>EURAB3E30Y_Quote</v>
      </c>
      <c r="F38" s="76" t="str">
        <f>_xll.qlSimpleQuote(Currency&amp;$C38&amp;$D38&amp;$B38&amp;QuoteSuffix,,RateTickValue,Permanent,Trigger,ObjectOverwrite)</f>
        <v>EURAB3E30Y_Quote#0000</v>
      </c>
      <c r="G38" s="30" t="str">
        <f>_xll.ohRangeRetrieveError(F38)</f>
        <v/>
      </c>
      <c r="H38" s="49"/>
      <c r="N38" s="122"/>
      <c r="O38" s="264" t="s">
        <v>74</v>
      </c>
      <c r="P38" s="371" t="str">
        <v>AB</v>
      </c>
      <c r="Q38" s="371" t="str">
        <v>3E</v>
      </c>
      <c r="R38" s="298" t="str">
        <f t="shared" si="0"/>
        <v>EURAB3E30Y</v>
      </c>
      <c r="S38" s="298" t="str">
        <v>EURAB3E30Y=ICAP</v>
      </c>
      <c r="T38" s="299">
        <v>2.4060000000000001</v>
      </c>
      <c r="U38" s="299">
        <v>2.456</v>
      </c>
      <c r="V38" s="299">
        <v>0</v>
      </c>
      <c r="W38" s="299">
        <v>0</v>
      </c>
      <c r="X38" s="262">
        <f>_xll.qlMidSafe($T38,$U38)</f>
        <v>2.431</v>
      </c>
      <c r="Y38" s="253"/>
      <c r="Z38" s="261">
        <v>2.6</v>
      </c>
      <c r="AA38" s="253"/>
      <c r="AB38" s="324">
        <v>2.6</v>
      </c>
      <c r="AC38" s="258" t="e">
        <f>_xll.qlSimpleQuoteSetValue(F38,AB38/100,Trigger)</f>
        <v>#N/A</v>
      </c>
      <c r="AD38" s="217"/>
      <c r="AE38" s="17"/>
      <c r="AF38" s="17"/>
      <c r="AG38" s="17"/>
      <c r="AH38" s="17"/>
      <c r="AI38" s="17"/>
      <c r="AJ38" s="290">
        <f t="shared" si="1"/>
        <v>4.9999999999999828E-4</v>
      </c>
    </row>
    <row r="39" spans="1:36" x14ac:dyDescent="0.2">
      <c r="A39" s="122"/>
      <c r="B39" s="192" t="s">
        <v>69</v>
      </c>
      <c r="C39" s="78" t="str">
        <v>AB</v>
      </c>
      <c r="D39" s="78" t="str">
        <v>3E</v>
      </c>
      <c r="E39" s="76" t="str">
        <f t="shared" si="2"/>
        <v>EURAB3E35Y_Quote</v>
      </c>
      <c r="F39" s="76" t="str">
        <f>_xll.qlSimpleQuote(Currency&amp;$C39&amp;$D39&amp;$B39&amp;QuoteSuffix,,RateTickValue,Permanent,Trigger,ObjectOverwrite)</f>
        <v>EURAB3E35Y_Quote#0000</v>
      </c>
      <c r="G39" s="30" t="str">
        <f>_xll.ohRangeRetrieveError(F39)</f>
        <v/>
      </c>
      <c r="H39" s="49"/>
      <c r="N39" s="122"/>
      <c r="O39" s="264" t="s">
        <v>69</v>
      </c>
      <c r="P39" s="371" t="str">
        <v>AB</v>
      </c>
      <c r="Q39" s="371" t="str">
        <v>3E</v>
      </c>
      <c r="R39" s="298" t="str">
        <f t="shared" si="0"/>
        <v>EURAB3E35Y</v>
      </c>
      <c r="S39" s="298" t="str">
        <v>EURAB3E35Y=ICAP</v>
      </c>
      <c r="T39" s="299" t="s">
        <v>244</v>
      </c>
      <c r="U39" s="299" t="s">
        <v>244</v>
      </c>
      <c r="V39" s="299" t="s">
        <v>244</v>
      </c>
      <c r="W39" s="299" t="s">
        <v>244</v>
      </c>
      <c r="X39" s="262" t="e">
        <f>_xll.qlMidSafe($T39,$U39)</f>
        <v>#NUM!</v>
      </c>
      <c r="Y39" s="253"/>
      <c r="Z39" s="261" t="e">
        <v>#NUM!</v>
      </c>
      <c r="AA39" s="253"/>
      <c r="AB39" s="324" t="e">
        <v>#NUM!</v>
      </c>
      <c r="AC39" s="258" t="e">
        <f>_xll.qlSimpleQuoteSetValue(F39,AB39/100,Trigger)</f>
        <v>#NUM!</v>
      </c>
      <c r="AD39" s="217"/>
      <c r="AE39" s="17"/>
      <c r="AF39" s="17"/>
      <c r="AG39" s="17"/>
      <c r="AH39" s="17"/>
      <c r="AI39" s="17"/>
      <c r="AJ39" s="290" t="e">
        <f t="shared" si="1"/>
        <v>#VALUE!</v>
      </c>
    </row>
    <row r="40" spans="1:36" x14ac:dyDescent="0.2">
      <c r="A40" s="122"/>
      <c r="B40" s="192" t="s">
        <v>64</v>
      </c>
      <c r="C40" s="78" t="str">
        <v>AB</v>
      </c>
      <c r="D40" s="78" t="str">
        <v>3E</v>
      </c>
      <c r="E40" s="76" t="str">
        <f t="shared" si="2"/>
        <v>EURAB3E40Y_Quote</v>
      </c>
      <c r="F40" s="76" t="str">
        <f>_xll.qlSimpleQuote(Currency&amp;$C40&amp;$D40&amp;$B40&amp;QuoteSuffix,,RateTickValue,Permanent,Trigger,ObjectOverwrite)</f>
        <v>EURAB3E40Y_Quote#0000</v>
      </c>
      <c r="G40" s="30" t="str">
        <f>_xll.ohRangeRetrieveError(F40)</f>
        <v/>
      </c>
      <c r="H40" s="49"/>
      <c r="N40" s="122"/>
      <c r="O40" s="264" t="s">
        <v>64</v>
      </c>
      <c r="P40" s="371" t="str">
        <v>AB</v>
      </c>
      <c r="Q40" s="371" t="str">
        <v>3E</v>
      </c>
      <c r="R40" s="298" t="str">
        <f t="shared" si="0"/>
        <v>EURAB3E40Y</v>
      </c>
      <c r="S40" s="298" t="str">
        <v>EURAB3E40Y=ICAP</v>
      </c>
      <c r="T40" s="299">
        <v>2.456</v>
      </c>
      <c r="U40" s="299">
        <v>2.5059999999999998</v>
      </c>
      <c r="V40" s="299">
        <v>0</v>
      </c>
      <c r="W40" s="299">
        <v>0</v>
      </c>
      <c r="X40" s="262">
        <f>_xll.qlMidSafe($T40,$U40)</f>
        <v>2.4809999999999999</v>
      </c>
      <c r="Y40" s="253"/>
      <c r="Z40" s="261">
        <v>2.6320000000000001</v>
      </c>
      <c r="AA40" s="253"/>
      <c r="AB40" s="324">
        <v>2.6320000000000001</v>
      </c>
      <c r="AC40" s="258" t="e">
        <f>_xll.qlSimpleQuoteSetValue(F40,AB40/100,Trigger)</f>
        <v>#N/A</v>
      </c>
      <c r="AD40" s="217"/>
      <c r="AE40" s="17"/>
      <c r="AF40" s="17"/>
      <c r="AG40" s="17"/>
      <c r="AH40" s="17"/>
      <c r="AI40" s="17"/>
      <c r="AJ40" s="290">
        <f t="shared" si="1"/>
        <v>4.9999999999999828E-4</v>
      </c>
    </row>
    <row r="41" spans="1:36" x14ac:dyDescent="0.2">
      <c r="A41" s="122"/>
      <c r="B41" s="192" t="s">
        <v>54</v>
      </c>
      <c r="C41" s="78" t="str">
        <v>AB</v>
      </c>
      <c r="D41" s="78" t="str">
        <v>3E</v>
      </c>
      <c r="E41" s="76" t="str">
        <f t="shared" si="2"/>
        <v>EURAB3E50Y_Quote</v>
      </c>
      <c r="F41" s="76" t="str">
        <f>_xll.qlSimpleQuote(Currency&amp;$C41&amp;$D41&amp;$B41&amp;QuoteSuffix,,RateTickValue,Permanent,Trigger,ObjectOverwrite)</f>
        <v>EURAB3E50Y_Quote#0000</v>
      </c>
      <c r="G41" s="30" t="str">
        <f>_xll.ohRangeRetrieveError(F41)</f>
        <v/>
      </c>
      <c r="H41" s="49"/>
      <c r="N41" s="122"/>
      <c r="O41" s="264" t="s">
        <v>54</v>
      </c>
      <c r="P41" s="371" t="str">
        <v>AB</v>
      </c>
      <c r="Q41" s="371" t="str">
        <v>3E</v>
      </c>
      <c r="R41" s="298" t="str">
        <f t="shared" si="0"/>
        <v>EURAB3E50Y</v>
      </c>
      <c r="S41" s="298" t="str">
        <v>EURAB3E50Y=ICAP</v>
      </c>
      <c r="T41" s="299">
        <v>2.5049999999999999</v>
      </c>
      <c r="U41" s="299">
        <v>2.5550000000000002</v>
      </c>
      <c r="V41" s="299">
        <v>0</v>
      </c>
      <c r="W41" s="299">
        <v>0</v>
      </c>
      <c r="X41" s="262">
        <f>_xll.qlMidSafe($T41,$U41)</f>
        <v>2.5300000000000002</v>
      </c>
      <c r="Y41" s="253"/>
      <c r="Z41" s="261">
        <v>2.6560000000000001</v>
      </c>
      <c r="AA41" s="253"/>
      <c r="AB41" s="324">
        <v>2.6560000000000001</v>
      </c>
      <c r="AC41" s="258" t="e">
        <f>_xll.qlSimpleQuoteSetValue(F41,AB41/100,Trigger)</f>
        <v>#N/A</v>
      </c>
      <c r="AD41" s="217"/>
      <c r="AE41" s="17"/>
      <c r="AF41" s="17"/>
      <c r="AG41" s="17"/>
      <c r="AH41" s="17"/>
      <c r="AI41" s="17"/>
      <c r="AJ41" s="290">
        <f t="shared" si="1"/>
        <v>4.9999999999999828E-4</v>
      </c>
    </row>
    <row r="42" spans="1:36" x14ac:dyDescent="0.2">
      <c r="A42" s="122"/>
      <c r="B42" s="192" t="s">
        <v>44</v>
      </c>
      <c r="C42" s="78" t="str">
        <v>AB</v>
      </c>
      <c r="D42" s="78" t="str">
        <v>3E</v>
      </c>
      <c r="E42" s="76" t="str">
        <f t="shared" si="2"/>
        <v>EURAB3E60Y_Quote</v>
      </c>
      <c r="F42" s="76" t="str">
        <f>_xll.qlSimpleQuote(Currency&amp;$C42&amp;$D42&amp;$B42&amp;QuoteSuffix,,RateTickValue,Permanent,Trigger,ObjectOverwrite)</f>
        <v>EURAB3E60Y_Quote#0000</v>
      </c>
      <c r="G42" s="30" t="str">
        <f>_xll.ohRangeRetrieveError(F42)</f>
        <v/>
      </c>
      <c r="H42" s="49"/>
      <c r="N42" s="122"/>
      <c r="O42" s="257" t="s">
        <v>44</v>
      </c>
      <c r="P42" s="370" t="str">
        <v>AB</v>
      </c>
      <c r="Q42" s="370" t="str">
        <v>3E</v>
      </c>
      <c r="R42" s="303" t="str">
        <f t="shared" si="0"/>
        <v>EURAB3E60Y</v>
      </c>
      <c r="S42" s="303" t="str">
        <v>EURAB3E60Y=ICAP</v>
      </c>
      <c r="T42" s="304">
        <v>2.5390000000000001</v>
      </c>
      <c r="U42" s="304">
        <v>2.589</v>
      </c>
      <c r="V42" s="304">
        <v>0</v>
      </c>
      <c r="W42" s="304">
        <v>0</v>
      </c>
      <c r="X42" s="255">
        <f>_xll.qlMidSafe($T42,$U42)</f>
        <v>2.5640000000000001</v>
      </c>
      <c r="Y42" s="253"/>
      <c r="Z42" s="254">
        <v>2.6720000000000002</v>
      </c>
      <c r="AA42" s="253"/>
      <c r="AB42" s="317">
        <v>2.6720000000000002</v>
      </c>
      <c r="AC42" s="250" t="e">
        <f>_xll.qlSimpleQuoteSetValue(F42,AB42/100,Trigger)</f>
        <v>#N/A</v>
      </c>
      <c r="AD42" s="217"/>
      <c r="AE42" s="17"/>
      <c r="AF42" s="17"/>
      <c r="AG42" s="17"/>
      <c r="AH42" s="17"/>
      <c r="AI42" s="17"/>
      <c r="AJ42" s="290">
        <f t="shared" si="1"/>
        <v>4.9999999999999828E-4</v>
      </c>
    </row>
    <row r="43" spans="1:36"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366"/>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2" width="9.140625" style="68"/>
    <col min="23" max="23" width="10" style="68" customWidth="1"/>
    <col min="24"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x14ac:dyDescent="0.2">
      <c r="N1" s="315" t="s">
        <v>293</v>
      </c>
      <c r="O1" s="199"/>
      <c r="P1" s="199"/>
      <c r="Q1" s="199"/>
      <c r="R1" s="199"/>
      <c r="S1" s="199"/>
      <c r="T1" s="199"/>
      <c r="U1" s="199"/>
      <c r="V1" s="199"/>
      <c r="W1" s="199"/>
      <c r="X1" s="199"/>
      <c r="Y1" s="199"/>
      <c r="Z1" s="199"/>
      <c r="AA1" s="199"/>
      <c r="AB1" s="199"/>
      <c r="AC1" s="199"/>
      <c r="AD1" s="196"/>
      <c r="AE1" s="17"/>
      <c r="AF1" s="17"/>
      <c r="AG1" s="17"/>
      <c r="AH1" s="17"/>
      <c r="AI1" s="17"/>
      <c r="AJ1" s="17"/>
    </row>
    <row r="2" spans="1:36" x14ac:dyDescent="0.2">
      <c r="N2" s="287"/>
      <c r="O2" s="137"/>
      <c r="P2" s="286"/>
      <c r="Q2" s="286"/>
      <c r="R2" s="286"/>
      <c r="S2" s="144" t="s">
        <v>222</v>
      </c>
      <c r="T2" s="253"/>
      <c r="U2" s="253"/>
      <c r="V2" s="253"/>
      <c r="W2" s="253"/>
      <c r="X2" s="137"/>
      <c r="Y2" s="253"/>
      <c r="Z2" s="253"/>
      <c r="AA2" s="253"/>
      <c r="AB2" s="253"/>
      <c r="AC2" s="253"/>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35</v>
      </c>
      <c r="AD3" s="217"/>
      <c r="AE3" s="17"/>
      <c r="AF3" s="17"/>
      <c r="AG3" s="17"/>
      <c r="AH3" s="17"/>
      <c r="AI3" s="17"/>
      <c r="AJ3" s="17"/>
    </row>
    <row r="4" spans="1:36" ht="23.25" thickBot="1" x14ac:dyDescent="0.25">
      <c r="A4" s="216" t="s">
        <v>193</v>
      </c>
      <c r="B4" s="199"/>
      <c r="C4" s="199"/>
      <c r="D4" s="199"/>
      <c r="E4" s="154"/>
      <c r="F4" s="215"/>
      <c r="G4" s="154"/>
      <c r="H4" s="196"/>
      <c r="N4" s="122"/>
      <c r="O4" s="375"/>
      <c r="P4" s="194"/>
      <c r="Q4" s="194"/>
      <c r="R4" s="194"/>
      <c r="S4" s="283" t="e">
        <f ca="1">_xll.RData(S5:S42,T4:W4,,ReutersRtMode,,T5)</f>
        <v>#NAME?</v>
      </c>
      <c r="T4" s="313" t="s">
        <v>243</v>
      </c>
      <c r="U4" s="313" t="s">
        <v>212</v>
      </c>
      <c r="V4" s="313" t="s">
        <v>227</v>
      </c>
      <c r="W4" s="313" t="s">
        <v>242</v>
      </c>
      <c r="X4" s="279" t="s">
        <v>241</v>
      </c>
      <c r="Y4" s="253"/>
      <c r="Z4" s="281" t="s">
        <v>239</v>
      </c>
      <c r="AA4" s="253"/>
      <c r="AB4" s="406" t="s">
        <v>237</v>
      </c>
      <c r="AC4" s="94" t="s">
        <v>236</v>
      </c>
      <c r="AD4" s="217"/>
      <c r="AE4" s="17"/>
      <c r="AF4" s="17"/>
      <c r="AG4" s="17"/>
      <c r="AH4" s="17"/>
      <c r="AI4" s="17"/>
      <c r="AJ4" s="312" t="s">
        <v>240</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298" t="str">
        <f t="array" ref="P5:P42">VLOOKUP(Currency,Conventions,2)</f>
        <v>AB</v>
      </c>
      <c r="Q5" s="298" t="str">
        <f t="array" ref="Q5:Q42">VLOOKUP(Currency,Conventions,3)</f>
        <v>6E</v>
      </c>
      <c r="R5" s="263" t="str">
        <f t="shared" ref="R5:R42" si="0">Currency&amp;$P5&amp;$Q5&amp;$O5</f>
        <v>EURAB6E6M</v>
      </c>
      <c r="S5" s="263" t="str">
        <f t="array" ref="S5:S42">Instruments&amp;"="&amp;VLOOKUP(Contributor,ContributorTable,2,FALSE)</f>
        <v>EURAB6E6M=ICAP</v>
      </c>
      <c r="T5" s="299" t="s">
        <v>244</v>
      </c>
      <c r="U5" s="299" t="s">
        <v>244</v>
      </c>
      <c r="V5" s="299" t="s">
        <v>244</v>
      </c>
      <c r="W5" s="299" t="s">
        <v>244</v>
      </c>
      <c r="X5" s="368" t="e">
        <f>_xll.qlMidSafe($T5,$U5)</f>
        <v>#NUM!</v>
      </c>
      <c r="Y5" s="253"/>
      <c r="Z5" s="261" t="e">
        <v>#NUM!</v>
      </c>
      <c r="AA5" s="253"/>
      <c r="AB5" s="324" t="e">
        <f t="array" ref="AB5:AB42">QuoteStatic</f>
        <v>#NUM!</v>
      </c>
      <c r="AC5" s="258" t="e">
        <f ca="1">_xll.qlSimpleQuoteSetValue(F5,AB5/100,Trigger)</f>
        <v>#NUM!</v>
      </c>
      <c r="AD5" s="217"/>
      <c r="AE5" s="17"/>
      <c r="AF5" s="373" t="s">
        <v>124</v>
      </c>
      <c r="AG5" s="88" t="s">
        <v>188</v>
      </c>
      <c r="AH5" s="87" t="s">
        <v>119</v>
      </c>
      <c r="AI5" s="17"/>
      <c r="AJ5" s="290"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EURAB6E1Y_Quote#0000</v>
      </c>
      <c r="G6" s="75" t="str">
        <f>_xll.ohRangeRetrieveError(F6)</f>
        <v/>
      </c>
      <c r="H6" s="49"/>
      <c r="J6" s="205" t="s">
        <v>124</v>
      </c>
      <c r="K6" s="213" t="s">
        <v>188</v>
      </c>
      <c r="L6" s="212" t="s">
        <v>119</v>
      </c>
      <c r="N6" s="122"/>
      <c r="O6" s="264" t="s">
        <v>21</v>
      </c>
      <c r="P6" s="298" t="str">
        <v>AB</v>
      </c>
      <c r="Q6" s="298" t="str">
        <v>6E</v>
      </c>
      <c r="R6" s="263" t="str">
        <f t="shared" si="0"/>
        <v>EURAB6E1Y</v>
      </c>
      <c r="S6" s="263" t="str">
        <v>EURAB6E1Y=ICAP</v>
      </c>
      <c r="T6" s="299">
        <v>0.40699999999999997</v>
      </c>
      <c r="U6" s="299">
        <v>0.44700000000000001</v>
      </c>
      <c r="V6" s="299">
        <v>0</v>
      </c>
      <c r="W6" s="299">
        <v>0</v>
      </c>
      <c r="X6" s="368">
        <f>_xll.qlMidSafe($T6,$U6)</f>
        <v>0.42699999999999999</v>
      </c>
      <c r="Y6" s="253"/>
      <c r="Z6" s="261">
        <v>0.41699999999999998</v>
      </c>
      <c r="AA6" s="253"/>
      <c r="AB6" s="324">
        <v>0.41699999999999998</v>
      </c>
      <c r="AC6" s="258" t="e">
        <f>_xll.qlSimpleQuoteSetValue(F6,AB6/100,Trigger)</f>
        <v>#N/A</v>
      </c>
      <c r="AD6" s="217"/>
      <c r="AE6" s="17"/>
      <c r="AF6" s="205" t="s">
        <v>110</v>
      </c>
      <c r="AG6" s="85" t="s">
        <v>188</v>
      </c>
      <c r="AH6" s="84" t="s">
        <v>122</v>
      </c>
      <c r="AI6" s="17"/>
      <c r="AJ6" s="290">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EURAB6E15M_Quote#0000</v>
      </c>
      <c r="G7" s="75" t="str">
        <f>_xll.ohRangeRetrieveError(F7)</f>
        <v/>
      </c>
      <c r="H7" s="49"/>
      <c r="J7" s="205" t="s">
        <v>110</v>
      </c>
      <c r="K7" s="85" t="s">
        <v>188</v>
      </c>
      <c r="L7" s="84" t="s">
        <v>122</v>
      </c>
      <c r="N7" s="122"/>
      <c r="O7" s="264" t="s">
        <v>127</v>
      </c>
      <c r="P7" s="298" t="str">
        <v>AB</v>
      </c>
      <c r="Q7" s="298" t="str">
        <v>6E</v>
      </c>
      <c r="R7" s="263" t="str">
        <f t="shared" si="0"/>
        <v>EURAB6E15M</v>
      </c>
      <c r="S7" s="263" t="str">
        <v>EURAB6E15M=ICAP</v>
      </c>
      <c r="T7" s="299">
        <v>0.42699999999999999</v>
      </c>
      <c r="U7" s="299">
        <v>0.47699999999999998</v>
      </c>
      <c r="V7" s="299">
        <v>0</v>
      </c>
      <c r="W7" s="299">
        <v>0</v>
      </c>
      <c r="X7" s="368">
        <f>_xll.qlMidEquivalent($T7,$U7,$V7,$W7)</f>
        <v>0.45199999999999996</v>
      </c>
      <c r="Y7" s="253"/>
      <c r="Z7" s="261">
        <v>0.40300000000000002</v>
      </c>
      <c r="AA7" s="253"/>
      <c r="AB7" s="324">
        <v>0.40300000000000002</v>
      </c>
      <c r="AC7" s="258" t="e">
        <f>_xll.qlSimpleQuoteSetValue(F7,AB7/100,Trigger)</f>
        <v>#N/A</v>
      </c>
      <c r="AD7" s="217"/>
      <c r="AE7" s="17"/>
      <c r="AF7" s="205" t="s">
        <v>121</v>
      </c>
      <c r="AG7" s="85" t="s">
        <v>187</v>
      </c>
      <c r="AH7" s="84" t="s">
        <v>119</v>
      </c>
      <c r="AI7" s="374"/>
      <c r="AJ7" s="290">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EURAB6E18M_Quote#0000</v>
      </c>
      <c r="G8" s="75" t="str">
        <f>_xll.ohRangeRetrieveError(F8)</f>
        <v/>
      </c>
      <c r="H8" s="49"/>
      <c r="J8" s="205" t="s">
        <v>121</v>
      </c>
      <c r="K8" s="85" t="s">
        <v>187</v>
      </c>
      <c r="L8" s="84" t="s">
        <v>119</v>
      </c>
      <c r="N8" s="122"/>
      <c r="O8" s="264" t="s">
        <v>126</v>
      </c>
      <c r="P8" s="298" t="str">
        <v>AB</v>
      </c>
      <c r="Q8" s="298" t="str">
        <v>6E</v>
      </c>
      <c r="R8" s="263" t="str">
        <f t="shared" si="0"/>
        <v>EURAB6E18M</v>
      </c>
      <c r="S8" s="263" t="str">
        <v>EURAB6E18M=ICAP</v>
      </c>
      <c r="T8" s="299">
        <v>0.47899999999999998</v>
      </c>
      <c r="U8" s="299">
        <v>0.52900000000000003</v>
      </c>
      <c r="V8" s="299">
        <v>0</v>
      </c>
      <c r="W8" s="299">
        <v>0</v>
      </c>
      <c r="X8" s="368">
        <f>_xll.qlMidEquivalent($T8,$U8,$V8,$W8)</f>
        <v>0.504</v>
      </c>
      <c r="Y8" s="253"/>
      <c r="Z8" s="261">
        <v>0.442</v>
      </c>
      <c r="AA8" s="253"/>
      <c r="AB8" s="324">
        <v>0.442</v>
      </c>
      <c r="AC8" s="258" t="e">
        <f>_xll.qlSimpleQuoteSetValue(F8,AB8/100,Trigger)</f>
        <v>#N/A</v>
      </c>
      <c r="AD8" s="217"/>
      <c r="AE8" s="17"/>
      <c r="AF8" s="205" t="s">
        <v>120</v>
      </c>
      <c r="AG8" s="85" t="s">
        <v>187</v>
      </c>
      <c r="AH8" s="84" t="s">
        <v>119</v>
      </c>
      <c r="AI8" s="374"/>
      <c r="AJ8" s="290">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EURAB6E21M_Quote#0000</v>
      </c>
      <c r="G9" s="75" t="str">
        <f>_xll.ohRangeRetrieveError(F9)</f>
        <v/>
      </c>
      <c r="H9" s="49"/>
      <c r="J9" s="205" t="s">
        <v>120</v>
      </c>
      <c r="K9" s="213" t="s">
        <v>187</v>
      </c>
      <c r="L9" s="212" t="s">
        <v>119</v>
      </c>
      <c r="N9" s="122"/>
      <c r="O9" s="264" t="s">
        <v>125</v>
      </c>
      <c r="P9" s="298" t="str">
        <v>AB</v>
      </c>
      <c r="Q9" s="298" t="str">
        <v>6E</v>
      </c>
      <c r="R9" s="263" t="str">
        <f t="shared" si="0"/>
        <v>EURAB6E21M</v>
      </c>
      <c r="S9" s="263" t="str">
        <v>EURAB6E21M=ICAP</v>
      </c>
      <c r="T9" s="299">
        <v>0.504</v>
      </c>
      <c r="U9" s="299">
        <v>0.55400000000000005</v>
      </c>
      <c r="V9" s="299">
        <v>0</v>
      </c>
      <c r="W9" s="299">
        <v>0</v>
      </c>
      <c r="X9" s="368">
        <f>_xll.qlMidEquivalent($T9,$U9,$V9,$W9)</f>
        <v>0.52900000000000003</v>
      </c>
      <c r="Y9" s="253"/>
      <c r="Z9" s="261">
        <v>0.44700000000000001</v>
      </c>
      <c r="AA9" s="253"/>
      <c r="AB9" s="324">
        <v>0.44700000000000001</v>
      </c>
      <c r="AC9" s="258" t="e">
        <f>_xll.qlSimpleQuoteSetValue(F9,AB9/100,Trigger)</f>
        <v>#N/A</v>
      </c>
      <c r="AD9" s="217"/>
      <c r="AE9" s="17"/>
      <c r="AF9" s="204" t="s">
        <v>118</v>
      </c>
      <c r="AG9" s="82" t="s">
        <v>186</v>
      </c>
      <c r="AH9" s="81" t="s">
        <v>119</v>
      </c>
      <c r="AI9" s="17"/>
      <c r="AJ9" s="290">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EURAB6E2Y_Quote#0000</v>
      </c>
      <c r="G10" s="75" t="str">
        <f>_xll.ohRangeRetrieveError(F10)</f>
        <v/>
      </c>
      <c r="H10" s="49"/>
      <c r="J10" s="204" t="s">
        <v>118</v>
      </c>
      <c r="K10" s="82" t="s">
        <v>186</v>
      </c>
      <c r="L10" s="81" t="s">
        <v>119</v>
      </c>
      <c r="N10" s="122"/>
      <c r="O10" s="264" t="s">
        <v>102</v>
      </c>
      <c r="P10" s="298" t="str">
        <v>AB</v>
      </c>
      <c r="Q10" s="298" t="str">
        <v>6E</v>
      </c>
      <c r="R10" s="263" t="str">
        <f t="shared" si="0"/>
        <v>EURAB6E2Y</v>
      </c>
      <c r="S10" s="263" t="str">
        <v>EURAB6E2Y=ICAP</v>
      </c>
      <c r="T10" s="299">
        <v>0.55600000000000005</v>
      </c>
      <c r="U10" s="299">
        <v>0.59599999999999997</v>
      </c>
      <c r="V10" s="299">
        <v>0</v>
      </c>
      <c r="W10" s="299">
        <v>0</v>
      </c>
      <c r="X10" s="368">
        <f>_xll.qlMidEquivalent($T10,$U10,$V10,$W10)</f>
        <v>0.57600000000000007</v>
      </c>
      <c r="Y10" s="253"/>
      <c r="Z10" s="261">
        <v>0.49199999999999999</v>
      </c>
      <c r="AA10" s="253"/>
      <c r="AB10" s="324">
        <v>0.49199999999999999</v>
      </c>
      <c r="AC10" s="258" t="e">
        <f>_xll.qlSimpleQuoteSetValue(F10,AB10/100,Trigger)</f>
        <v>#N/A</v>
      </c>
      <c r="AD10" s="217"/>
      <c r="AE10" s="17"/>
      <c r="AF10" s="17"/>
      <c r="AG10" s="17"/>
      <c r="AH10" s="17"/>
      <c r="AI10" s="17"/>
      <c r="AJ10" s="290">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EURAB6E3Y_Quote#0000</v>
      </c>
      <c r="G11" s="75" t="str">
        <f>_xll.ohRangeRetrieveError(F11)</f>
        <v/>
      </c>
      <c r="H11" s="49"/>
      <c r="N11" s="122"/>
      <c r="O11" s="264" t="s">
        <v>101</v>
      </c>
      <c r="P11" s="298" t="str">
        <v>AB</v>
      </c>
      <c r="Q11" s="298" t="str">
        <v>6E</v>
      </c>
      <c r="R11" s="263" t="str">
        <f t="shared" si="0"/>
        <v>EURAB6E3Y</v>
      </c>
      <c r="S11" s="263" t="str">
        <v>EURAB6E3Y=ICAP</v>
      </c>
      <c r="T11" s="299">
        <v>0.72499999999999998</v>
      </c>
      <c r="U11" s="299">
        <v>0.76500000000000001</v>
      </c>
      <c r="V11" s="299">
        <v>0</v>
      </c>
      <c r="W11" s="299">
        <v>0</v>
      </c>
      <c r="X11" s="368">
        <f>_xll.qlMidEquivalent($T11,$U11,$V11,$W11)</f>
        <v>0.745</v>
      </c>
      <c r="Y11" s="253"/>
      <c r="Z11" s="261">
        <v>0.66</v>
      </c>
      <c r="AA11" s="253"/>
      <c r="AB11" s="324">
        <v>0.66</v>
      </c>
      <c r="AC11" s="258" t="e">
        <f>_xll.qlSimpleQuoteSetValue(F11,AB11/100,Trigger)</f>
        <v>#N/A</v>
      </c>
      <c r="AD11" s="217"/>
      <c r="AE11" s="17"/>
      <c r="AF11" s="17"/>
      <c r="AG11" s="17"/>
      <c r="AH11" s="17"/>
      <c r="AI11" s="17"/>
      <c r="AJ11" s="290">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EURAB6E4Y_Quote#0000</v>
      </c>
      <c r="G12" s="75" t="str">
        <f>_xll.ohRangeRetrieveError(F12)</f>
        <v/>
      </c>
      <c r="H12" s="49"/>
      <c r="N12" s="122"/>
      <c r="O12" s="264" t="s">
        <v>100</v>
      </c>
      <c r="P12" s="298" t="str">
        <v>AB</v>
      </c>
      <c r="Q12" s="298" t="str">
        <v>6E</v>
      </c>
      <c r="R12" s="263" t="str">
        <f t="shared" si="0"/>
        <v>EURAB6E4Y</v>
      </c>
      <c r="S12" s="263" t="str">
        <v>EURAB6E4Y=ICAP</v>
      </c>
      <c r="T12" s="299">
        <v>0.94099999999999995</v>
      </c>
      <c r="U12" s="299">
        <v>0.98099999999999998</v>
      </c>
      <c r="V12" s="299">
        <v>0</v>
      </c>
      <c r="W12" s="299">
        <v>0</v>
      </c>
      <c r="X12" s="368">
        <f>_xll.qlMidEquivalent($T12,$U12,$V12,$W12)</f>
        <v>0.96099999999999997</v>
      </c>
      <c r="Y12" s="253"/>
      <c r="Z12" s="261">
        <v>0.88700000000000001</v>
      </c>
      <c r="AA12" s="253"/>
      <c r="AB12" s="324">
        <v>0.88700000000000001</v>
      </c>
      <c r="AC12" s="258" t="e">
        <f>_xll.qlSimpleQuoteSetValue(F12,AB12/100,Trigger)</f>
        <v>#N/A</v>
      </c>
      <c r="AD12" s="217"/>
      <c r="AE12" s="17"/>
      <c r="AF12" s="17"/>
      <c r="AG12" s="17"/>
      <c r="AH12" s="17"/>
      <c r="AI12" s="17"/>
      <c r="AJ12" s="290">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EURAB6E5Y_Quote#0000</v>
      </c>
      <c r="G13" s="75" t="str">
        <f>_xll.ohRangeRetrieveError(F13)</f>
        <v/>
      </c>
      <c r="H13" s="49"/>
      <c r="N13" s="122"/>
      <c r="O13" s="264" t="s">
        <v>99</v>
      </c>
      <c r="P13" s="298" t="str">
        <v>AB</v>
      </c>
      <c r="Q13" s="298" t="str">
        <v>6E</v>
      </c>
      <c r="R13" s="263" t="str">
        <f t="shared" si="0"/>
        <v>EURAB6E5Y</v>
      </c>
      <c r="S13" s="263" t="str">
        <v>EURAB6E5Y=ICAP</v>
      </c>
      <c r="T13" s="299">
        <v>1.165</v>
      </c>
      <c r="U13" s="299">
        <v>1.2050000000000001</v>
      </c>
      <c r="V13" s="299">
        <v>0</v>
      </c>
      <c r="W13" s="299">
        <v>0</v>
      </c>
      <c r="X13" s="368">
        <f>_xll.qlMidEquivalent($T13,$U13,$V13,$W13)</f>
        <v>1.1850000000000001</v>
      </c>
      <c r="Y13" s="253"/>
      <c r="Z13" s="261">
        <v>1.1200000000000001</v>
      </c>
      <c r="AA13" s="253"/>
      <c r="AB13" s="324">
        <v>1.1200000000000001</v>
      </c>
      <c r="AC13" s="258" t="e">
        <f>_xll.qlSimpleQuoteSetValue(F13,AB13/100,Trigger)</f>
        <v>#N/A</v>
      </c>
      <c r="AD13" s="217"/>
      <c r="AE13" s="17"/>
      <c r="AF13" s="17"/>
      <c r="AG13" s="17"/>
      <c r="AH13" s="17"/>
      <c r="AI13" s="17"/>
      <c r="AJ13" s="290">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EURAB6E6Y_Quote#0000</v>
      </c>
      <c r="G14" s="75" t="str">
        <f>_xll.ohRangeRetrieveError(F14)</f>
        <v/>
      </c>
      <c r="H14" s="49"/>
      <c r="N14" s="122"/>
      <c r="O14" s="264" t="s">
        <v>98</v>
      </c>
      <c r="P14" s="298" t="str">
        <v>AB</v>
      </c>
      <c r="Q14" s="298" t="str">
        <v>6E</v>
      </c>
      <c r="R14" s="263" t="str">
        <f t="shared" si="0"/>
        <v>EURAB6E6Y</v>
      </c>
      <c r="S14" s="263" t="str">
        <v>EURAB6E6Y=ICAP</v>
      </c>
      <c r="T14" s="299">
        <v>1.36</v>
      </c>
      <c r="U14" s="299">
        <v>1.4</v>
      </c>
      <c r="V14" s="299">
        <v>0</v>
      </c>
      <c r="W14" s="299">
        <v>0</v>
      </c>
      <c r="X14" s="368">
        <f>_xll.qlMidEquivalent($T14,$U14,$V14,$W14)</f>
        <v>1.38</v>
      </c>
      <c r="Y14" s="253"/>
      <c r="Z14" s="261">
        <v>1.339</v>
      </c>
      <c r="AA14" s="253"/>
      <c r="AB14" s="324">
        <v>1.339</v>
      </c>
      <c r="AC14" s="258" t="e">
        <f>_xll.qlSimpleQuoteSetValue(F14,AB14/100,Trigger)</f>
        <v>#N/A</v>
      </c>
      <c r="AD14" s="217"/>
      <c r="AE14" s="17"/>
      <c r="AF14" s="17"/>
      <c r="AG14" s="17"/>
      <c r="AH14" s="17"/>
      <c r="AI14" s="17"/>
      <c r="AJ14" s="290">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EURAB6E7Y_Quote#0000</v>
      </c>
      <c r="G15" s="75" t="str">
        <f>_xll.ohRangeRetrieveError(F15)</f>
        <v/>
      </c>
      <c r="H15" s="49"/>
      <c r="N15" s="122"/>
      <c r="O15" s="264" t="s">
        <v>97</v>
      </c>
      <c r="P15" s="298" t="str">
        <v>AB</v>
      </c>
      <c r="Q15" s="298" t="str">
        <v>6E</v>
      </c>
      <c r="R15" s="263" t="str">
        <f t="shared" si="0"/>
        <v>EURAB6E7Y</v>
      </c>
      <c r="S15" s="263" t="str">
        <v>EURAB6E7Y=ICAP</v>
      </c>
      <c r="T15" s="299">
        <v>1.5329999999999999</v>
      </c>
      <c r="U15" s="299">
        <v>1.573</v>
      </c>
      <c r="V15" s="299">
        <v>0</v>
      </c>
      <c r="W15" s="299">
        <v>0</v>
      </c>
      <c r="X15" s="368">
        <f>_xll.qlMidEquivalent($T15,$U15,$V15,$W15)</f>
        <v>1.5529999999999999</v>
      </c>
      <c r="Y15" s="253"/>
      <c r="Z15" s="261">
        <v>1.5389999999999999</v>
      </c>
      <c r="AA15" s="253"/>
      <c r="AB15" s="324">
        <v>1.5389999999999999</v>
      </c>
      <c r="AC15" s="258" t="e">
        <f>_xll.qlSimpleQuoteSetValue(F15,AB15/100,Trigger)</f>
        <v>#N/A</v>
      </c>
      <c r="AD15" s="217"/>
      <c r="AE15" s="17"/>
      <c r="AF15" s="17"/>
      <c r="AG15" s="17"/>
      <c r="AH15" s="17"/>
      <c r="AI15" s="17"/>
      <c r="AJ15" s="290">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EURAB6E8Y_Quote#0000</v>
      </c>
      <c r="G16" s="75" t="str">
        <f>_xll.ohRangeRetrieveError(F16)</f>
        <v/>
      </c>
      <c r="H16" s="49"/>
      <c r="N16" s="122"/>
      <c r="O16" s="264" t="s">
        <v>96</v>
      </c>
      <c r="P16" s="298" t="str">
        <v>AB</v>
      </c>
      <c r="Q16" s="298" t="str">
        <v>6E</v>
      </c>
      <c r="R16" s="263" t="str">
        <f t="shared" si="0"/>
        <v>EURAB6E8Y</v>
      </c>
      <c r="S16" s="263" t="str">
        <v>EURAB6E8Y=ICAP</v>
      </c>
      <c r="T16" s="299">
        <v>1.6859999999999999</v>
      </c>
      <c r="U16" s="299">
        <v>1.726</v>
      </c>
      <c r="V16" s="299">
        <v>0</v>
      </c>
      <c r="W16" s="299">
        <v>0</v>
      </c>
      <c r="X16" s="368">
        <f>_xll.qlMidEquivalent($T16,$U16,$V16,$W16)</f>
        <v>1.706</v>
      </c>
      <c r="Y16" s="253"/>
      <c r="Z16" s="261">
        <v>1.7190000000000001</v>
      </c>
      <c r="AA16" s="253"/>
      <c r="AB16" s="324">
        <v>1.7190000000000001</v>
      </c>
      <c r="AC16" s="258" t="e">
        <f>_xll.qlSimpleQuoteSetValue(F16,AB16/100,Trigger)</f>
        <v>#N/A</v>
      </c>
      <c r="AD16" s="217"/>
      <c r="AE16" s="17"/>
      <c r="AF16" s="17"/>
      <c r="AG16" s="17"/>
      <c r="AH16" s="17"/>
      <c r="AI16" s="17"/>
      <c r="AJ16" s="290">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EURAB6E9Y_Quote#0000</v>
      </c>
      <c r="G17" s="75" t="str">
        <f>_xll.ohRangeRetrieveError(F17)</f>
        <v/>
      </c>
      <c r="H17" s="49"/>
      <c r="N17" s="122"/>
      <c r="O17" s="264" t="s">
        <v>95</v>
      </c>
      <c r="P17" s="298" t="str">
        <v>AB</v>
      </c>
      <c r="Q17" s="298" t="str">
        <v>6E</v>
      </c>
      <c r="R17" s="263" t="str">
        <f t="shared" si="0"/>
        <v>EURAB6E9Y</v>
      </c>
      <c r="S17" s="263" t="str">
        <v>EURAB6E9Y=ICAP</v>
      </c>
      <c r="T17" s="299">
        <v>1.8260000000000001</v>
      </c>
      <c r="U17" s="299">
        <v>1.8660000000000001</v>
      </c>
      <c r="V17" s="299">
        <v>0</v>
      </c>
      <c r="W17" s="299">
        <v>0</v>
      </c>
      <c r="X17" s="368">
        <f>_xll.qlMidEquivalent($T17,$U17,$V17,$W17)</f>
        <v>1.8460000000000001</v>
      </c>
      <c r="Y17" s="253"/>
      <c r="Z17" s="261">
        <v>1.879</v>
      </c>
      <c r="AA17" s="253"/>
      <c r="AB17" s="324">
        <v>1.879</v>
      </c>
      <c r="AC17" s="258" t="e">
        <f>_xll.qlSimpleQuoteSetValue(F17,AB17/100,Trigger)</f>
        <v>#N/A</v>
      </c>
      <c r="AD17" s="217"/>
      <c r="AE17" s="17"/>
      <c r="AF17" s="17"/>
      <c r="AG17" s="17"/>
      <c r="AH17" s="17"/>
      <c r="AI17" s="17"/>
      <c r="AJ17" s="290">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EURAB6E10Y_Quote#0000</v>
      </c>
      <c r="G18" s="75" t="str">
        <f>_xll.ohRangeRetrieveError(F18)</f>
        <v/>
      </c>
      <c r="H18" s="49"/>
      <c r="N18" s="122"/>
      <c r="O18" s="264" t="s">
        <v>94</v>
      </c>
      <c r="P18" s="298" t="str">
        <v>AB</v>
      </c>
      <c r="Q18" s="298" t="str">
        <v>6E</v>
      </c>
      <c r="R18" s="263" t="str">
        <f t="shared" si="0"/>
        <v>EURAB6E10Y</v>
      </c>
      <c r="S18" s="263" t="str">
        <v>EURAB6E10Y=ICAP</v>
      </c>
      <c r="T18" s="299">
        <v>1.954</v>
      </c>
      <c r="U18" s="299">
        <v>1.994</v>
      </c>
      <c r="V18" s="299">
        <v>0</v>
      </c>
      <c r="W18" s="299">
        <v>0</v>
      </c>
      <c r="X18" s="368">
        <f>_xll.qlMidEquivalent($T18,$U18,$V18,$W18)</f>
        <v>1.974</v>
      </c>
      <c r="Y18" s="253"/>
      <c r="Z18" s="261">
        <v>2.02</v>
      </c>
      <c r="AA18" s="253"/>
      <c r="AB18" s="324">
        <v>2.02</v>
      </c>
      <c r="AC18" s="258" t="e">
        <f>_xll.qlSimpleQuoteSetValue(F18,AB18/100,Trigger)</f>
        <v>#N/A</v>
      </c>
      <c r="AD18" s="217"/>
      <c r="AE18" s="17"/>
      <c r="AF18" s="17"/>
      <c r="AG18" s="17"/>
      <c r="AH18" s="17"/>
      <c r="AI18" s="17"/>
      <c r="AJ18" s="290">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EURAB6E11Y_Quote#0000</v>
      </c>
      <c r="G19" s="75" t="str">
        <f>_xll.ohRangeRetrieveError(F19)</f>
        <v/>
      </c>
      <c r="H19" s="49"/>
      <c r="N19" s="122"/>
      <c r="O19" s="264" t="s">
        <v>93</v>
      </c>
      <c r="P19" s="298" t="str">
        <v>AB</v>
      </c>
      <c r="Q19" s="298" t="str">
        <v>6E</v>
      </c>
      <c r="R19" s="263" t="str">
        <f t="shared" si="0"/>
        <v>EURAB6E11Y</v>
      </c>
      <c r="S19" s="263" t="str">
        <v>EURAB6E11Y=ICAP</v>
      </c>
      <c r="T19" s="299">
        <v>2.0649999999999999</v>
      </c>
      <c r="U19" s="299">
        <v>2.105</v>
      </c>
      <c r="V19" s="299">
        <v>0</v>
      </c>
      <c r="W19" s="299">
        <v>0</v>
      </c>
      <c r="X19" s="368">
        <f>_xll.qlMidEquivalent($T19,$U19,$V19,$W19)</f>
        <v>2.085</v>
      </c>
      <c r="Y19" s="253"/>
      <c r="Z19" s="261">
        <v>2.1419999999999999</v>
      </c>
      <c r="AA19" s="253"/>
      <c r="AB19" s="324">
        <v>2.1419999999999999</v>
      </c>
      <c r="AC19" s="258" t="e">
        <f>_xll.qlSimpleQuoteSetValue(F19,AB19/100,Trigger)</f>
        <v>#N/A</v>
      </c>
      <c r="AD19" s="217"/>
      <c r="AE19" s="17"/>
      <c r="AF19" s="17"/>
      <c r="AG19" s="17"/>
      <c r="AH19" s="17"/>
      <c r="AI19" s="17"/>
      <c r="AJ19" s="290">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EURAB6E12Y_Quote#0000</v>
      </c>
      <c r="G20" s="75" t="str">
        <f>_xll.ohRangeRetrieveError(F20)</f>
        <v/>
      </c>
      <c r="H20" s="49"/>
      <c r="N20" s="122"/>
      <c r="O20" s="264" t="s">
        <v>92</v>
      </c>
      <c r="P20" s="298" t="str">
        <v>AB</v>
      </c>
      <c r="Q20" s="298" t="str">
        <v>6E</v>
      </c>
      <c r="R20" s="263" t="str">
        <f t="shared" si="0"/>
        <v>EURAB6E12Y</v>
      </c>
      <c r="S20" s="263" t="str">
        <v>EURAB6E12Y=ICAP</v>
      </c>
      <c r="T20" s="299">
        <v>2.16</v>
      </c>
      <c r="U20" s="299">
        <v>2.2000000000000002</v>
      </c>
      <c r="V20" s="299">
        <v>0</v>
      </c>
      <c r="W20" s="299">
        <v>0</v>
      </c>
      <c r="X20" s="368">
        <f>_xll.qlMidEquivalent($T20,$U20,$V20,$W20)</f>
        <v>2.1800000000000002</v>
      </c>
      <c r="Y20" s="253"/>
      <c r="Z20" s="261">
        <v>2.2469999999999999</v>
      </c>
      <c r="AA20" s="253"/>
      <c r="AB20" s="324">
        <v>2.2469999999999999</v>
      </c>
      <c r="AC20" s="258" t="e">
        <f>_xll.qlSimpleQuoteSetValue(F20,AB20/100,Trigger)</f>
        <v>#N/A</v>
      </c>
      <c r="AD20" s="217"/>
      <c r="AE20" s="17"/>
      <c r="AF20" s="17"/>
      <c r="AG20" s="17"/>
      <c r="AH20" s="17"/>
      <c r="AI20" s="17"/>
      <c r="AJ20" s="290">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EURAB6E13Y_Quote#0000</v>
      </c>
      <c r="G21" s="75" t="str">
        <f>_xll.ohRangeRetrieveError(F21)</f>
        <v/>
      </c>
      <c r="H21" s="49"/>
      <c r="N21" s="122"/>
      <c r="O21" s="264" t="s">
        <v>91</v>
      </c>
      <c r="P21" s="298" t="str">
        <v>AB</v>
      </c>
      <c r="Q21" s="298" t="str">
        <v>6E</v>
      </c>
      <c r="R21" s="263" t="str">
        <f t="shared" si="0"/>
        <v>EURAB6E13Y</v>
      </c>
      <c r="S21" s="263" t="str">
        <v>EURAB6E13Y=ICAP</v>
      </c>
      <c r="T21" s="299">
        <v>2.2400000000000002</v>
      </c>
      <c r="U21" s="299">
        <v>2.2799999999999998</v>
      </c>
      <c r="V21" s="299">
        <v>0</v>
      </c>
      <c r="W21" s="299">
        <v>0</v>
      </c>
      <c r="X21" s="368">
        <f>_xll.qlMidEquivalent($T21,$U21,$V21,$W21)</f>
        <v>2.2599999999999998</v>
      </c>
      <c r="Y21" s="253"/>
      <c r="Z21" s="261">
        <v>2.3359999999999999</v>
      </c>
      <c r="AA21" s="253"/>
      <c r="AB21" s="324">
        <v>2.3359999999999999</v>
      </c>
      <c r="AC21" s="258" t="e">
        <f>_xll.qlSimpleQuoteSetValue(F21,AB21/100,Trigger)</f>
        <v>#N/A</v>
      </c>
      <c r="AD21" s="217"/>
      <c r="AE21" s="17"/>
      <c r="AF21" s="17"/>
      <c r="AG21" s="17"/>
      <c r="AH21" s="17"/>
      <c r="AI21" s="17"/>
      <c r="AJ21" s="290">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EURAB6E14Y_Quote#0000</v>
      </c>
      <c r="G22" s="75" t="str">
        <f>_xll.ohRangeRetrieveError(F22)</f>
        <v/>
      </c>
      <c r="H22" s="49"/>
      <c r="N22" s="122"/>
      <c r="O22" s="264" t="s">
        <v>90</v>
      </c>
      <c r="P22" s="298" t="str">
        <v>AB</v>
      </c>
      <c r="Q22" s="298" t="str">
        <v>6E</v>
      </c>
      <c r="R22" s="263" t="str">
        <f t="shared" si="0"/>
        <v>EURAB6E14Y</v>
      </c>
      <c r="S22" s="263" t="str">
        <v>EURAB6E14Y=ICAP</v>
      </c>
      <c r="T22" s="299">
        <v>2.3050000000000002</v>
      </c>
      <c r="U22" s="299">
        <v>2.3450000000000002</v>
      </c>
      <c r="V22" s="299">
        <v>0</v>
      </c>
      <c r="W22" s="299">
        <v>0</v>
      </c>
      <c r="X22" s="368">
        <f>_xll.qlMidEquivalent($T22,$U22,$V22,$W22)</f>
        <v>2.3250000000000002</v>
      </c>
      <c r="Y22" s="253"/>
      <c r="Z22" s="261">
        <v>2.41</v>
      </c>
      <c r="AA22" s="253"/>
      <c r="AB22" s="324">
        <v>2.41</v>
      </c>
      <c r="AC22" s="258" t="e">
        <f>_xll.qlSimpleQuoteSetValue(F22,AB22/100,Trigger)</f>
        <v>#N/A</v>
      </c>
      <c r="AD22" s="217"/>
      <c r="AE22" s="17"/>
      <c r="AF22" s="17"/>
      <c r="AG22" s="17"/>
      <c r="AH22" s="17"/>
      <c r="AI22" s="17"/>
      <c r="AJ22" s="290">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EURAB6E15Y_Quote#0000</v>
      </c>
      <c r="G23" s="75" t="str">
        <f>_xll.ohRangeRetrieveError(F23)</f>
        <v/>
      </c>
      <c r="H23" s="49"/>
      <c r="N23" s="122"/>
      <c r="O23" s="264" t="s">
        <v>89</v>
      </c>
      <c r="P23" s="298" t="str">
        <v>AB</v>
      </c>
      <c r="Q23" s="298" t="str">
        <v>6E</v>
      </c>
      <c r="R23" s="263" t="str">
        <f t="shared" si="0"/>
        <v>EURAB6E15Y</v>
      </c>
      <c r="S23" s="263" t="str">
        <v>EURAB6E15Y=ICAP</v>
      </c>
      <c r="T23" s="299">
        <v>2.3559999999999999</v>
      </c>
      <c r="U23" s="299">
        <v>2.3959999999999999</v>
      </c>
      <c r="V23" s="299">
        <v>0</v>
      </c>
      <c r="W23" s="299">
        <v>0</v>
      </c>
      <c r="X23" s="368">
        <f>_xll.qlMidEquivalent($T23,$U23,$V23,$W23)</f>
        <v>2.3759999999999999</v>
      </c>
      <c r="Y23" s="253"/>
      <c r="Z23" s="261">
        <v>2.4700000000000002</v>
      </c>
      <c r="AA23" s="253"/>
      <c r="AB23" s="324">
        <v>2.4700000000000002</v>
      </c>
      <c r="AC23" s="258" t="e">
        <f>_xll.qlSimpleQuoteSetValue(F23,AB23/100,Trigger)</f>
        <v>#N/A</v>
      </c>
      <c r="AD23" s="217"/>
      <c r="AE23" s="17"/>
      <c r="AF23" s="17"/>
      <c r="AG23" s="17"/>
      <c r="AH23" s="17"/>
      <c r="AI23" s="17"/>
      <c r="AJ23" s="290">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EURAB6E16Y_Quote#0000</v>
      </c>
      <c r="G24" s="75" t="str">
        <f>_xll.ohRangeRetrieveError(F24)</f>
        <v/>
      </c>
      <c r="H24" s="49"/>
      <c r="N24" s="122"/>
      <c r="O24" s="264" t="s">
        <v>88</v>
      </c>
      <c r="P24" s="298" t="str">
        <v>AB</v>
      </c>
      <c r="Q24" s="298" t="str">
        <v>6E</v>
      </c>
      <c r="R24" s="263" t="str">
        <f t="shared" si="0"/>
        <v>EURAB6E16Y</v>
      </c>
      <c r="S24" s="263" t="str">
        <v>EURAB6E16Y=ICAP</v>
      </c>
      <c r="T24" s="299">
        <v>2.395</v>
      </c>
      <c r="U24" s="299">
        <v>2.4350000000000001</v>
      </c>
      <c r="V24" s="299">
        <v>0</v>
      </c>
      <c r="W24" s="299">
        <v>0</v>
      </c>
      <c r="X24" s="368">
        <f>_xll.qlMidEquivalent($T24,$U24,$V24,$W24)</f>
        <v>2.415</v>
      </c>
      <c r="Y24" s="253"/>
      <c r="Z24" s="261">
        <v>2.5179999999999998</v>
      </c>
      <c r="AA24" s="253"/>
      <c r="AB24" s="324">
        <v>2.5179999999999998</v>
      </c>
      <c r="AC24" s="258" t="e">
        <f>_xll.qlSimpleQuoteSetValue(F24,AB24/100,Trigger)</f>
        <v>#N/A</v>
      </c>
      <c r="AD24" s="217"/>
      <c r="AE24" s="17"/>
      <c r="AF24" s="17"/>
      <c r="AG24" s="17"/>
      <c r="AH24" s="17"/>
      <c r="AI24" s="17"/>
      <c r="AJ24" s="290">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EURAB6E17Y_Quote#0000</v>
      </c>
      <c r="G25" s="75" t="str">
        <f>_xll.ohRangeRetrieveError(F25)</f>
        <v/>
      </c>
      <c r="H25" s="49"/>
      <c r="N25" s="122"/>
      <c r="O25" s="264" t="s">
        <v>87</v>
      </c>
      <c r="P25" s="298" t="str">
        <v>AB</v>
      </c>
      <c r="Q25" s="298" t="str">
        <v>6E</v>
      </c>
      <c r="R25" s="263" t="str">
        <f t="shared" si="0"/>
        <v>EURAB6E17Y</v>
      </c>
      <c r="S25" s="263" t="str">
        <v>EURAB6E17Y=ICAP</v>
      </c>
      <c r="T25" s="299">
        <v>2.4239999999999999</v>
      </c>
      <c r="U25" s="299">
        <v>2.464</v>
      </c>
      <c r="V25" s="299">
        <v>0</v>
      </c>
      <c r="W25" s="299">
        <v>0</v>
      </c>
      <c r="X25" s="368">
        <f>_xll.qlMidEquivalent($T25,$U25,$V25,$W25)</f>
        <v>2.444</v>
      </c>
      <c r="Y25" s="253"/>
      <c r="Z25" s="261">
        <v>2.5550000000000002</v>
      </c>
      <c r="AA25" s="253"/>
      <c r="AB25" s="324">
        <v>2.5550000000000002</v>
      </c>
      <c r="AC25" s="258" t="e">
        <f>_xll.qlSimpleQuoteSetValue(F25,AB25/100,Trigger)</f>
        <v>#N/A</v>
      </c>
      <c r="AD25" s="217"/>
      <c r="AE25" s="17"/>
      <c r="AF25" s="17"/>
      <c r="AG25" s="17"/>
      <c r="AH25" s="17"/>
      <c r="AI25" s="17"/>
      <c r="AJ25" s="290">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EURAB6E18Y_Quote#0000</v>
      </c>
      <c r="G26" s="75" t="str">
        <f>_xll.ohRangeRetrieveError(F26)</f>
        <v/>
      </c>
      <c r="H26" s="49"/>
      <c r="N26" s="122"/>
      <c r="O26" s="264" t="s">
        <v>86</v>
      </c>
      <c r="P26" s="298" t="str">
        <v>AB</v>
      </c>
      <c r="Q26" s="298" t="str">
        <v>6E</v>
      </c>
      <c r="R26" s="263" t="str">
        <f t="shared" si="0"/>
        <v>EURAB6E18Y</v>
      </c>
      <c r="S26" s="263" t="str">
        <v>EURAB6E18Y=ICAP</v>
      </c>
      <c r="T26" s="299">
        <v>2.444</v>
      </c>
      <c r="U26" s="299">
        <v>2.484</v>
      </c>
      <c r="V26" s="299">
        <v>0</v>
      </c>
      <c r="W26" s="299">
        <v>0</v>
      </c>
      <c r="X26" s="368">
        <f>_xll.qlMidEquivalent($T26,$U26,$V26,$W26)</f>
        <v>2.464</v>
      </c>
      <c r="Y26" s="253"/>
      <c r="Z26" s="261">
        <v>2.5830000000000002</v>
      </c>
      <c r="AA26" s="253"/>
      <c r="AB26" s="324">
        <v>2.5830000000000002</v>
      </c>
      <c r="AC26" s="258" t="e">
        <f>_xll.qlSimpleQuoteSetValue(F26,AB26/100,Trigger)</f>
        <v>#N/A</v>
      </c>
      <c r="AD26" s="217"/>
      <c r="AE26" s="17"/>
      <c r="AF26" s="17"/>
      <c r="AG26" s="17"/>
      <c r="AH26" s="17"/>
      <c r="AI26" s="17"/>
      <c r="AJ26" s="290">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EURAB6E19Y_Quote#0000</v>
      </c>
      <c r="G27" s="75" t="str">
        <f>_xll.ohRangeRetrieveError(F27)</f>
        <v/>
      </c>
      <c r="H27" s="49"/>
      <c r="N27" s="122"/>
      <c r="O27" s="264" t="s">
        <v>85</v>
      </c>
      <c r="P27" s="298" t="str">
        <v>AB</v>
      </c>
      <c r="Q27" s="298" t="str">
        <v>6E</v>
      </c>
      <c r="R27" s="263" t="str">
        <f t="shared" si="0"/>
        <v>EURAB6E19Y</v>
      </c>
      <c r="S27" s="263" t="str">
        <v>EURAB6E19Y=ICAP</v>
      </c>
      <c r="T27" s="299">
        <v>2.4580000000000002</v>
      </c>
      <c r="U27" s="299">
        <v>2.4980000000000002</v>
      </c>
      <c r="V27" s="299">
        <v>0</v>
      </c>
      <c r="W27" s="299">
        <v>0</v>
      </c>
      <c r="X27" s="368">
        <f>_xll.qlMidEquivalent($T27,$U27,$V27,$W27)</f>
        <v>2.4780000000000002</v>
      </c>
      <c r="Y27" s="253"/>
      <c r="Z27" s="261">
        <v>2.605</v>
      </c>
      <c r="AA27" s="253"/>
      <c r="AB27" s="324">
        <v>2.605</v>
      </c>
      <c r="AC27" s="258" t="e">
        <f>_xll.qlSimpleQuoteSetValue(F27,AB27/100,Trigger)</f>
        <v>#N/A</v>
      </c>
      <c r="AD27" s="217"/>
      <c r="AE27" s="17"/>
      <c r="AF27" s="17"/>
      <c r="AG27" s="17"/>
      <c r="AH27" s="17"/>
      <c r="AI27" s="17"/>
      <c r="AJ27" s="290">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EURAB6E20Y_Quote#0000</v>
      </c>
      <c r="G28" s="75" t="str">
        <f>_xll.ohRangeRetrieveError(F28)</f>
        <v/>
      </c>
      <c r="H28" s="49"/>
      <c r="N28" s="122"/>
      <c r="O28" s="264" t="s">
        <v>84</v>
      </c>
      <c r="P28" s="298" t="str">
        <v>AB</v>
      </c>
      <c r="Q28" s="298" t="str">
        <v>6E</v>
      </c>
      <c r="R28" s="263" t="str">
        <f t="shared" si="0"/>
        <v>EURAB6E20Y</v>
      </c>
      <c r="S28" s="263" t="str">
        <v>EURAB6E20Y=ICAP</v>
      </c>
      <c r="T28" s="299">
        <v>2.4670000000000001</v>
      </c>
      <c r="U28" s="299">
        <v>2.5070000000000001</v>
      </c>
      <c r="V28" s="299">
        <v>0</v>
      </c>
      <c r="W28" s="299">
        <v>0</v>
      </c>
      <c r="X28" s="368">
        <f>_xll.qlMidEquivalent($T28,$U28,$V28,$W28)</f>
        <v>2.4870000000000001</v>
      </c>
      <c r="Y28" s="253"/>
      <c r="Z28" s="261">
        <v>2.621</v>
      </c>
      <c r="AA28" s="253"/>
      <c r="AB28" s="324">
        <v>2.621</v>
      </c>
      <c r="AC28" s="258" t="e">
        <f>_xll.qlSimpleQuoteSetValue(F28,AB28/100,Trigger)</f>
        <v>#N/A</v>
      </c>
      <c r="AD28" s="217"/>
      <c r="AE28" s="17"/>
      <c r="AF28" s="17"/>
      <c r="AG28" s="17"/>
      <c r="AH28" s="17"/>
      <c r="AI28" s="17"/>
      <c r="AJ28" s="290">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EURAB6E21Y_Quote#0000</v>
      </c>
      <c r="G29" s="75" t="str">
        <f>_xll.ohRangeRetrieveError(F29)</f>
        <v/>
      </c>
      <c r="H29" s="49"/>
      <c r="N29" s="122"/>
      <c r="O29" s="264" t="s">
        <v>83</v>
      </c>
      <c r="P29" s="298" t="str">
        <v>AB</v>
      </c>
      <c r="Q29" s="298" t="str">
        <v>6E</v>
      </c>
      <c r="R29" s="263" t="str">
        <f t="shared" si="0"/>
        <v>EURAB6E21Y</v>
      </c>
      <c r="S29" s="263" t="str">
        <v>EURAB6E21Y=ICAP</v>
      </c>
      <c r="T29" s="299">
        <v>2.4729999999999999</v>
      </c>
      <c r="U29" s="299">
        <v>2.5129999999999999</v>
      </c>
      <c r="V29" s="299">
        <v>0</v>
      </c>
      <c r="W29" s="299">
        <v>0</v>
      </c>
      <c r="X29" s="368">
        <f>_xll.qlMidEquivalent($T29,$U29,$V29,$W29)</f>
        <v>2.4929999999999999</v>
      </c>
      <c r="Y29" s="253"/>
      <c r="Z29" s="261">
        <v>2.6349999999999998</v>
      </c>
      <c r="AA29" s="253"/>
      <c r="AB29" s="324">
        <v>2.6349999999999998</v>
      </c>
      <c r="AC29" s="258" t="e">
        <f>_xll.qlSimpleQuoteSetValue(F29,AB29/100,Trigger)</f>
        <v>#N/A</v>
      </c>
      <c r="AD29" s="217"/>
      <c r="AE29" s="17"/>
      <c r="AF29" s="17"/>
      <c r="AG29" s="17"/>
      <c r="AH29" s="17"/>
      <c r="AI29" s="17"/>
      <c r="AJ29" s="290">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EURAB6E22Y_Quote#0000</v>
      </c>
      <c r="G30" s="75" t="str">
        <f>_xll.ohRangeRetrieveError(F30)</f>
        <v/>
      </c>
      <c r="H30" s="49"/>
      <c r="N30" s="122"/>
      <c r="O30" s="264" t="s">
        <v>82</v>
      </c>
      <c r="P30" s="298" t="str">
        <v>AB</v>
      </c>
      <c r="Q30" s="298" t="str">
        <v>6E</v>
      </c>
      <c r="R30" s="263" t="str">
        <f t="shared" si="0"/>
        <v>EURAB6E22Y</v>
      </c>
      <c r="S30" s="263" t="str">
        <v>EURAB6E22Y=ICAP</v>
      </c>
      <c r="T30" s="299">
        <v>2.4780000000000002</v>
      </c>
      <c r="U30" s="299">
        <v>2.5179999999999998</v>
      </c>
      <c r="V30" s="299">
        <v>0</v>
      </c>
      <c r="W30" s="299">
        <v>0</v>
      </c>
      <c r="X30" s="368">
        <f>_xll.qlMidEquivalent($T30,$U30,$V30,$W30)</f>
        <v>2.4980000000000002</v>
      </c>
      <c r="Y30" s="253"/>
      <c r="Z30" s="261">
        <v>2.6440000000000001</v>
      </c>
      <c r="AA30" s="253"/>
      <c r="AB30" s="324">
        <v>2.6440000000000001</v>
      </c>
      <c r="AC30" s="258" t="e">
        <f>_xll.qlSimpleQuoteSetValue(F30,AB30/100,Trigger)</f>
        <v>#N/A</v>
      </c>
      <c r="AD30" s="217"/>
      <c r="AE30" s="17"/>
      <c r="AF30" s="17"/>
      <c r="AG30" s="17"/>
      <c r="AH30" s="17"/>
      <c r="AI30" s="17"/>
      <c r="AJ30" s="290">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EURAB6E23Y_Quote#0000</v>
      </c>
      <c r="G31" s="75" t="str">
        <f>_xll.ohRangeRetrieveError(F31)</f>
        <v/>
      </c>
      <c r="H31" s="49"/>
      <c r="N31" s="122"/>
      <c r="O31" s="264" t="s">
        <v>81</v>
      </c>
      <c r="P31" s="298" t="str">
        <v>AB</v>
      </c>
      <c r="Q31" s="298" t="str">
        <v>6E</v>
      </c>
      <c r="R31" s="263" t="str">
        <f t="shared" si="0"/>
        <v>EURAB6E23Y</v>
      </c>
      <c r="S31" s="263" t="str">
        <v>EURAB6E23Y=ICAP</v>
      </c>
      <c r="T31" s="299">
        <v>2.4809999999999999</v>
      </c>
      <c r="U31" s="299">
        <v>2.5209999999999999</v>
      </c>
      <c r="V31" s="299">
        <v>0</v>
      </c>
      <c r="W31" s="299">
        <v>0</v>
      </c>
      <c r="X31" s="368">
        <f>_xll.qlMidEquivalent($T31,$U31,$V31,$W31)</f>
        <v>2.5009999999999999</v>
      </c>
      <c r="Y31" s="253"/>
      <c r="Z31" s="261">
        <v>2.6520000000000001</v>
      </c>
      <c r="AA31" s="253"/>
      <c r="AB31" s="324">
        <v>2.6520000000000001</v>
      </c>
      <c r="AC31" s="258" t="e">
        <f>_xll.qlSimpleQuoteSetValue(F31,AB31/100,Trigger)</f>
        <v>#N/A</v>
      </c>
      <c r="AD31" s="217"/>
      <c r="AE31" s="17"/>
      <c r="AF31" s="17"/>
      <c r="AG31" s="17"/>
      <c r="AH31" s="17"/>
      <c r="AI31" s="17"/>
      <c r="AJ31" s="290">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EURAB6E24Y_Quote#0000</v>
      </c>
      <c r="G32" s="75" t="str">
        <f>_xll.ohRangeRetrieveError(F32)</f>
        <v/>
      </c>
      <c r="H32" s="49"/>
      <c r="N32" s="122"/>
      <c r="O32" s="264" t="s">
        <v>80</v>
      </c>
      <c r="P32" s="298" t="str">
        <v>AB</v>
      </c>
      <c r="Q32" s="298" t="str">
        <v>6E</v>
      </c>
      <c r="R32" s="263" t="str">
        <f t="shared" si="0"/>
        <v>EURAB6E24Y</v>
      </c>
      <c r="S32" s="263" t="str">
        <v>EURAB6E24Y=ICAP</v>
      </c>
      <c r="T32" s="299">
        <v>2.4809999999999999</v>
      </c>
      <c r="U32" s="299">
        <v>2.5209999999999999</v>
      </c>
      <c r="V32" s="299">
        <v>0</v>
      </c>
      <c r="W32" s="299">
        <v>0</v>
      </c>
      <c r="X32" s="368">
        <f>_xll.qlMidEquivalent($T32,$U32,$V32,$W32)</f>
        <v>2.5009999999999999</v>
      </c>
      <c r="Y32" s="253"/>
      <c r="Z32" s="261">
        <v>2.657</v>
      </c>
      <c r="AA32" s="253"/>
      <c r="AB32" s="324">
        <v>2.657</v>
      </c>
      <c r="AC32" s="258" t="e">
        <f>_xll.qlSimpleQuoteSetValue(F32,AB32/100,Trigger)</f>
        <v>#N/A</v>
      </c>
      <c r="AD32" s="217"/>
      <c r="AE32" s="17"/>
      <c r="AF32" s="17"/>
      <c r="AG32" s="17"/>
      <c r="AH32" s="17"/>
      <c r="AI32" s="17"/>
      <c r="AJ32" s="290">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EURAB6E25Y_Quote#0000</v>
      </c>
      <c r="G33" s="75" t="str">
        <f>_xll.ohRangeRetrieveError(F33)</f>
        <v/>
      </c>
      <c r="H33" s="49"/>
      <c r="N33" s="122"/>
      <c r="O33" s="264" t="s">
        <v>79</v>
      </c>
      <c r="P33" s="298" t="str">
        <v>AB</v>
      </c>
      <c r="Q33" s="298" t="str">
        <v>6E</v>
      </c>
      <c r="R33" s="263" t="str">
        <f t="shared" si="0"/>
        <v>EURAB6E25Y</v>
      </c>
      <c r="S33" s="263" t="str">
        <v>EURAB6E25Y=ICAP</v>
      </c>
      <c r="T33" s="299">
        <v>2.4809999999999999</v>
      </c>
      <c r="U33" s="299">
        <v>2.5209999999999999</v>
      </c>
      <c r="V33" s="299">
        <v>0</v>
      </c>
      <c r="W33" s="299">
        <v>0</v>
      </c>
      <c r="X33" s="368">
        <f>_xll.qlMidEquivalent($T33,$U33,$V33,$W33)</f>
        <v>2.5009999999999999</v>
      </c>
      <c r="Y33" s="253"/>
      <c r="Z33" s="261">
        <v>2.66</v>
      </c>
      <c r="AA33" s="253"/>
      <c r="AB33" s="324">
        <v>2.66</v>
      </c>
      <c r="AC33" s="258" t="e">
        <f>_xll.qlSimpleQuoteSetValue(F33,AB33/100,Trigger)</f>
        <v>#N/A</v>
      </c>
      <c r="AD33" s="217"/>
      <c r="AE33" s="17"/>
      <c r="AF33" s="17"/>
      <c r="AG33" s="17"/>
      <c r="AH33" s="17"/>
      <c r="AI33" s="17"/>
      <c r="AJ33" s="290">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EURAB6E26Y_Quote#0000</v>
      </c>
      <c r="G34" s="75" t="str">
        <f>_xll.ohRangeRetrieveError(F34)</f>
        <v/>
      </c>
      <c r="H34" s="49"/>
      <c r="N34" s="122"/>
      <c r="O34" s="264" t="s">
        <v>78</v>
      </c>
      <c r="P34" s="298" t="str">
        <v>AB</v>
      </c>
      <c r="Q34" s="298" t="str">
        <v>6E</v>
      </c>
      <c r="R34" s="263" t="str">
        <f t="shared" si="0"/>
        <v>EURAB6E26Y</v>
      </c>
      <c r="S34" s="263" t="str">
        <v>EURAB6E26Y=ICAP</v>
      </c>
      <c r="T34" s="299">
        <v>2.48</v>
      </c>
      <c r="U34" s="299">
        <v>2.52</v>
      </c>
      <c r="V34" s="299">
        <v>0</v>
      </c>
      <c r="W34" s="299">
        <v>0</v>
      </c>
      <c r="X34" s="368">
        <f>_xll.qlMidEquivalent($T34,$U34,$V34,$W34)</f>
        <v>2.5</v>
      </c>
      <c r="Y34" s="253"/>
      <c r="Z34" s="261">
        <v>2.661</v>
      </c>
      <c r="AA34" s="253"/>
      <c r="AB34" s="324">
        <v>2.661</v>
      </c>
      <c r="AC34" s="258" t="e">
        <f>_xll.qlSimpleQuoteSetValue(F34,AB34/100,Trigger)</f>
        <v>#N/A</v>
      </c>
      <c r="AD34" s="217"/>
      <c r="AE34" s="17"/>
      <c r="AF34" s="17"/>
      <c r="AG34" s="17"/>
      <c r="AH34" s="17"/>
      <c r="AI34" s="17"/>
      <c r="AJ34" s="290">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EURAB6E27Y_Quote#0000</v>
      </c>
      <c r="G35" s="75" t="str">
        <f>_xll.ohRangeRetrieveError(F35)</f>
        <v/>
      </c>
      <c r="H35" s="49"/>
      <c r="N35" s="122"/>
      <c r="O35" s="264" t="s">
        <v>77</v>
      </c>
      <c r="P35" s="298" t="str">
        <v>AB</v>
      </c>
      <c r="Q35" s="298" t="str">
        <v>6E</v>
      </c>
      <c r="R35" s="263" t="str">
        <f t="shared" si="0"/>
        <v>EURAB6E27Y</v>
      </c>
      <c r="S35" s="263" t="str">
        <v>EURAB6E27Y=ICAP</v>
      </c>
      <c r="T35" s="299">
        <v>2.4780000000000002</v>
      </c>
      <c r="U35" s="299">
        <v>2.5179999999999998</v>
      </c>
      <c r="V35" s="299">
        <v>0</v>
      </c>
      <c r="W35" s="299">
        <v>0</v>
      </c>
      <c r="X35" s="368">
        <f>_xll.qlMidEquivalent($T35,$U35,$V35,$W35)</f>
        <v>2.4980000000000002</v>
      </c>
      <c r="Y35" s="253"/>
      <c r="Z35" s="261">
        <v>2.6619999999999999</v>
      </c>
      <c r="AA35" s="253"/>
      <c r="AB35" s="324">
        <v>2.6619999999999999</v>
      </c>
      <c r="AC35" s="258" t="e">
        <f>_xll.qlSimpleQuoteSetValue(F35,AB35/100,Trigger)</f>
        <v>#N/A</v>
      </c>
      <c r="AD35" s="217"/>
      <c r="AE35" s="17"/>
      <c r="AF35" s="17"/>
      <c r="AG35" s="17"/>
      <c r="AH35" s="17"/>
      <c r="AI35" s="17"/>
      <c r="AJ35" s="290">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EURAB6E28Y_Quote#0000</v>
      </c>
      <c r="G36" s="75" t="str">
        <f>_xll.ohRangeRetrieveError(F36)</f>
        <v/>
      </c>
      <c r="H36" s="49"/>
      <c r="N36" s="122"/>
      <c r="O36" s="264" t="s">
        <v>76</v>
      </c>
      <c r="P36" s="298" t="str">
        <v>AB</v>
      </c>
      <c r="Q36" s="298" t="str">
        <v>6E</v>
      </c>
      <c r="R36" s="263" t="str">
        <f t="shared" si="0"/>
        <v>EURAB6E28Y</v>
      </c>
      <c r="S36" s="263" t="str">
        <v>EURAB6E28Y=ICAP</v>
      </c>
      <c r="T36" s="299">
        <v>2.4750000000000001</v>
      </c>
      <c r="U36" s="299">
        <v>2.5150000000000001</v>
      </c>
      <c r="V36" s="299">
        <v>0</v>
      </c>
      <c r="W36" s="299">
        <v>0</v>
      </c>
      <c r="X36" s="368">
        <f>_xll.qlMidEquivalent($T36,$U36,$V36,$W36)</f>
        <v>2.4950000000000001</v>
      </c>
      <c r="Y36" s="253"/>
      <c r="Z36" s="261">
        <v>2.661</v>
      </c>
      <c r="AA36" s="253"/>
      <c r="AB36" s="324">
        <v>2.661</v>
      </c>
      <c r="AC36" s="258" t="e">
        <f>_xll.qlSimpleQuoteSetValue(F36,AB36/100,Trigger)</f>
        <v>#N/A</v>
      </c>
      <c r="AD36" s="217"/>
      <c r="AE36" s="17"/>
      <c r="AF36" s="17"/>
      <c r="AG36" s="17"/>
      <c r="AH36" s="17"/>
      <c r="AI36" s="17"/>
      <c r="AJ36" s="290">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EURAB6E29Y_Quote#0000</v>
      </c>
      <c r="G37" s="75" t="str">
        <f>_xll.ohRangeRetrieveError(F37)</f>
        <v/>
      </c>
      <c r="H37" s="49"/>
      <c r="N37" s="122"/>
      <c r="O37" s="264" t="s">
        <v>75</v>
      </c>
      <c r="P37" s="298" t="str">
        <v>AB</v>
      </c>
      <c r="Q37" s="298" t="str">
        <v>6E</v>
      </c>
      <c r="R37" s="263" t="str">
        <f t="shared" si="0"/>
        <v>EURAB6E29Y</v>
      </c>
      <c r="S37" s="263" t="str">
        <v>EURAB6E29Y=ICAP</v>
      </c>
      <c r="T37" s="299">
        <v>2.4740000000000002</v>
      </c>
      <c r="U37" s="299">
        <v>2.5139999999999998</v>
      </c>
      <c r="V37" s="299">
        <v>0</v>
      </c>
      <c r="W37" s="299">
        <v>0</v>
      </c>
      <c r="X37" s="368">
        <f>_xll.qlMidEquivalent($T37,$U37,$V37,$W37)</f>
        <v>2.4939999999999998</v>
      </c>
      <c r="Y37" s="253"/>
      <c r="Z37" s="261">
        <v>2.66</v>
      </c>
      <c r="AA37" s="253"/>
      <c r="AB37" s="324">
        <v>2.66</v>
      </c>
      <c r="AC37" s="258" t="e">
        <f>_xll.qlSimpleQuoteSetValue(F37,AB37/100,Trigger)</f>
        <v>#N/A</v>
      </c>
      <c r="AD37" s="217"/>
      <c r="AE37" s="17"/>
      <c r="AF37" s="17"/>
      <c r="AG37" s="17"/>
      <c r="AH37" s="17"/>
      <c r="AI37" s="17"/>
      <c r="AJ37" s="290">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EURAB6E30Y_Quote#0000</v>
      </c>
      <c r="G38" s="75" t="str">
        <f>_xll.ohRangeRetrieveError(F38)</f>
        <v/>
      </c>
      <c r="H38" s="49"/>
      <c r="N38" s="122"/>
      <c r="O38" s="264" t="s">
        <v>74</v>
      </c>
      <c r="P38" s="298" t="str">
        <v>AB</v>
      </c>
      <c r="Q38" s="298" t="str">
        <v>6E</v>
      </c>
      <c r="R38" s="263" t="str">
        <f t="shared" si="0"/>
        <v>EURAB6E30Y</v>
      </c>
      <c r="S38" s="263" t="str">
        <v>EURAB6E30Y=ICAP</v>
      </c>
      <c r="T38" s="299">
        <v>2.4729999999999999</v>
      </c>
      <c r="U38" s="299">
        <v>2.5129999999999999</v>
      </c>
      <c r="V38" s="299">
        <v>0</v>
      </c>
      <c r="W38" s="299">
        <v>0</v>
      </c>
      <c r="X38" s="368">
        <f>_xll.qlMidEquivalent($T38,$U38,$V38,$W38)</f>
        <v>2.4929999999999999</v>
      </c>
      <c r="Y38" s="253"/>
      <c r="Z38" s="261">
        <v>2.66</v>
      </c>
      <c r="AA38" s="253"/>
      <c r="AB38" s="324">
        <v>2.66</v>
      </c>
      <c r="AC38" s="258" t="e">
        <f>_xll.qlSimpleQuoteSetValue(F38,AB38/100,Trigger)</f>
        <v>#N/A</v>
      </c>
      <c r="AD38" s="217"/>
      <c r="AE38" s="17"/>
      <c r="AF38" s="17"/>
      <c r="AG38" s="17"/>
      <c r="AH38" s="17"/>
      <c r="AI38" s="17"/>
      <c r="AJ38" s="290">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EURAB6E35Y_Quote#0000</v>
      </c>
      <c r="G39" s="75" t="str">
        <f>_xll.ohRangeRetrieveError(F39)</f>
        <v/>
      </c>
      <c r="H39" s="49"/>
      <c r="N39" s="122"/>
      <c r="O39" s="264" t="s">
        <v>69</v>
      </c>
      <c r="P39" s="298" t="str">
        <v>AB</v>
      </c>
      <c r="Q39" s="298" t="str">
        <v>6E</v>
      </c>
      <c r="R39" s="263" t="str">
        <f t="shared" si="0"/>
        <v>EURAB6E35Y</v>
      </c>
      <c r="S39" s="263" t="str">
        <v>EURAB6E35Y=ICAP</v>
      </c>
      <c r="T39" s="299">
        <v>2.4870000000000001</v>
      </c>
      <c r="U39" s="299">
        <v>2.5270000000000001</v>
      </c>
      <c r="V39" s="299">
        <v>0</v>
      </c>
      <c r="W39" s="299">
        <v>0</v>
      </c>
      <c r="X39" s="368">
        <f>_xll.qlMidEquivalent($T39,$U39,$V39,$W39)</f>
        <v>2.5070000000000001</v>
      </c>
      <c r="Y39" s="253"/>
      <c r="Z39" s="261">
        <v>2.6680000000000001</v>
      </c>
      <c r="AA39" s="253"/>
      <c r="AB39" s="324">
        <v>2.6680000000000001</v>
      </c>
      <c r="AC39" s="258" t="e">
        <f>_xll.qlSimpleQuoteSetValue(F39,AB39/100,Trigger)</f>
        <v>#N/A</v>
      </c>
      <c r="AD39" s="217"/>
      <c r="AE39" s="17"/>
      <c r="AF39" s="17"/>
      <c r="AG39" s="17"/>
      <c r="AH39" s="17"/>
      <c r="AI39" s="17"/>
      <c r="AJ39" s="290">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EURAB6E40Y_Quote#0000</v>
      </c>
      <c r="G40" s="75" t="str">
        <f>_xll.ohRangeRetrieveError(F40)</f>
        <v/>
      </c>
      <c r="H40" s="49"/>
      <c r="N40" s="122"/>
      <c r="O40" s="264" t="s">
        <v>64</v>
      </c>
      <c r="P40" s="298" t="str">
        <v>AB</v>
      </c>
      <c r="Q40" s="298" t="str">
        <v>6E</v>
      </c>
      <c r="R40" s="263" t="str">
        <f t="shared" si="0"/>
        <v>EURAB6E40Y</v>
      </c>
      <c r="S40" s="263" t="str">
        <v>EURAB6E40Y=ICAP</v>
      </c>
      <c r="T40" s="299">
        <v>2.5150000000000001</v>
      </c>
      <c r="U40" s="299">
        <v>2.5550000000000002</v>
      </c>
      <c r="V40" s="299">
        <v>0</v>
      </c>
      <c r="W40" s="299">
        <v>0</v>
      </c>
      <c r="X40" s="368">
        <f>_xll.qlMidEquivalent($T40,$U40,$V40,$W40)</f>
        <v>2.5350000000000001</v>
      </c>
      <c r="Y40" s="253"/>
      <c r="Z40" s="261">
        <v>2.6840000000000002</v>
      </c>
      <c r="AA40" s="253"/>
      <c r="AB40" s="324">
        <v>2.6840000000000002</v>
      </c>
      <c r="AC40" s="258" t="e">
        <f>_xll.qlSimpleQuoteSetValue(F40,AB40/100,Trigger)</f>
        <v>#N/A</v>
      </c>
      <c r="AD40" s="217"/>
      <c r="AE40" s="17"/>
      <c r="AF40" s="17"/>
      <c r="AG40" s="17"/>
      <c r="AH40" s="17"/>
      <c r="AI40" s="17"/>
      <c r="AJ40" s="290">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EURAB6E50Y_Quote#0000</v>
      </c>
      <c r="G41" s="75" t="str">
        <f>_xll.ohRangeRetrieveError(F41)</f>
        <v/>
      </c>
      <c r="H41" s="49"/>
      <c r="N41" s="122"/>
      <c r="O41" s="264" t="s">
        <v>54</v>
      </c>
      <c r="P41" s="298" t="str">
        <v>AB</v>
      </c>
      <c r="Q41" s="298" t="str">
        <v>6E</v>
      </c>
      <c r="R41" s="263" t="str">
        <f t="shared" si="0"/>
        <v>EURAB6E50Y</v>
      </c>
      <c r="S41" s="263" t="str">
        <v>EURAB6E50Y=ICAP</v>
      </c>
      <c r="T41" s="299">
        <v>2.5590000000000002</v>
      </c>
      <c r="U41" s="299">
        <v>2.5990000000000002</v>
      </c>
      <c r="V41" s="299">
        <v>0</v>
      </c>
      <c r="W41" s="299">
        <v>0</v>
      </c>
      <c r="X41" s="368">
        <f>_xll.qlMidEquivalent($T41,$U41,$V41,$W41)</f>
        <v>2.5790000000000002</v>
      </c>
      <c r="Y41" s="253"/>
      <c r="Z41" s="261">
        <v>2.7029999999999998</v>
      </c>
      <c r="AA41" s="253"/>
      <c r="AB41" s="324">
        <v>2.7029999999999998</v>
      </c>
      <c r="AC41" s="258" t="e">
        <f>_xll.qlSimpleQuoteSetValue(F41,AB41/100,Trigger)</f>
        <v>#N/A</v>
      </c>
      <c r="AD41" s="217"/>
      <c r="AE41" s="17"/>
      <c r="AF41" s="17"/>
      <c r="AG41" s="17"/>
      <c r="AH41" s="17"/>
      <c r="AI41" s="17"/>
      <c r="AJ41" s="290">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EURAB6E60Y_Quote#0000</v>
      </c>
      <c r="G42" s="75" t="str">
        <f>_xll.ohRangeRetrieveError(F42)</f>
        <v/>
      </c>
      <c r="H42" s="49"/>
      <c r="N42" s="122"/>
      <c r="O42" s="257" t="s">
        <v>44</v>
      </c>
      <c r="P42" s="303" t="str">
        <v>AB</v>
      </c>
      <c r="Q42" s="303" t="str">
        <v>6E</v>
      </c>
      <c r="R42" s="256" t="str">
        <f t="shared" si="0"/>
        <v>EURAB6E60Y</v>
      </c>
      <c r="S42" s="256" t="str">
        <v>EURAB6E60Y=ICAP</v>
      </c>
      <c r="T42" s="304">
        <v>2.59</v>
      </c>
      <c r="U42" s="304">
        <v>2.63</v>
      </c>
      <c r="V42" s="304">
        <v>0</v>
      </c>
      <c r="W42" s="304">
        <v>0</v>
      </c>
      <c r="X42" s="367">
        <f>_xll.qlMidEquivalent($T42,$U42,$V42,$W42)</f>
        <v>2.61</v>
      </c>
      <c r="Y42" s="253"/>
      <c r="Z42" s="254">
        <v>2.7160000000000002</v>
      </c>
      <c r="AA42" s="253"/>
      <c r="AB42" s="317">
        <v>2.7160000000000002</v>
      </c>
      <c r="AC42" s="250" t="e">
        <f>_xll.qlSimpleQuoteSetValue(F42,AB42/100,Trigger)</f>
        <v>#N/A</v>
      </c>
      <c r="AD42" s="217"/>
      <c r="AE42" s="17"/>
      <c r="AF42" s="17"/>
      <c r="AG42" s="17"/>
      <c r="AH42" s="17"/>
      <c r="AI42" s="17"/>
      <c r="AJ42" s="290">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66"/>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EURTOY_SYNTHON_Quote#0000</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EURTOY2_SYNTHON_Quote#0000</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election activeCell="J6" sqref="J6:J9"/>
    </sheetView>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29" t="s">
        <v>319</v>
      </c>
      <c r="I1" s="528"/>
      <c r="J1" s="528"/>
      <c r="K1" s="528"/>
      <c r="L1" s="528"/>
      <c r="M1" s="528"/>
      <c r="N1" s="528"/>
      <c r="O1" s="528"/>
      <c r="P1" s="527"/>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26"/>
      <c r="I2" s="525"/>
      <c r="J2" s="510"/>
      <c r="K2" s="524"/>
      <c r="L2" s="510"/>
      <c r="M2" s="510"/>
      <c r="N2" s="510"/>
      <c r="O2" s="510"/>
      <c r="P2" s="507"/>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EUROND_SYNTH1M_Quote#0000</v>
      </c>
      <c r="E3" s="227" t="str">
        <f>_xll.ohRangeRetrieveError(D3)</f>
        <v/>
      </c>
      <c r="F3" s="217"/>
      <c r="H3" s="513"/>
      <c r="I3" s="523"/>
      <c r="J3" s="523"/>
      <c r="K3" s="510"/>
      <c r="L3" s="510"/>
      <c r="M3" s="510"/>
      <c r="N3" s="523"/>
      <c r="O3" s="522">
        <f>_xll.ohTrigger(O5:O8)</f>
        <v>1</v>
      </c>
      <c r="P3" s="507"/>
    </row>
    <row r="4" spans="1:16" x14ac:dyDescent="0.2">
      <c r="A4" s="122"/>
      <c r="B4" s="229" t="s">
        <v>154</v>
      </c>
      <c r="C4" s="129" t="str">
        <f t="shared" si="0"/>
        <v>EURTND_SYNTH1M_Quote</v>
      </c>
      <c r="D4" s="131" t="str">
        <f>_xll.qlSimpleQuote(C4,,RateTickValue,Permanent,Trigger,ObjectOverwrite)</f>
        <v>EURTND_SYNTH1M_Quote#0000</v>
      </c>
      <c r="E4" s="227" t="str">
        <f>_xll.ohRangeRetrieveError(D4)</f>
        <v/>
      </c>
      <c r="F4" s="217"/>
      <c r="H4" s="513"/>
      <c r="I4" s="519"/>
      <c r="J4" s="521" t="s">
        <v>318</v>
      </c>
      <c r="K4" s="510"/>
      <c r="L4" s="520" t="s">
        <v>239</v>
      </c>
      <c r="M4" s="510"/>
      <c r="N4" s="519" t="s">
        <v>237</v>
      </c>
      <c r="O4" s="518" t="s">
        <v>236</v>
      </c>
      <c r="P4" s="507"/>
    </row>
    <row r="5" spans="1:16" x14ac:dyDescent="0.2">
      <c r="A5" s="122"/>
      <c r="B5" s="229" t="s">
        <v>153</v>
      </c>
      <c r="C5" s="129" t="str">
        <f t="shared" si="0"/>
        <v>EURSND_SYNTH1M_Quote</v>
      </c>
      <c r="D5" s="131" t="str">
        <f>_xll.qlSimpleQuote(C5,,RateTickValue,Permanent,Trigger,ObjectOverwrite)</f>
        <v>EURSND_SYNTH1M_Quote#0000</v>
      </c>
      <c r="E5" s="227" t="str">
        <f>_xll.ohRangeRetrieveError(D5)</f>
        <v/>
      </c>
      <c r="F5" s="217"/>
      <c r="H5" s="513"/>
      <c r="I5" s="517" t="s">
        <v>153</v>
      </c>
      <c r="J5" s="579" t="e">
        <f>[1]Calculation!$G$34</f>
        <v>#NUM!</v>
      </c>
      <c r="K5" s="530" t="s">
        <v>271</v>
      </c>
      <c r="L5" s="516">
        <v>1.2500240082381178E-3</v>
      </c>
      <c r="M5" s="510"/>
      <c r="N5" s="515">
        <f t="array" ref="N5:N9">QuoteStatic</f>
        <v>1.2500240082381178E-3</v>
      </c>
      <c r="O5" s="514" t="e">
        <f>_xll.qlSimpleQuoteSetValue(D5,ROUND($N5,6),EvaluationDate)</f>
        <v>#N/A</v>
      </c>
      <c r="P5" s="507"/>
    </row>
    <row r="6" spans="1:16" x14ac:dyDescent="0.2">
      <c r="A6" s="122"/>
      <c r="B6" s="229" t="s">
        <v>152</v>
      </c>
      <c r="C6" s="129" t="str">
        <f t="shared" si="0"/>
        <v>EURSWD_SYNTH1M_Quote</v>
      </c>
      <c r="D6" s="131" t="str">
        <f>_xll.qlSimpleQuote(C6,,RateTickValue,Permanent,Trigger,ObjectOverwrite)</f>
        <v>EURSWD_SYNTH1M_Quote#0000</v>
      </c>
      <c r="E6" s="227" t="str">
        <f>_xll.ohRangeRetrieveError(D6)</f>
        <v/>
      </c>
      <c r="F6" s="217"/>
      <c r="H6" s="513"/>
      <c r="I6" s="517" t="s">
        <v>152</v>
      </c>
      <c r="J6" s="579" t="e">
        <f>[1]Calculation!$G$34</f>
        <v>#NUM!</v>
      </c>
      <c r="K6" s="530" t="s">
        <v>271</v>
      </c>
      <c r="L6" s="516">
        <v>1.3300205707900835E-3</v>
      </c>
      <c r="M6" s="510"/>
      <c r="N6" s="515">
        <v>1.3300205707900835E-3</v>
      </c>
      <c r="O6" s="514" t="e">
        <f>_xll.qlSimpleQuoteSetValue(D6,ROUND($N6,6),EvaluationDate)</f>
        <v>#N/A</v>
      </c>
      <c r="P6" s="507"/>
    </row>
    <row r="7" spans="1:16" x14ac:dyDescent="0.2">
      <c r="A7" s="122"/>
      <c r="B7" s="229" t="s">
        <v>151</v>
      </c>
      <c r="C7" s="129" t="str">
        <f t="shared" si="0"/>
        <v>EUR2WD_SYNTH1M_Quote</v>
      </c>
      <c r="D7" s="131" t="str">
        <f>_xll.qlSimpleQuote(C7,,RateTickValue,Permanent,Trigger,ObjectOverwrite)</f>
        <v>EUR2WD_SYNTH1M_Quote#0000</v>
      </c>
      <c r="E7" s="227" t="str">
        <f>_xll.ohRangeRetrieveError(D7)</f>
        <v/>
      </c>
      <c r="F7" s="217"/>
      <c r="H7" s="513"/>
      <c r="I7" s="517" t="s">
        <v>151</v>
      </c>
      <c r="J7" s="579" t="e">
        <f>[1]Calculation!$G$34</f>
        <v>#NUM!</v>
      </c>
      <c r="K7" s="530" t="s">
        <v>271</v>
      </c>
      <c r="L7" s="516">
        <v>1.3100145596491742E-3</v>
      </c>
      <c r="M7" s="510"/>
      <c r="N7" s="515">
        <v>1.3100145596491742E-3</v>
      </c>
      <c r="O7" s="514" t="e">
        <f>_xll.qlSimpleQuoteSetValue(D7,ROUND($N7,6),EvaluationDate)</f>
        <v>#N/A</v>
      </c>
      <c r="P7" s="507"/>
    </row>
    <row r="8" spans="1:16" x14ac:dyDescent="0.2">
      <c r="A8" s="122"/>
      <c r="B8" s="229" t="s">
        <v>150</v>
      </c>
      <c r="C8" s="129" t="str">
        <f t="shared" si="0"/>
        <v>EUR3WD_SYNTH1M_Quote</v>
      </c>
      <c r="D8" s="131" t="str">
        <f>_xll.qlSimpleQuote(C8,,RateTickValue,Permanent,Trigger,ObjectOverwrite)</f>
        <v>EUR3WD_SYNTH1M_Quote#0000</v>
      </c>
      <c r="E8" s="227" t="str">
        <f>_xll.ohRangeRetrieveError(D8)</f>
        <v/>
      </c>
      <c r="F8" s="217"/>
      <c r="H8" s="513"/>
      <c r="I8" s="512" t="s">
        <v>150</v>
      </c>
      <c r="J8" s="580" t="e">
        <f>[1]Calculation!$G$34</f>
        <v>#NUM!</v>
      </c>
      <c r="K8" s="530" t="s">
        <v>271</v>
      </c>
      <c r="L8" s="511">
        <v>1.3100085588989415E-3</v>
      </c>
      <c r="M8" s="510"/>
      <c r="N8" s="509">
        <v>1.3100085588989415E-3</v>
      </c>
      <c r="O8" s="508" t="e">
        <f>_xll.qlSimpleQuoteSetValue(D8,ROUND($N8,6),EvaluationDate)</f>
        <v>#N/A</v>
      </c>
      <c r="P8" s="507"/>
    </row>
    <row r="9" spans="1:16" x14ac:dyDescent="0.2">
      <c r="A9" s="122"/>
      <c r="B9" s="228" t="s">
        <v>149</v>
      </c>
      <c r="C9" s="129" t="str">
        <f t="shared" si="0"/>
        <v>EUR1MD_SYNTH1M_Quote</v>
      </c>
      <c r="D9" s="129" t="str">
        <f>_xll.qlSimpleQuote(C9,,RateTickValue,Permanent,Trigger,ObjectOverwrite)</f>
        <v>EUR1MD_SYNTH1M_Quote#0000</v>
      </c>
      <c r="E9" s="227" t="str">
        <f>_xll.ohRangeRetrieveError(D9)</f>
        <v/>
      </c>
      <c r="F9" s="217"/>
      <c r="H9" s="513"/>
      <c r="I9" s="512" t="s">
        <v>149</v>
      </c>
      <c r="J9" s="580" t="e">
        <f>[1]Calculation!$G$34</f>
        <v>#NUM!</v>
      </c>
      <c r="K9" s="530" t="s">
        <v>271</v>
      </c>
      <c r="L9" s="511">
        <v>1.31E-3</v>
      </c>
      <c r="M9" s="510"/>
      <c r="N9" s="509">
        <v>1.31E-3</v>
      </c>
      <c r="O9" s="508" t="e">
        <f>_xll.qlSimpleQuoteSetValue(D9,ROUND($N9,6),EvaluationDate)</f>
        <v>#N/A</v>
      </c>
      <c r="P9" s="507"/>
    </row>
    <row r="10" spans="1:16" ht="12" thickBot="1" x14ac:dyDescent="0.25">
      <c r="A10" s="122"/>
      <c r="B10" s="221" t="s">
        <v>195</v>
      </c>
      <c r="C10" s="125" t="str">
        <f t="shared" si="0"/>
        <v>EURTOY_SYNTH1M_Quote</v>
      </c>
      <c r="D10" s="127" t="str">
        <f>_xll.qlSimpleQuote(C10,1,RateTickValue,Permanent,Trigger,ObjectOverwrite)</f>
        <v>EURTOY_SYNTH1M_Quote#0000</v>
      </c>
      <c r="E10" s="220" t="str">
        <f>_xll.ohRangeRetrieveError(D10)</f>
        <v/>
      </c>
      <c r="F10" s="217"/>
      <c r="H10" s="506"/>
      <c r="I10" s="505"/>
      <c r="J10" s="505"/>
      <c r="K10" s="505"/>
      <c r="L10" s="505"/>
      <c r="M10" s="505"/>
      <c r="N10" s="505"/>
      <c r="O10" s="505"/>
      <c r="P10" s="504"/>
    </row>
    <row r="11" spans="1:16" x14ac:dyDescent="0.2">
      <c r="A11" s="122"/>
      <c r="B11" s="219" t="s">
        <v>194</v>
      </c>
      <c r="C11" s="118" t="str">
        <f t="shared" si="0"/>
        <v>EURTOY2_SYNTH1M_Quote</v>
      </c>
      <c r="D11" s="123" t="str">
        <f>_xll.qlSimpleQuote(C11,1,RateTickValue,Permanent,Trigger,ObjectOverwrite)</f>
        <v>EURTOY2_SYNTH1M_Quote#0000</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P14"/>
  <sheetViews>
    <sheetView workbookViewId="0">
      <selection activeCell="J6" sqref="J6:J11"/>
    </sheetView>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3</v>
      </c>
      <c r="C1" s="226" t="str">
        <f>_xll.qlPeriodEquivalent(Months&amp;"M")</f>
        <v>3M</v>
      </c>
      <c r="D1" s="225"/>
      <c r="E1" s="225"/>
      <c r="F1" s="224"/>
      <c r="H1" s="529" t="s">
        <v>319</v>
      </c>
      <c r="I1" s="528"/>
      <c r="J1" s="528"/>
      <c r="K1" s="528"/>
      <c r="L1" s="528"/>
      <c r="M1" s="528"/>
      <c r="N1" s="528"/>
      <c r="O1" s="528"/>
      <c r="P1" s="527"/>
    </row>
    <row r="2" spans="1:16" ht="13.5" x14ac:dyDescent="0.25">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c r="H2" s="526"/>
      <c r="I2" s="525"/>
      <c r="J2" s="510"/>
      <c r="K2" s="524"/>
      <c r="L2" s="510"/>
      <c r="M2" s="510"/>
      <c r="N2" s="510"/>
      <c r="O2" s="510"/>
      <c r="P2" s="507"/>
    </row>
    <row r="3" spans="1:16" x14ac:dyDescent="0.2">
      <c r="A3" s="122"/>
      <c r="B3" s="229" t="s">
        <v>155</v>
      </c>
      <c r="C3" s="129" t="str">
        <f t="shared" ref="C3:C13" si="0">Currency&amp;$B3&amp;"_SYNTH"&amp;Tenor&amp;QuoteSuffix</f>
        <v>EUROND_SYNTH3M_Quote</v>
      </c>
      <c r="D3" s="129" t="str">
        <f>_xll.qlSimpleQuote(C3,,RateTickValue,Permanent,Trigger,ObjectOverwrite)</f>
        <v>EUROND_SYNTH3M_Quote#0000</v>
      </c>
      <c r="E3" s="234" t="str">
        <f>_xll.ohRangeRetrieveError(D3)</f>
        <v/>
      </c>
      <c r="F3" s="217"/>
      <c r="H3" s="513"/>
      <c r="I3" s="523"/>
      <c r="J3" s="523"/>
      <c r="K3" s="510"/>
      <c r="L3" s="510"/>
      <c r="M3" s="510"/>
      <c r="N3" s="523"/>
      <c r="O3" s="522">
        <f>_xll.ohTrigger(O5:O10)</f>
        <v>1</v>
      </c>
      <c r="P3" s="507"/>
    </row>
    <row r="4" spans="1:16" x14ac:dyDescent="0.2">
      <c r="A4" s="122"/>
      <c r="B4" s="229" t="s">
        <v>154</v>
      </c>
      <c r="C4" s="129" t="str">
        <f t="shared" si="0"/>
        <v>EURTND_SYNTH3M_Quote</v>
      </c>
      <c r="D4" s="129" t="str">
        <f>_xll.qlSimpleQuote(C4,,RateTickValue,Permanent,Trigger,ObjectOverwrite)</f>
        <v>EURTND_SYNTH3M_Quote#0000</v>
      </c>
      <c r="E4" s="234" t="str">
        <f>_xll.ohRangeRetrieveError(D4)</f>
        <v/>
      </c>
      <c r="F4" s="217"/>
      <c r="H4" s="513"/>
      <c r="I4" s="519"/>
      <c r="J4" s="521" t="s">
        <v>318</v>
      </c>
      <c r="K4" s="510"/>
      <c r="L4" s="520" t="s">
        <v>239</v>
      </c>
      <c r="M4" s="510"/>
      <c r="N4" s="519" t="s">
        <v>237</v>
      </c>
      <c r="O4" s="518" t="s">
        <v>236</v>
      </c>
      <c r="P4" s="507"/>
    </row>
    <row r="5" spans="1:16" x14ac:dyDescent="0.2">
      <c r="A5" s="122"/>
      <c r="B5" s="228" t="s">
        <v>153</v>
      </c>
      <c r="C5" s="129" t="str">
        <f t="shared" si="0"/>
        <v>EURSND_SYNTH3M_Quote</v>
      </c>
      <c r="D5" s="129" t="str">
        <f>_xll.qlSimpleQuote(C5,,RateTickValue,Permanent,Trigger,ObjectOverwrite)</f>
        <v>EURSND_SYNTH3M_Quote#0000</v>
      </c>
      <c r="E5" s="234" t="str">
        <f>_xll.ohRangeRetrieveError(D5)</f>
        <v/>
      </c>
      <c r="F5" s="217"/>
      <c r="H5" s="513"/>
      <c r="I5" s="517" t="s">
        <v>153</v>
      </c>
      <c r="J5" s="579" t="e">
        <f>[1]Calculation!$H$34</f>
        <v>#NUM!</v>
      </c>
      <c r="K5" s="530" t="s">
        <v>271</v>
      </c>
      <c r="L5" s="516">
        <v>3.444E-3</v>
      </c>
      <c r="M5" s="510"/>
      <c r="N5" s="515">
        <f t="array" ref="N5:N11">QuoteStatic</f>
        <v>3.444E-3</v>
      </c>
      <c r="O5" s="514" t="e">
        <f>_xll.qlSimpleQuoteSetValue(D5,ROUND(N5,6),EvaluationDate)</f>
        <v>#N/A</v>
      </c>
      <c r="P5" s="507"/>
    </row>
    <row r="6" spans="1:16" x14ac:dyDescent="0.2">
      <c r="A6" s="122"/>
      <c r="B6" s="228" t="s">
        <v>152</v>
      </c>
      <c r="C6" s="129" t="str">
        <f t="shared" si="0"/>
        <v>EURSWD_SYNTH3M_Quote</v>
      </c>
      <c r="D6" s="129" t="str">
        <f>_xll.qlSimpleQuote(C6,,RateTickValue,Permanent,Trigger,ObjectOverwrite)</f>
        <v>EURSWD_SYNTH3M_Quote#0000</v>
      </c>
      <c r="E6" s="234" t="str">
        <f>_xll.ohRangeRetrieveError(D6)</f>
        <v/>
      </c>
      <c r="F6" s="217"/>
      <c r="H6" s="513"/>
      <c r="I6" s="517" t="s">
        <v>152</v>
      </c>
      <c r="J6" s="579" t="e">
        <f>[1]Calculation!$H$34</f>
        <v>#NUM!</v>
      </c>
      <c r="K6" s="530" t="s">
        <v>271</v>
      </c>
      <c r="L6" s="516">
        <v>2.9459999999999998E-3</v>
      </c>
      <c r="M6" s="510"/>
      <c r="N6" s="515">
        <v>2.9459999999999998E-3</v>
      </c>
      <c r="O6" s="514" t="e">
        <f>_xll.qlSimpleQuoteSetValue(D6,ROUND(N6,6),EvaluationDate)</f>
        <v>#N/A</v>
      </c>
      <c r="P6" s="507"/>
    </row>
    <row r="7" spans="1:16" x14ac:dyDescent="0.2">
      <c r="A7" s="122"/>
      <c r="B7" s="228" t="s">
        <v>151</v>
      </c>
      <c r="C7" s="129" t="str">
        <f t="shared" si="0"/>
        <v>EUR2WD_SYNTH3M_Quote</v>
      </c>
      <c r="D7" s="129" t="str">
        <f>_xll.qlSimpleQuote(C7,,RateTickValue,Permanent,Trigger,ObjectOverwrite)</f>
        <v>EUR2WD_SYNTH3M_Quote#0000</v>
      </c>
      <c r="E7" s="234" t="str">
        <f>_xll.ohRangeRetrieveError(D7)</f>
        <v/>
      </c>
      <c r="F7" s="217"/>
      <c r="H7" s="513"/>
      <c r="I7" s="517" t="s">
        <v>151</v>
      </c>
      <c r="J7" s="579" t="e">
        <f>[1]Calculation!$H$34</f>
        <v>#NUM!</v>
      </c>
      <c r="K7" s="530" t="s">
        <v>271</v>
      </c>
      <c r="L7" s="516">
        <v>3.0699999999999998E-3</v>
      </c>
      <c r="M7" s="510"/>
      <c r="N7" s="515">
        <v>3.0699999999999998E-3</v>
      </c>
      <c r="O7" s="514" t="e">
        <f>_xll.qlSimpleQuoteSetValue(D7,ROUND(N7,6),EvaluationDate)</f>
        <v>#N/A</v>
      </c>
      <c r="P7" s="507"/>
    </row>
    <row r="8" spans="1:16" x14ac:dyDescent="0.2">
      <c r="A8" s="122"/>
      <c r="B8" s="228" t="s">
        <v>150</v>
      </c>
      <c r="C8" s="129" t="str">
        <f t="shared" si="0"/>
        <v>EUR3WD_SYNTH3M_Quote</v>
      </c>
      <c r="D8" s="129" t="str">
        <f>_xll.qlSimpleQuote(C8,,RateTickValue,Permanent,Trigger,ObjectOverwrite)</f>
        <v>EUR3WD_SYNTH3M_Quote#0000</v>
      </c>
      <c r="E8" s="234" t="str">
        <f>_xll.ohRangeRetrieveError(D8)</f>
        <v/>
      </c>
      <c r="F8" s="217"/>
      <c r="H8" s="513"/>
      <c r="I8" s="512" t="s">
        <v>150</v>
      </c>
      <c r="J8" s="580" t="e">
        <f>[1]Calculation!$H$34</f>
        <v>#NUM!</v>
      </c>
      <c r="K8" s="530" t="s">
        <v>271</v>
      </c>
      <c r="L8" s="511">
        <v>3.0240000000000002E-3</v>
      </c>
      <c r="M8" s="510"/>
      <c r="N8" s="509">
        <v>3.0240000000000002E-3</v>
      </c>
      <c r="O8" s="508" t="e">
        <f>_xll.qlSimpleQuoteSetValue(D8,ROUND(N8,6),EvaluationDate)</f>
        <v>#N/A</v>
      </c>
      <c r="P8" s="507"/>
    </row>
    <row r="9" spans="1:16" x14ac:dyDescent="0.2">
      <c r="A9" s="122"/>
      <c r="B9" s="228" t="s">
        <v>149</v>
      </c>
      <c r="C9" s="129" t="str">
        <f t="shared" si="0"/>
        <v>EUR1MD_SYNTH3M_Quote</v>
      </c>
      <c r="D9" s="129" t="str">
        <f>_xll.qlSimpleQuote(C9,,RateTickValue,Permanent,Trigger,ObjectOverwrite)</f>
        <v>EUR1MD_SYNTH3M_Quote#0000</v>
      </c>
      <c r="E9" s="234" t="str">
        <f>_xll.ohRangeRetrieveError(D9)</f>
        <v/>
      </c>
      <c r="F9" s="217"/>
      <c r="H9" s="513"/>
      <c r="I9" s="517" t="s">
        <v>149</v>
      </c>
      <c r="J9" s="579" t="e">
        <f>[1]Calculation!$H$34</f>
        <v>#NUM!</v>
      </c>
      <c r="K9" s="530" t="s">
        <v>271</v>
      </c>
      <c r="L9" s="516">
        <v>2.967E-3</v>
      </c>
      <c r="M9" s="510"/>
      <c r="N9" s="515">
        <v>2.967E-3</v>
      </c>
      <c r="O9" s="514" t="e">
        <f>_xll.qlSimpleQuoteSetValue(D9,ROUND(N9,6),EvaluationDate)</f>
        <v>#N/A</v>
      </c>
      <c r="P9" s="507"/>
    </row>
    <row r="10" spans="1:16" x14ac:dyDescent="0.2">
      <c r="A10" s="122"/>
      <c r="B10" s="228" t="s">
        <v>148</v>
      </c>
      <c r="C10" s="129" t="str">
        <f t="shared" si="0"/>
        <v>EUR2MD_SYNTH3M_Quote</v>
      </c>
      <c r="D10" s="129" t="str">
        <f>_xll.qlSimpleQuote(C10,,RateTickValue,Permanent,Trigger,ObjectOverwrite)</f>
        <v>EUR2MD_SYNTH3M_Quote#0000</v>
      </c>
      <c r="E10" s="234" t="str">
        <f>_xll.ohRangeRetrieveError(D10)</f>
        <v/>
      </c>
      <c r="F10" s="217"/>
      <c r="H10" s="513"/>
      <c r="I10" s="517" t="s">
        <v>148</v>
      </c>
      <c r="J10" s="579" t="e">
        <f>[1]Calculation!$H$34</f>
        <v>#NUM!</v>
      </c>
      <c r="K10" s="530" t="s">
        <v>271</v>
      </c>
      <c r="L10" s="516">
        <v>2.993E-3</v>
      </c>
      <c r="M10" s="510"/>
      <c r="N10" s="515">
        <v>2.993E-3</v>
      </c>
      <c r="O10" s="514" t="e">
        <f>_xll.qlSimpleQuoteSetValue(D10,ROUND(N10,6),EvaluationDate)</f>
        <v>#N/A</v>
      </c>
      <c r="P10" s="507"/>
    </row>
    <row r="11" spans="1:16" x14ac:dyDescent="0.2">
      <c r="A11" s="122"/>
      <c r="B11" s="228" t="s">
        <v>147</v>
      </c>
      <c r="C11" s="129" t="str">
        <f t="shared" si="0"/>
        <v>EUR3MD_SYNTH3M_Quote</v>
      </c>
      <c r="D11" s="129" t="str">
        <f>_xll.qlSimpleQuote(C11,,RateTickValue,Permanent,Trigger,ObjectOverwrite)</f>
        <v>EUR3MD_SYNTH3M_Quote#0000</v>
      </c>
      <c r="E11" s="234" t="str">
        <f>_xll.ohRangeRetrieveError(D11)</f>
        <v/>
      </c>
      <c r="F11" s="217"/>
      <c r="H11" s="513"/>
      <c r="I11" s="512" t="s">
        <v>147</v>
      </c>
      <c r="J11" s="580" t="e">
        <f>[1]Calculation!$H$34</f>
        <v>#NUM!</v>
      </c>
      <c r="K11" s="530" t="s">
        <v>271</v>
      </c>
      <c r="L11" s="511">
        <v>3.0200000000000001E-3</v>
      </c>
      <c r="M11" s="510"/>
      <c r="N11" s="509">
        <v>3.0200000000000001E-3</v>
      </c>
      <c r="O11" s="508" t="e">
        <f>_xll.qlSimpleQuoteSetValue(D11,ROUND(N11,6),EvaluationDate)</f>
        <v>#N/A</v>
      </c>
      <c r="P11" s="507"/>
    </row>
    <row r="12" spans="1:16" ht="12" thickBot="1" x14ac:dyDescent="0.25">
      <c r="A12" s="122"/>
      <c r="B12" s="233" t="s">
        <v>195</v>
      </c>
      <c r="C12" s="125" t="str">
        <f t="shared" si="0"/>
        <v>EURTOY_SYNTH3M_Quote</v>
      </c>
      <c r="D12" s="125" t="str">
        <f>_xll.qlSimpleQuote(C12,1,RateTickValue,Permanent,Trigger,ObjectOverwrite)</f>
        <v>EURTOY_SYNTH3M_Quote#0000</v>
      </c>
      <c r="E12" s="232" t="str">
        <f>_xll.ohRangeRetrieveError(D12)</f>
        <v/>
      </c>
      <c r="F12" s="217"/>
      <c r="H12" s="532"/>
      <c r="I12" s="531"/>
      <c r="J12" s="531"/>
      <c r="K12" s="531"/>
      <c r="L12" s="531"/>
      <c r="M12" s="531"/>
      <c r="N12" s="531"/>
      <c r="O12" s="531"/>
      <c r="P12" s="504"/>
    </row>
    <row r="13" spans="1:16" x14ac:dyDescent="0.2">
      <c r="A13" s="122"/>
      <c r="B13" s="231" t="s">
        <v>194</v>
      </c>
      <c r="C13" s="118" t="str">
        <f t="shared" si="0"/>
        <v>EURTOY2_SYNTH3M_Quote</v>
      </c>
      <c r="D13" s="118" t="str">
        <f>_xll.qlSimpleQuote(C13,1,RateTickValue,Permanent,Trigger,ObjectOverwrite)</f>
        <v>EURTOY2_SYNTH3M_Quote#0000</v>
      </c>
      <c r="E13" s="230" t="str">
        <f>_xll.ohRangeRetrieveError(D13)</f>
        <v/>
      </c>
      <c r="F13" s="217"/>
    </row>
    <row r="14" spans="1: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P17"/>
  <sheetViews>
    <sheetView workbookViewId="0">
      <selection activeCell="J6" sqref="J6:J14"/>
    </sheetView>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8" style="68" bestFit="1" customWidth="1"/>
    <col min="16" max="16" width="2.7109375" style="68" customWidth="1"/>
    <col min="17" max="16384" width="9.140625" style="68"/>
  </cols>
  <sheetData>
    <row r="1" spans="1:16" x14ac:dyDescent="0.2">
      <c r="A1" s="157" t="s">
        <v>196</v>
      </c>
      <c r="B1" s="225">
        <v>6</v>
      </c>
      <c r="C1" s="226" t="str">
        <f>_xll.qlPeriodEquivalent(Months&amp;"M")</f>
        <v>6M</v>
      </c>
      <c r="D1" s="225"/>
      <c r="E1" s="225"/>
      <c r="F1" s="224"/>
      <c r="H1" s="529" t="s">
        <v>319</v>
      </c>
      <c r="I1" s="528"/>
      <c r="J1" s="528"/>
      <c r="K1" s="528"/>
      <c r="L1" s="528"/>
      <c r="M1" s="528"/>
      <c r="N1" s="528"/>
      <c r="O1" s="528"/>
      <c r="P1" s="536"/>
    </row>
    <row r="2" spans="1: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c r="H2" s="526"/>
      <c r="I2" s="537"/>
      <c r="J2" s="510"/>
      <c r="K2" s="510"/>
      <c r="L2" s="510"/>
      <c r="M2" s="510"/>
      <c r="N2" s="510"/>
      <c r="O2" s="523"/>
      <c r="P2" s="538"/>
    </row>
    <row r="3" spans="1:16" x14ac:dyDescent="0.2">
      <c r="A3" s="122"/>
      <c r="B3" s="221" t="s">
        <v>155</v>
      </c>
      <c r="C3" s="125" t="str">
        <f t="shared" ref="C3:C16" si="0">Currency&amp;$B3&amp;"_SYNTH"&amp;Tenor&amp;QuoteSuffix</f>
        <v>EUROND_SYNTH6M_Quote</v>
      </c>
      <c r="D3" s="125" t="str">
        <f>_xll.qlSimpleQuote(C3,,RateTickValue,Permanent,Trigger,ObjectOverwrite)</f>
        <v>EUROND_SYNTH6M_Quote#0000</v>
      </c>
      <c r="E3" s="232" t="str">
        <f>_xll.ohRangeRetrieveError(D3)</f>
        <v/>
      </c>
      <c r="F3" s="217"/>
      <c r="H3" s="513"/>
      <c r="I3" s="523"/>
      <c r="J3" s="523"/>
      <c r="K3" s="510"/>
      <c r="L3" s="510"/>
      <c r="M3" s="510"/>
      <c r="N3" s="523"/>
      <c r="O3" s="522"/>
      <c r="P3" s="538"/>
    </row>
    <row r="4" spans="1:16" x14ac:dyDescent="0.2">
      <c r="A4" s="122"/>
      <c r="B4" s="229" t="s">
        <v>154</v>
      </c>
      <c r="C4" s="129" t="str">
        <f t="shared" si="0"/>
        <v>EURTND_SYNTH6M_Quote</v>
      </c>
      <c r="D4" s="129" t="str">
        <f>_xll.qlSimpleQuote(C4,,RateTickValue,Permanent,Trigger,ObjectOverwrite)</f>
        <v>EURTND_SYNTH6M_Quote#0000</v>
      </c>
      <c r="E4" s="234" t="str">
        <f>_xll.ohRangeRetrieveError(D4)</f>
        <v/>
      </c>
      <c r="F4" s="217"/>
      <c r="H4" s="513"/>
      <c r="I4" s="519"/>
      <c r="J4" s="521" t="s">
        <v>318</v>
      </c>
      <c r="K4" s="510"/>
      <c r="L4" s="520" t="s">
        <v>239</v>
      </c>
      <c r="M4" s="510"/>
      <c r="N4" s="519" t="s">
        <v>237</v>
      </c>
      <c r="O4" s="518" t="s">
        <v>236</v>
      </c>
      <c r="P4" s="538"/>
    </row>
    <row r="5" spans="1:16" x14ac:dyDescent="0.2">
      <c r="A5" s="122"/>
      <c r="B5" s="228" t="s">
        <v>153</v>
      </c>
      <c r="C5" s="129" t="str">
        <f t="shared" si="0"/>
        <v>EURSND_SYNTH6M_Quote</v>
      </c>
      <c r="D5" s="129" t="str">
        <f>_xll.qlSimpleQuote(C5,,RateTickValue,Permanent,Trigger,ObjectOverwrite)</f>
        <v>EURSND_SYNTH6M_Quote#0000</v>
      </c>
      <c r="E5" s="234" t="str">
        <f>_xll.ohRangeRetrieveError(D5)</f>
        <v/>
      </c>
      <c r="F5" s="217"/>
      <c r="H5" s="526"/>
      <c r="I5" s="517" t="s">
        <v>153</v>
      </c>
      <c r="J5" s="579" t="e">
        <f>[1]Calculation!$P$34</f>
        <v>#NUM!</v>
      </c>
      <c r="K5" s="530" t="s">
        <v>271</v>
      </c>
      <c r="L5" s="539">
        <v>4.738E-3</v>
      </c>
      <c r="M5" s="510"/>
      <c r="N5" s="515">
        <f t="array" ref="N5:N14">QuoteStatic</f>
        <v>4.738E-3</v>
      </c>
      <c r="O5" s="514" t="e">
        <f>_xll.qlSimpleQuoteSetValue(D5,ROUND(N5,6),EvaluationDate)</f>
        <v>#N/A</v>
      </c>
      <c r="P5" s="538"/>
    </row>
    <row r="6" spans="1:16" x14ac:dyDescent="0.2">
      <c r="A6" s="122"/>
      <c r="B6" s="228" t="s">
        <v>152</v>
      </c>
      <c r="C6" s="129" t="str">
        <f t="shared" si="0"/>
        <v>EURSWD_SYNTH6M_Quote</v>
      </c>
      <c r="D6" s="129" t="str">
        <f>_xll.qlSimpleQuote(C6,,RateTickValue,Permanent,Trigger,ObjectOverwrite)</f>
        <v>EURSWD_SYNTH6M_Quote#0000</v>
      </c>
      <c r="E6" s="234" t="str">
        <f>_xll.ohRangeRetrieveError(D6)</f>
        <v/>
      </c>
      <c r="F6" s="217"/>
      <c r="H6" s="526"/>
      <c r="I6" s="517" t="s">
        <v>152</v>
      </c>
      <c r="J6" s="579" t="e">
        <f>[1]Calculation!$P$34</f>
        <v>#NUM!</v>
      </c>
      <c r="K6" s="530" t="s">
        <v>271</v>
      </c>
      <c r="L6" s="516">
        <v>4.2310000000000004E-3</v>
      </c>
      <c r="M6" s="510"/>
      <c r="N6" s="515">
        <v>4.2310000000000004E-3</v>
      </c>
      <c r="O6" s="514" t="e">
        <f>_xll.qlSimpleQuoteSetValue(D6,ROUND(N6,6),EvaluationDate)</f>
        <v>#N/A</v>
      </c>
      <c r="P6" s="538"/>
    </row>
    <row r="7" spans="1:16" x14ac:dyDescent="0.2">
      <c r="A7" s="122"/>
      <c r="B7" s="228" t="s">
        <v>151</v>
      </c>
      <c r="C7" s="129" t="str">
        <f t="shared" si="0"/>
        <v>EUR2WD_SYNTH6M_Quote</v>
      </c>
      <c r="D7" s="129" t="str">
        <f>_xll.qlSimpleQuote(C7,,RateTickValue,Permanent,Trigger,ObjectOverwrite)</f>
        <v>EUR2WD_SYNTH6M_Quote#0000</v>
      </c>
      <c r="E7" s="234" t="str">
        <f>_xll.ohRangeRetrieveError(D7)</f>
        <v/>
      </c>
      <c r="F7" s="217"/>
      <c r="H7" s="526"/>
      <c r="I7" s="517" t="s">
        <v>151</v>
      </c>
      <c r="J7" s="579" t="e">
        <f>[1]Calculation!$P$34</f>
        <v>#NUM!</v>
      </c>
      <c r="K7" s="530" t="s">
        <v>271</v>
      </c>
      <c r="L7" s="516">
        <v>4.3449999999999999E-3</v>
      </c>
      <c r="M7" s="510"/>
      <c r="N7" s="515">
        <v>4.3449999999999999E-3</v>
      </c>
      <c r="O7" s="514" t="e">
        <f>_xll.qlSimpleQuoteSetValue(D7,ROUND(N7,6),EvaluationDate)</f>
        <v>#N/A</v>
      </c>
      <c r="P7" s="538"/>
    </row>
    <row r="8" spans="1:16" x14ac:dyDescent="0.2">
      <c r="A8" s="122"/>
      <c r="B8" s="228" t="s">
        <v>150</v>
      </c>
      <c r="C8" s="129" t="str">
        <f t="shared" si="0"/>
        <v>EUR3WD_SYNTH6M_Quote</v>
      </c>
      <c r="D8" s="129" t="str">
        <f>_xll.qlSimpleQuote(C8,,RateTickValue,Permanent,Trigger,ObjectOverwrite)</f>
        <v>EUR3WD_SYNTH6M_Quote#0000</v>
      </c>
      <c r="E8" s="234" t="str">
        <f>_xll.ohRangeRetrieveError(D8)</f>
        <v/>
      </c>
      <c r="F8" s="217"/>
      <c r="H8" s="526"/>
      <c r="I8" s="517" t="s">
        <v>150</v>
      </c>
      <c r="J8" s="579" t="e">
        <f>[1]Calculation!$P$34</f>
        <v>#NUM!</v>
      </c>
      <c r="K8" s="530" t="s">
        <v>271</v>
      </c>
      <c r="L8" s="516">
        <v>4.2880000000000001E-3</v>
      </c>
      <c r="M8" s="510"/>
      <c r="N8" s="515">
        <v>4.2880000000000001E-3</v>
      </c>
      <c r="O8" s="514" t="e">
        <f>_xll.qlSimpleQuoteSetValue(D8,ROUND(N8,6),EvaluationDate)</f>
        <v>#N/A</v>
      </c>
      <c r="P8" s="538"/>
    </row>
    <row r="9" spans="1:16" x14ac:dyDescent="0.2">
      <c r="A9" s="122"/>
      <c r="B9" s="228" t="s">
        <v>149</v>
      </c>
      <c r="C9" s="129" t="str">
        <f t="shared" si="0"/>
        <v>EUR1MD_SYNTH6M_Quote</v>
      </c>
      <c r="D9" s="129" t="str">
        <f>_xll.qlSimpleQuote(C9,,RateTickValue,Permanent,Trigger,ObjectOverwrite)</f>
        <v>EUR1MD_SYNTH6M_Quote#0000</v>
      </c>
      <c r="E9" s="234" t="str">
        <f>_xll.ohRangeRetrieveError(D9)</f>
        <v/>
      </c>
      <c r="F9" s="217"/>
      <c r="H9" s="526"/>
      <c r="I9" s="517" t="s">
        <v>149</v>
      </c>
      <c r="J9" s="579" t="e">
        <f>[1]Calculation!$P$34</f>
        <v>#NUM!</v>
      </c>
      <c r="K9" s="530" t="s">
        <v>271</v>
      </c>
      <c r="L9" s="516">
        <v>4.2139999999999999E-3</v>
      </c>
      <c r="M9" s="510"/>
      <c r="N9" s="515">
        <v>4.2139999999999999E-3</v>
      </c>
      <c r="O9" s="514" t="e">
        <f>_xll.qlSimpleQuoteSetValue(D9,ROUND(N9,6),EvaluationDate)</f>
        <v>#N/A</v>
      </c>
      <c r="P9" s="538"/>
    </row>
    <row r="10" spans="1:16" x14ac:dyDescent="0.2">
      <c r="A10" s="122"/>
      <c r="B10" s="228" t="s">
        <v>148</v>
      </c>
      <c r="C10" s="129" t="str">
        <f t="shared" si="0"/>
        <v>EUR2MD_SYNTH6M_Quote</v>
      </c>
      <c r="D10" s="129" t="str">
        <f>_xll.qlSimpleQuote(C10,,RateTickValue,Permanent,Trigger,ObjectOverwrite)</f>
        <v>EUR2MD_SYNTH6M_Quote#0000</v>
      </c>
      <c r="E10" s="234" t="str">
        <f>_xll.ohRangeRetrieveError(D10)</f>
        <v/>
      </c>
      <c r="F10" s="217"/>
      <c r="H10" s="526"/>
      <c r="I10" s="517" t="s">
        <v>148</v>
      </c>
      <c r="J10" s="579" t="e">
        <f>[1]Calculation!$P$34</f>
        <v>#NUM!</v>
      </c>
      <c r="K10" s="530" t="s">
        <v>271</v>
      </c>
      <c r="L10" s="516">
        <v>4.1989999999999996E-3</v>
      </c>
      <c r="M10" s="510"/>
      <c r="N10" s="515">
        <v>4.1989999999999996E-3</v>
      </c>
      <c r="O10" s="514" t="e">
        <f>_xll.qlSimpleQuoteSetValue(D10,ROUND(N10,6),EvaluationDate)</f>
        <v>#N/A</v>
      </c>
      <c r="P10" s="538"/>
    </row>
    <row r="11" spans="1:16" x14ac:dyDescent="0.2">
      <c r="A11" s="122"/>
      <c r="B11" s="228" t="s">
        <v>147</v>
      </c>
      <c r="C11" s="129" t="str">
        <f t="shared" si="0"/>
        <v>EUR3MD_SYNTH6M_Quote</v>
      </c>
      <c r="D11" s="129" t="str">
        <f>_xll.qlSimpleQuote(C11,,RateTickValue,Permanent,Trigger,ObjectOverwrite)</f>
        <v>EUR3MD_SYNTH6M_Quote#0000</v>
      </c>
      <c r="E11" s="234" t="str">
        <f>_xll.ohRangeRetrieveError(D11)</f>
        <v/>
      </c>
      <c r="F11" s="217"/>
      <c r="H11" s="526"/>
      <c r="I11" s="517" t="s">
        <v>147</v>
      </c>
      <c r="J11" s="579" t="e">
        <f>[1]Calculation!$P$34</f>
        <v>#NUM!</v>
      </c>
      <c r="K11" s="530" t="s">
        <v>271</v>
      </c>
      <c r="L11" s="516">
        <v>4.1840000000000002E-3</v>
      </c>
      <c r="M11" s="510"/>
      <c r="N11" s="515">
        <v>4.1840000000000002E-3</v>
      </c>
      <c r="O11" s="514" t="e">
        <f>_xll.qlSimpleQuoteSetValue(D11,ROUND(N11,6),EvaluationDate)</f>
        <v>#N/A</v>
      </c>
      <c r="P11" s="538"/>
    </row>
    <row r="12" spans="1:16" x14ac:dyDescent="0.2">
      <c r="A12" s="122"/>
      <c r="B12" s="228" t="s">
        <v>146</v>
      </c>
      <c r="C12" s="129" t="str">
        <f t="shared" si="0"/>
        <v>EUR4MD_SYNTH6M_Quote</v>
      </c>
      <c r="D12" s="129" t="str">
        <f>_xll.qlSimpleQuote(C12,,RateTickValue,Permanent,Trigger,ObjectOverwrite)</f>
        <v>EUR4MD_SYNTH6M_Quote#0000</v>
      </c>
      <c r="E12" s="234" t="str">
        <f>_xll.ohRangeRetrieveError(D12)</f>
        <v/>
      </c>
      <c r="F12" s="217"/>
      <c r="H12" s="526"/>
      <c r="I12" s="517" t="s">
        <v>146</v>
      </c>
      <c r="J12" s="579" t="e">
        <f>[1]Calculation!$P$34</f>
        <v>#NUM!</v>
      </c>
      <c r="K12" s="530" t="s">
        <v>271</v>
      </c>
      <c r="L12" s="516">
        <v>4.1390000000000003E-3</v>
      </c>
      <c r="M12" s="510"/>
      <c r="N12" s="515">
        <v>4.1390000000000003E-3</v>
      </c>
      <c r="O12" s="514" t="e">
        <f>_xll.qlSimpleQuoteSetValue(D12,ROUND(N12,6),EvaluationDate)</f>
        <v>#N/A</v>
      </c>
      <c r="P12" s="538"/>
    </row>
    <row r="13" spans="1:16" x14ac:dyDescent="0.2">
      <c r="A13" s="122"/>
      <c r="B13" s="228" t="s">
        <v>145</v>
      </c>
      <c r="C13" s="129" t="str">
        <f t="shared" si="0"/>
        <v>EUR5MD_SYNTH6M_Quote</v>
      </c>
      <c r="D13" s="129" t="str">
        <f>_xll.qlSimpleQuote(C13,,RateTickValue,Permanent,Trigger,ObjectOverwrite)</f>
        <v>EUR5MD_SYNTH6M_Quote#0000</v>
      </c>
      <c r="E13" s="234" t="str">
        <f>_xll.ohRangeRetrieveError(D13)</f>
        <v/>
      </c>
      <c r="F13" s="217"/>
      <c r="H13" s="526"/>
      <c r="I13" s="517" t="s">
        <v>145</v>
      </c>
      <c r="J13" s="579" t="e">
        <f>[1]Calculation!$P$34</f>
        <v>#NUM!</v>
      </c>
      <c r="K13" s="530" t="s">
        <v>271</v>
      </c>
      <c r="L13" s="516">
        <v>4.1050000000000001E-3</v>
      </c>
      <c r="M13" s="510"/>
      <c r="N13" s="515">
        <v>4.1050000000000001E-3</v>
      </c>
      <c r="O13" s="514" t="e">
        <f>_xll.qlSimpleQuoteSetValue(D13,ROUND(N13,6),EvaluationDate)</f>
        <v>#N/A</v>
      </c>
      <c r="P13" s="538"/>
    </row>
    <row r="14" spans="1:16" x14ac:dyDescent="0.2">
      <c r="A14" s="122"/>
      <c r="B14" s="231" t="s">
        <v>144</v>
      </c>
      <c r="C14" s="118" t="str">
        <f t="shared" si="0"/>
        <v>EUR6MD_SYNTH6M_Quote</v>
      </c>
      <c r="D14" s="118" t="str">
        <f>_xll.qlSimpleQuote(C14,,RateTickValue,Permanent,Trigger,ObjectOverwrite)</f>
        <v>EUR6MD_SYNTH6M_Quote#0000</v>
      </c>
      <c r="E14" s="230" t="str">
        <f>_xll.ohRangeRetrieveError(D14)</f>
        <v/>
      </c>
      <c r="F14" s="217"/>
      <c r="H14" s="526"/>
      <c r="I14" s="512" t="s">
        <v>144</v>
      </c>
      <c r="J14" s="580" t="e">
        <f>[1]Calculation!$P$34</f>
        <v>#NUM!</v>
      </c>
      <c r="K14" s="530" t="s">
        <v>271</v>
      </c>
      <c r="L14" s="511">
        <v>4.0800000000000003E-3</v>
      </c>
      <c r="M14" s="510"/>
      <c r="N14" s="509">
        <v>4.0800000000000003E-3</v>
      </c>
      <c r="O14" s="508" t="e">
        <f>_xll.qlSimpleQuoteSetValue(D14,ROUND(N14,6),EvaluationDate)</f>
        <v>#N/A</v>
      </c>
      <c r="P14" s="538"/>
    </row>
    <row r="15" spans="1:16" ht="12" thickBot="1" x14ac:dyDescent="0.25">
      <c r="A15" s="122"/>
      <c r="B15" s="228" t="s">
        <v>195</v>
      </c>
      <c r="C15" s="129" t="str">
        <f t="shared" si="0"/>
        <v>EURTOY_SYNTH6M_Quote</v>
      </c>
      <c r="D15" s="129" t="str">
        <f>_xll.qlSimpleQuote(C15,1,RateTickValue,Permanent,Trigger,ObjectOverwrite)</f>
        <v>EURTOY_SYNTH6M_Quote#0000</v>
      </c>
      <c r="E15" s="234" t="str">
        <f>_xll.ohRangeRetrieveError(D15)</f>
        <v/>
      </c>
      <c r="F15" s="217"/>
      <c r="H15" s="506"/>
      <c r="I15" s="505"/>
      <c r="J15" s="505"/>
      <c r="K15" s="505"/>
      <c r="L15" s="505"/>
      <c r="M15" s="505"/>
      <c r="N15" s="505"/>
      <c r="O15" s="505"/>
      <c r="P15" s="540"/>
    </row>
    <row r="16" spans="1:16" x14ac:dyDescent="0.2">
      <c r="A16" s="122"/>
      <c r="B16" s="231" t="s">
        <v>194</v>
      </c>
      <c r="C16" s="118" t="str">
        <f t="shared" si="0"/>
        <v>EURTOY2_SYNTH6M_Quote</v>
      </c>
      <c r="D16" s="118" t="str">
        <f>_xll.qlSimpleQuote(C16,1,RateTickValue,Permanent,Trigger,ObjectOverwrite)</f>
        <v>EURTOY2_SYNTH6M_Quote#0000</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Z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8" width="2.7109375" style="68" customWidth="1"/>
    <col min="9" max="10" width="9.140625" style="68"/>
    <col min="11" max="11" width="2.7109375" style="68" customWidth="1"/>
    <col min="12" max="12" width="9.140625" style="68"/>
    <col min="13" max="13" width="2.7109375" style="68" customWidth="1"/>
    <col min="14" max="14" width="10" style="68" bestFit="1" customWidth="1"/>
    <col min="15" max="15" width="9.140625" style="68"/>
    <col min="16" max="17" width="2.7109375" style="68" customWidth="1"/>
    <col min="18" max="20" width="9.140625" style="68"/>
    <col min="21" max="21" width="2.7109375" style="68" customWidth="1"/>
    <col min="22" max="22" width="9.140625" style="68"/>
    <col min="23" max="23" width="2.7109375" style="68" customWidth="1"/>
    <col min="24" max="24" width="10" style="68" bestFit="1" customWidth="1"/>
    <col min="25" max="25" width="9.140625" style="68"/>
    <col min="26" max="26" width="2.7109375" style="68" customWidth="1"/>
    <col min="27" max="16384" width="9.140625" style="68"/>
  </cols>
  <sheetData>
    <row r="1" spans="1:16" x14ac:dyDescent="0.2">
      <c r="A1" s="157" t="s">
        <v>196</v>
      </c>
      <c r="B1" s="225">
        <v>12</v>
      </c>
      <c r="C1" s="226" t="str">
        <f>_xll.qlPeriodEquivalent(Months&amp;"M")</f>
        <v>1Y</v>
      </c>
      <c r="D1" s="225"/>
      <c r="E1" s="225"/>
      <c r="F1" s="224"/>
      <c r="H1" s="529" t="s">
        <v>319</v>
      </c>
      <c r="I1" s="528"/>
      <c r="J1" s="528"/>
      <c r="K1" s="528"/>
      <c r="L1" s="528"/>
      <c r="M1" s="528"/>
      <c r="N1" s="528"/>
      <c r="O1" s="528"/>
      <c r="P1" s="536"/>
    </row>
    <row r="2" spans="1: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c r="H2" s="526"/>
      <c r="I2" s="537"/>
      <c r="J2" s="510"/>
      <c r="K2" s="510"/>
      <c r="L2" s="510"/>
      <c r="M2" s="510"/>
      <c r="N2" s="510"/>
      <c r="O2" s="523"/>
      <c r="P2" s="538"/>
    </row>
    <row r="3" spans="1:16" x14ac:dyDescent="0.2">
      <c r="A3" s="122"/>
      <c r="B3" s="229" t="s">
        <v>155</v>
      </c>
      <c r="C3" s="129" t="str">
        <f t="shared" ref="C3:C34" si="0">Currency&amp;$B3&amp;"_SYNTH"&amp;Tenor&amp;QuoteSuffix</f>
        <v>EUROND_SYNTH1Y_Quote</v>
      </c>
      <c r="D3" s="129" t="str">
        <f>_xll.qlSimpleQuote(C3,,RateTickValue,Permanent,Trigger,ObjectOverwrite)</f>
        <v>EUROND_SYNTH1Y_Quote#0000</v>
      </c>
      <c r="E3" s="234" t="str">
        <f>_xll.ohRangeRetrieveError(D3)</f>
        <v/>
      </c>
      <c r="F3" s="217"/>
      <c r="H3" s="513"/>
      <c r="I3" s="523"/>
      <c r="J3" s="523"/>
      <c r="K3" s="510"/>
      <c r="L3" s="510"/>
      <c r="M3" s="510"/>
      <c r="N3" s="523"/>
      <c r="O3" s="522"/>
      <c r="P3" s="538"/>
    </row>
    <row r="4" spans="1:16" x14ac:dyDescent="0.2">
      <c r="A4" s="122"/>
      <c r="B4" s="229" t="s">
        <v>154</v>
      </c>
      <c r="C4" s="129" t="str">
        <f t="shared" si="0"/>
        <v>EURTND_SYNTH1Y_Quote</v>
      </c>
      <c r="D4" s="129" t="str">
        <f>_xll.qlSimpleQuote(C4,,RateTickValue,Permanent,Trigger,ObjectOverwrite)</f>
        <v>EURTND_SYNTH1Y_Quote#0000</v>
      </c>
      <c r="E4" s="234" t="str">
        <f>_xll.ohRangeRetrieveError(D4)</f>
        <v/>
      </c>
      <c r="F4" s="217"/>
      <c r="H4" s="513"/>
      <c r="I4" s="519"/>
      <c r="J4" s="521" t="s">
        <v>318</v>
      </c>
      <c r="K4" s="510"/>
      <c r="L4" s="520" t="s">
        <v>239</v>
      </c>
      <c r="M4" s="510"/>
      <c r="N4" s="519" t="s">
        <v>237</v>
      </c>
      <c r="O4" s="518" t="s">
        <v>236</v>
      </c>
      <c r="P4" s="538"/>
    </row>
    <row r="5" spans="1:16" x14ac:dyDescent="0.2">
      <c r="A5" s="122"/>
      <c r="B5" s="228" t="s">
        <v>153</v>
      </c>
      <c r="C5" s="129" t="str">
        <f t="shared" si="0"/>
        <v>EURSND_SYNTH1Y_Quote</v>
      </c>
      <c r="D5" s="129" t="str">
        <f>_xll.qlSimpleQuote(C5,,RateTickValue,Permanent,Trigger,ObjectOverwrite)</f>
        <v>EURSND_SYNTH1Y_Quote#0000</v>
      </c>
      <c r="E5" s="234" t="str">
        <f>_xll.ohRangeRetrieveError(D5)</f>
        <v/>
      </c>
      <c r="F5" s="217"/>
      <c r="H5" s="526"/>
      <c r="I5" s="542" t="s">
        <v>153</v>
      </c>
      <c r="J5" s="579" t="e">
        <f>[1]Calculation!$J$34</f>
        <v>#NUM!</v>
      </c>
      <c r="K5" s="530" t="s">
        <v>271</v>
      </c>
      <c r="L5" s="516">
        <v>6.411E-3</v>
      </c>
      <c r="M5" s="510"/>
      <c r="N5" s="515">
        <f t="array" ref="N5:N20">QuoteStatic</f>
        <v>6.411E-3</v>
      </c>
      <c r="O5" s="514" t="e">
        <f>_xll.qlSimpleQuoteSetValue(D5,ROUND(N5,6),EvaluationDate)</f>
        <v>#N/A</v>
      </c>
      <c r="P5" s="538"/>
    </row>
    <row r="6" spans="1:16" x14ac:dyDescent="0.2">
      <c r="A6" s="122"/>
      <c r="B6" s="228" t="s">
        <v>152</v>
      </c>
      <c r="C6" s="129" t="str">
        <f t="shared" si="0"/>
        <v>EURSWD_SYNTH1Y_Quote</v>
      </c>
      <c r="D6" s="129" t="str">
        <f>_xll.qlSimpleQuote(C6,,RateTickValue,Permanent,Trigger,ObjectOverwrite)</f>
        <v>EURSWD_SYNTH1Y_Quote#0000</v>
      </c>
      <c r="E6" s="234" t="str">
        <f>_xll.ohRangeRetrieveError(D6)</f>
        <v/>
      </c>
      <c r="F6" s="217"/>
      <c r="H6" s="526"/>
      <c r="I6" s="542" t="s">
        <v>152</v>
      </c>
      <c r="J6" s="579" t="e">
        <f>[1]Calculation!$J$34</f>
        <v>#NUM!</v>
      </c>
      <c r="K6" s="530" t="s">
        <v>271</v>
      </c>
      <c r="L6" s="516">
        <v>5.9040000000000004E-3</v>
      </c>
      <c r="M6" s="510"/>
      <c r="N6" s="515">
        <v>5.9040000000000004E-3</v>
      </c>
      <c r="O6" s="514" t="e">
        <f>_xll.qlSimpleQuoteSetValue(D6,ROUND(N6,6),EvaluationDate)</f>
        <v>#N/A</v>
      </c>
      <c r="P6" s="538"/>
    </row>
    <row r="7" spans="1:16" x14ac:dyDescent="0.2">
      <c r="A7" s="122"/>
      <c r="B7" s="228" t="s">
        <v>151</v>
      </c>
      <c r="C7" s="129" t="str">
        <f t="shared" si="0"/>
        <v>EUR2WD_SYNTH1Y_Quote</v>
      </c>
      <c r="D7" s="129" t="str">
        <f>_xll.qlSimpleQuote(C7,,RateTickValue,Permanent,Trigger,ObjectOverwrite)</f>
        <v>EUR2WD_SYNTH1Y_Quote#0000</v>
      </c>
      <c r="E7" s="234" t="str">
        <f>_xll.ohRangeRetrieveError(D7)</f>
        <v/>
      </c>
      <c r="F7" s="217"/>
      <c r="H7" s="526"/>
      <c r="I7" s="542" t="s">
        <v>151</v>
      </c>
      <c r="J7" s="579" t="e">
        <f>[1]Calculation!$J$34</f>
        <v>#NUM!</v>
      </c>
      <c r="K7" s="530" t="s">
        <v>271</v>
      </c>
      <c r="L7" s="516">
        <v>6.0169999999999998E-3</v>
      </c>
      <c r="M7" s="510"/>
      <c r="N7" s="515">
        <v>6.0169999999999998E-3</v>
      </c>
      <c r="O7" s="514" t="e">
        <f>_xll.qlSimpleQuoteSetValue(D7,ROUND(N7,6),EvaluationDate)</f>
        <v>#N/A</v>
      </c>
      <c r="P7" s="538"/>
    </row>
    <row r="8" spans="1:16" x14ac:dyDescent="0.2">
      <c r="A8" s="122"/>
      <c r="B8" s="228" t="s">
        <v>150</v>
      </c>
      <c r="C8" s="129" t="str">
        <f t="shared" si="0"/>
        <v>EUR3WD_SYNTH1Y_Quote</v>
      </c>
      <c r="D8" s="129" t="str">
        <f>_xll.qlSimpleQuote(C8,,RateTickValue,Permanent,Trigger,ObjectOverwrite)</f>
        <v>EUR3WD_SYNTH1Y_Quote#0000</v>
      </c>
      <c r="E8" s="234" t="str">
        <f>_xll.ohRangeRetrieveError(D8)</f>
        <v/>
      </c>
      <c r="F8" s="217"/>
      <c r="H8" s="526"/>
      <c r="I8" s="542" t="s">
        <v>150</v>
      </c>
      <c r="J8" s="579" t="e">
        <f>[1]Calculation!$J$34</f>
        <v>#NUM!</v>
      </c>
      <c r="K8" s="530" t="s">
        <v>271</v>
      </c>
      <c r="L8" s="516">
        <v>5.9610000000000002E-3</v>
      </c>
      <c r="M8" s="510"/>
      <c r="N8" s="515">
        <v>5.9610000000000002E-3</v>
      </c>
      <c r="O8" s="514" t="e">
        <f>_xll.qlSimpleQuoteSetValue(D8,ROUND(N8,6),EvaluationDate)</f>
        <v>#N/A</v>
      </c>
      <c r="P8" s="538"/>
    </row>
    <row r="9" spans="1:16" x14ac:dyDescent="0.2">
      <c r="A9" s="122"/>
      <c r="B9" s="228" t="s">
        <v>149</v>
      </c>
      <c r="C9" s="129" t="str">
        <f t="shared" si="0"/>
        <v>EUR1MD_SYNTH1Y_Quote</v>
      </c>
      <c r="D9" s="129" t="str">
        <f>_xll.qlSimpleQuote(C9,,RateTickValue,Permanent,Trigger,ObjectOverwrite)</f>
        <v>EUR1MD_SYNTH1Y_Quote#0000</v>
      </c>
      <c r="E9" s="234" t="str">
        <f>_xll.ohRangeRetrieveError(D9)</f>
        <v/>
      </c>
      <c r="F9" s="217"/>
      <c r="H9" s="526"/>
      <c r="I9" s="541" t="s">
        <v>149</v>
      </c>
      <c r="J9" s="580" t="e">
        <f>[1]Calculation!$J$34</f>
        <v>#NUM!</v>
      </c>
      <c r="K9" s="530" t="s">
        <v>271</v>
      </c>
      <c r="L9" s="511">
        <v>5.8869999999999999E-3</v>
      </c>
      <c r="M9" s="510"/>
      <c r="N9" s="509">
        <v>5.8869999999999999E-3</v>
      </c>
      <c r="O9" s="508" t="e">
        <f>_xll.qlSimpleQuoteSetValue(D9,ROUND(N9,6),EvaluationDate)</f>
        <v>#N/A</v>
      </c>
      <c r="P9" s="538"/>
    </row>
    <row r="10" spans="1:16" x14ac:dyDescent="0.2">
      <c r="A10" s="122"/>
      <c r="B10" s="228" t="s">
        <v>148</v>
      </c>
      <c r="C10" s="129" t="str">
        <f t="shared" si="0"/>
        <v>EUR2MD_SYNTH1Y_Quote</v>
      </c>
      <c r="D10" s="129" t="str">
        <f>_xll.qlSimpleQuote(C10,,RateTickValue,Permanent,Trigger,ObjectOverwrite)</f>
        <v>EUR2MD_SYNTH1Y_Quote#0000</v>
      </c>
      <c r="E10" s="234" t="str">
        <f>_xll.ohRangeRetrieveError(D10)</f>
        <v/>
      </c>
      <c r="F10" s="217"/>
      <c r="H10" s="526"/>
      <c r="I10" s="542" t="s">
        <v>148</v>
      </c>
      <c r="J10" s="579" t="e">
        <f>[1]Calculation!$J$34</f>
        <v>#NUM!</v>
      </c>
      <c r="K10" s="530" t="s">
        <v>271</v>
      </c>
      <c r="L10" s="516">
        <v>5.8700000000000002E-3</v>
      </c>
      <c r="M10" s="510"/>
      <c r="N10" s="515">
        <v>5.8700000000000002E-3</v>
      </c>
      <c r="O10" s="514" t="e">
        <f>_xll.qlSimpleQuoteSetValue(D10,ROUND(N10,6),EvaluationDate)</f>
        <v>#N/A</v>
      </c>
      <c r="P10" s="538"/>
    </row>
    <row r="11" spans="1:16" x14ac:dyDescent="0.2">
      <c r="A11" s="122"/>
      <c r="B11" s="228" t="s">
        <v>147</v>
      </c>
      <c r="C11" s="129" t="str">
        <f t="shared" si="0"/>
        <v>EUR3MD_SYNTH1Y_Quote</v>
      </c>
      <c r="D11" s="129" t="str">
        <f>_xll.qlSimpleQuote(C11,,RateTickValue,Permanent,Trigger,ObjectOverwrite)</f>
        <v>EUR3MD_SYNTH1Y_Quote#0000</v>
      </c>
      <c r="E11" s="234" t="str">
        <f>_xll.ohRangeRetrieveError(D11)</f>
        <v/>
      </c>
      <c r="F11" s="217"/>
      <c r="H11" s="513"/>
      <c r="I11" s="542" t="s">
        <v>147</v>
      </c>
      <c r="J11" s="579" t="e">
        <f>[1]Calculation!$J$34</f>
        <v>#NUM!</v>
      </c>
      <c r="K11" s="530" t="s">
        <v>271</v>
      </c>
      <c r="L11" s="516">
        <v>5.855E-3</v>
      </c>
      <c r="M11" s="510"/>
      <c r="N11" s="515">
        <v>5.855E-3</v>
      </c>
      <c r="O11" s="514" t="e">
        <f>_xll.qlSimpleQuoteSetValue(D11,ROUND(N11,6),EvaluationDate)</f>
        <v>#N/A</v>
      </c>
      <c r="P11" s="538"/>
    </row>
    <row r="12" spans="1:16" x14ac:dyDescent="0.2">
      <c r="A12" s="122"/>
      <c r="B12" s="228" t="s">
        <v>146</v>
      </c>
      <c r="C12" s="129" t="str">
        <f t="shared" si="0"/>
        <v>EUR4MD_SYNTH1Y_Quote</v>
      </c>
      <c r="D12" s="129" t="str">
        <f>_xll.qlSimpleQuote(C12,,RateTickValue,Permanent,Trigger,ObjectOverwrite)</f>
        <v>EUR4MD_SYNTH1Y_Quote#0000</v>
      </c>
      <c r="E12" s="234" t="str">
        <f>_xll.ohRangeRetrieveError(D12)</f>
        <v/>
      </c>
      <c r="F12" s="217"/>
      <c r="H12" s="513"/>
      <c r="I12" s="542" t="s">
        <v>146</v>
      </c>
      <c r="J12" s="579" t="e">
        <f>[1]Calculation!$J$34</f>
        <v>#NUM!</v>
      </c>
      <c r="K12" s="530" t="s">
        <v>271</v>
      </c>
      <c r="L12" s="516">
        <v>5.8089999999999999E-3</v>
      </c>
      <c r="M12" s="510"/>
      <c r="N12" s="515">
        <v>5.8089999999999999E-3</v>
      </c>
      <c r="O12" s="514" t="e">
        <f>_xll.qlSimpleQuoteSetValue(D12,ROUND(N12,6),EvaluationDate)</f>
        <v>#N/A</v>
      </c>
      <c r="P12" s="538"/>
    </row>
    <row r="13" spans="1:16" x14ac:dyDescent="0.2">
      <c r="A13" s="122"/>
      <c r="B13" s="228" t="s">
        <v>145</v>
      </c>
      <c r="C13" s="129" t="str">
        <f t="shared" si="0"/>
        <v>EUR5MD_SYNTH1Y_Quote</v>
      </c>
      <c r="D13" s="129" t="str">
        <f>_xll.qlSimpleQuote(C13,,RateTickValue,Permanent,Trigger,ObjectOverwrite)</f>
        <v>EUR5MD_SYNTH1Y_Quote#0000</v>
      </c>
      <c r="E13" s="234" t="str">
        <f>_xll.ohRangeRetrieveError(D13)</f>
        <v/>
      </c>
      <c r="F13" s="217"/>
      <c r="H13" s="513"/>
      <c r="I13" s="542" t="s">
        <v>145</v>
      </c>
      <c r="J13" s="579" t="e">
        <f>[1]Calculation!$J$34</f>
        <v>#NUM!</v>
      </c>
      <c r="K13" s="530" t="s">
        <v>271</v>
      </c>
      <c r="L13" s="516">
        <v>5.7749999999999998E-3</v>
      </c>
      <c r="M13" s="510"/>
      <c r="N13" s="515">
        <v>5.7749999999999998E-3</v>
      </c>
      <c r="O13" s="514" t="e">
        <f>_xll.qlSimpleQuoteSetValue(D13,ROUND(N13,6),EvaluationDate)</f>
        <v>#N/A</v>
      </c>
      <c r="P13" s="538"/>
    </row>
    <row r="14" spans="1:16" x14ac:dyDescent="0.2">
      <c r="A14" s="122"/>
      <c r="B14" s="228" t="s">
        <v>144</v>
      </c>
      <c r="C14" s="129" t="str">
        <f t="shared" si="0"/>
        <v>EUR6MD_SYNTH1Y_Quote</v>
      </c>
      <c r="D14" s="129" t="str">
        <f>_xll.qlSimpleQuote(C14,,RateTickValue,Permanent,Trigger,ObjectOverwrite)</f>
        <v>EUR6MD_SYNTH1Y_Quote#0000</v>
      </c>
      <c r="E14" s="234" t="str">
        <f>_xll.ohRangeRetrieveError(D14)</f>
        <v/>
      </c>
      <c r="F14" s="217"/>
      <c r="H14" s="513"/>
      <c r="I14" s="542" t="s">
        <v>144</v>
      </c>
      <c r="J14" s="579" t="e">
        <f>[1]Calculation!$J$34</f>
        <v>#NUM!</v>
      </c>
      <c r="K14" s="530" t="s">
        <v>271</v>
      </c>
      <c r="L14" s="516">
        <v>5.7489999999999998E-3</v>
      </c>
      <c r="M14" s="510"/>
      <c r="N14" s="515">
        <v>5.7489999999999998E-3</v>
      </c>
      <c r="O14" s="514" t="e">
        <f>_xll.qlSimpleQuoteSetValue(D14,ROUND(N14,6),EvaluationDate)</f>
        <v>#N/A</v>
      </c>
      <c r="P14" s="538"/>
    </row>
    <row r="15" spans="1:16" x14ac:dyDescent="0.2">
      <c r="A15" s="122"/>
      <c r="B15" s="228" t="s">
        <v>143</v>
      </c>
      <c r="C15" s="129" t="str">
        <f t="shared" si="0"/>
        <v>EUR7MD_SYNTH1Y_Quote</v>
      </c>
      <c r="D15" s="129" t="str">
        <f>_xll.qlSimpleQuote(C15,,RateTickValue,Permanent,Trigger,ObjectOverwrite)</f>
        <v>EUR7MD_SYNTH1Y_Quote#0000</v>
      </c>
      <c r="E15" s="234" t="str">
        <f>_xll.ohRangeRetrieveError(D15)</f>
        <v/>
      </c>
      <c r="F15" s="217"/>
      <c r="H15" s="513"/>
      <c r="I15" s="542" t="s">
        <v>143</v>
      </c>
      <c r="J15" s="579" t="e">
        <f>[1]Calculation!$J$34</f>
        <v>#NUM!</v>
      </c>
      <c r="K15" s="530" t="s">
        <v>271</v>
      </c>
      <c r="L15" s="516">
        <v>5.7349999999999996E-3</v>
      </c>
      <c r="M15" s="510"/>
      <c r="N15" s="515">
        <v>5.7349999999999996E-3</v>
      </c>
      <c r="O15" s="514" t="e">
        <f>_xll.qlSimpleQuoteSetValue(D15,ROUND(N15,6),EvaluationDate)</f>
        <v>#N/A</v>
      </c>
      <c r="P15" s="538"/>
    </row>
    <row r="16" spans="1:16" ht="12" thickBot="1" x14ac:dyDescent="0.25">
      <c r="A16" s="122"/>
      <c r="B16" s="228" t="s">
        <v>142</v>
      </c>
      <c r="C16" s="129" t="str">
        <f t="shared" si="0"/>
        <v>EUR8MD_SYNTH1Y_Quote</v>
      </c>
      <c r="D16" s="129" t="str">
        <f>_xll.qlSimpleQuote(C16,,RateTickValue,Permanent,Trigger,ObjectOverwrite)</f>
        <v>EUR8MD_SYNTH1Y_Quote#0000</v>
      </c>
      <c r="E16" s="234" t="str">
        <f>_xll.ohRangeRetrieveError(D16)</f>
        <v/>
      </c>
      <c r="F16" s="217"/>
      <c r="H16" s="513"/>
      <c r="I16" s="542" t="s">
        <v>142</v>
      </c>
      <c r="J16" s="579" t="e">
        <f>[1]Calculation!$J$34</f>
        <v>#NUM!</v>
      </c>
      <c r="K16" s="530" t="s">
        <v>271</v>
      </c>
      <c r="L16" s="516">
        <v>5.7200000000000003E-3</v>
      </c>
      <c r="M16" s="510"/>
      <c r="N16" s="515">
        <v>5.7200000000000003E-3</v>
      </c>
      <c r="O16" s="514" t="e">
        <f>_xll.qlSimpleQuoteSetValue(D16,ROUND(N16,6),EvaluationDate)</f>
        <v>#N/A</v>
      </c>
      <c r="P16" s="538"/>
    </row>
    <row r="17" spans="1:26" x14ac:dyDescent="0.2">
      <c r="A17" s="122"/>
      <c r="B17" s="228" t="s">
        <v>141</v>
      </c>
      <c r="C17" s="129" t="str">
        <f t="shared" si="0"/>
        <v>EUR9MD_SYNTH1Y_Quote</v>
      </c>
      <c r="D17" s="129" t="str">
        <f>_xll.qlSimpleQuote(C17,,RateTickValue,Permanent,Trigger,ObjectOverwrite)</f>
        <v>EUR9MD_SYNTH1Y_Quote#0000</v>
      </c>
      <c r="E17" s="234" t="str">
        <f>_xll.ohRangeRetrieveError(D17)</f>
        <v/>
      </c>
      <c r="F17" s="217"/>
      <c r="H17" s="513"/>
      <c r="I17" s="542" t="s">
        <v>141</v>
      </c>
      <c r="J17" s="579" t="e">
        <f>[1]Calculation!$J$34</f>
        <v>#NUM!</v>
      </c>
      <c r="K17" s="530" t="s">
        <v>271</v>
      </c>
      <c r="L17" s="516">
        <v>5.705E-3</v>
      </c>
      <c r="M17" s="510"/>
      <c r="N17" s="515">
        <v>5.705E-3</v>
      </c>
      <c r="O17" s="514" t="e">
        <f>_xll.qlSimpleQuoteSetValue(D17,ROUND(N17,6),EvaluationDate)</f>
        <v>#N/A</v>
      </c>
      <c r="P17" s="538"/>
      <c r="R17" s="570" t="s">
        <v>320</v>
      </c>
      <c r="S17" s="569"/>
      <c r="T17" s="569"/>
      <c r="U17" s="569"/>
      <c r="V17" s="569"/>
      <c r="W17" s="569"/>
      <c r="X17" s="569"/>
      <c r="Y17" s="569"/>
      <c r="Z17" s="568"/>
    </row>
    <row r="18" spans="1:26" x14ac:dyDescent="0.2">
      <c r="A18" s="122"/>
      <c r="B18" s="228" t="s">
        <v>140</v>
      </c>
      <c r="C18" s="129" t="str">
        <f t="shared" si="0"/>
        <v>EUR10MD_SYNTH1Y_Quote</v>
      </c>
      <c r="D18" s="129" t="str">
        <f>_xll.qlSimpleQuote(C18,,RateTickValue,Permanent,Trigger,ObjectOverwrite)</f>
        <v>EUR10MD_SYNTH1Y_Quote#0000</v>
      </c>
      <c r="E18" s="234" t="str">
        <f>_xll.ohRangeRetrieveError(D18)</f>
        <v/>
      </c>
      <c r="F18" s="217"/>
      <c r="H18" s="513"/>
      <c r="I18" s="542" t="s">
        <v>140</v>
      </c>
      <c r="J18" s="579" t="e">
        <f>[1]Calculation!$J$34</f>
        <v>#NUM!</v>
      </c>
      <c r="K18" s="530" t="s">
        <v>271</v>
      </c>
      <c r="L18" s="516">
        <v>5.7010000000000003E-3</v>
      </c>
      <c r="M18" s="510"/>
      <c r="N18" s="515">
        <v>5.7010000000000003E-3</v>
      </c>
      <c r="O18" s="514" t="e">
        <f>_xll.qlSimpleQuoteSetValue(D18,ROUND(N18,6),EvaluationDate)</f>
        <v>#N/A</v>
      </c>
      <c r="P18" s="538"/>
      <c r="R18" s="567"/>
      <c r="S18" s="566"/>
      <c r="T18" s="549"/>
      <c r="U18" s="549"/>
      <c r="V18" s="549"/>
      <c r="W18" s="549"/>
      <c r="X18" s="549"/>
      <c r="Y18" s="549"/>
      <c r="Z18" s="565"/>
    </row>
    <row r="19" spans="1:26" x14ac:dyDescent="0.2">
      <c r="A19" s="122"/>
      <c r="B19" s="228" t="s">
        <v>139</v>
      </c>
      <c r="C19" s="129" t="str">
        <f t="shared" si="0"/>
        <v>EUR11MD_SYNTH1Y_Quote</v>
      </c>
      <c r="D19" s="129" t="str">
        <f>_xll.qlSimpleQuote(C19,,RateTickValue,Permanent,Trigger,ObjectOverwrite)</f>
        <v>EUR11MD_SYNTH1Y_Quote#0000</v>
      </c>
      <c r="E19" s="234" t="str">
        <f>_xll.ohRangeRetrieveError(D19)</f>
        <v/>
      </c>
      <c r="F19" s="217"/>
      <c r="H19" s="513"/>
      <c r="I19" s="542" t="s">
        <v>139</v>
      </c>
      <c r="J19" s="579" t="e">
        <f>[1]Calculation!$J$34</f>
        <v>#NUM!</v>
      </c>
      <c r="K19" s="530" t="s">
        <v>271</v>
      </c>
      <c r="L19" s="516">
        <v>5.6950000000000004E-3</v>
      </c>
      <c r="M19" s="510"/>
      <c r="N19" s="515">
        <v>5.6950000000000004E-3</v>
      </c>
      <c r="O19" s="514" t="e">
        <f>_xll.qlSimpleQuoteSetValue(D19,ROUND(N19,6),EvaluationDate)</f>
        <v>#N/A</v>
      </c>
      <c r="P19" s="538"/>
      <c r="R19" s="551"/>
      <c r="S19" s="549">
        <v>12</v>
      </c>
      <c r="T19" s="549"/>
      <c r="U19" s="549"/>
      <c r="V19" s="549"/>
      <c r="W19" s="549"/>
      <c r="X19" s="564"/>
      <c r="Y19" s="563"/>
      <c r="Z19" s="546"/>
    </row>
    <row r="20" spans="1:26" x14ac:dyDescent="0.2">
      <c r="A20" s="122"/>
      <c r="B20" s="231" t="s">
        <v>138</v>
      </c>
      <c r="C20" s="118" t="str">
        <f t="shared" si="0"/>
        <v>EUR1YD_SYNTH1Y_Quote</v>
      </c>
      <c r="D20" s="118" t="str">
        <f>_xll.qlSimpleQuote(C20,,RateTickValue,Permanent,Trigger,ObjectOverwrite)</f>
        <v>EUR1YD_SYNTH1Y_Quote#0000</v>
      </c>
      <c r="E20" s="230" t="str">
        <f>_xll.ohRangeRetrieveError(D20)</f>
        <v/>
      </c>
      <c r="F20" s="217"/>
      <c r="H20" s="513"/>
      <c r="I20" s="541" t="s">
        <v>138</v>
      </c>
      <c r="J20" s="580" t="e">
        <f>[1]Calculation!$J$34</f>
        <v>#NUM!</v>
      </c>
      <c r="K20" s="530" t="s">
        <v>271</v>
      </c>
      <c r="L20" s="511">
        <v>5.7000000000000002E-3</v>
      </c>
      <c r="M20" s="510"/>
      <c r="N20" s="509">
        <v>5.7000000000000002E-3</v>
      </c>
      <c r="O20" s="508" t="e">
        <f>_xll.qlSimpleQuoteSetValue(D20,ROUND(N20,6),EvaluationDate)</f>
        <v>#N/A</v>
      </c>
      <c r="P20" s="538"/>
      <c r="R20" s="551"/>
      <c r="S20" s="562"/>
      <c r="T20" s="561" t="s">
        <v>318</v>
      </c>
      <c r="U20" s="549"/>
      <c r="V20" s="560" t="s">
        <v>239</v>
      </c>
      <c r="W20" s="549"/>
      <c r="X20" s="559" t="s">
        <v>237</v>
      </c>
      <c r="Y20" s="558" t="s">
        <v>236</v>
      </c>
      <c r="Z20" s="546"/>
    </row>
    <row r="21" spans="1:26" ht="12" thickBot="1" x14ac:dyDescent="0.25">
      <c r="A21" s="122">
        <v>1</v>
      </c>
      <c r="B21" s="233" t="str">
        <f t="shared" ref="B21:B64" si="1">A21&amp;"x"&amp;A21+Months&amp;"F"</f>
        <v>1x13F</v>
      </c>
      <c r="C21" s="125" t="str">
        <f t="shared" si="0"/>
        <v>EUR1x13F_SYNTH1Y_Quote</v>
      </c>
      <c r="D21" s="125" t="str">
        <f>_xll.qlSimpleQuote(C21,,RateTickValue,Permanent,Trigger,ObjectOverwrite)</f>
        <v>EUR1x13F_SYNTH1Y_Quote#0000</v>
      </c>
      <c r="E21" s="232" t="str">
        <f>_xll.ohRangeRetrieveError(D21)</f>
        <v/>
      </c>
      <c r="F21" s="217"/>
      <c r="H21" s="506"/>
      <c r="I21" s="505"/>
      <c r="J21" s="505"/>
      <c r="K21" s="505"/>
      <c r="L21" s="505"/>
      <c r="M21" s="505"/>
      <c r="N21" s="505"/>
      <c r="O21" s="505"/>
      <c r="P21" s="540"/>
      <c r="R21" s="551">
        <v>1</v>
      </c>
      <c r="S21" s="556" t="str">
        <f t="shared" ref="S21:S64" si="2">R21&amp;"x"&amp;(R21+$S$19)&amp;"F"</f>
        <v>1x13F</v>
      </c>
      <c r="T21" s="581" t="e">
        <f>[2]Calculation!$N$8</f>
        <v>#NUM!</v>
      </c>
      <c r="U21" s="571" t="s">
        <v>271</v>
      </c>
      <c r="V21" s="557">
        <v>5.6839999999999998E-3</v>
      </c>
      <c r="W21" s="549"/>
      <c r="X21" s="572">
        <f t="array" ref="X21:X64">QuoteStatic2</f>
        <v>5.6839999999999998E-3</v>
      </c>
      <c r="Y21" s="555" t="e">
        <f>_xll.qlSimpleQuoteSetValue(D21,ROUND(X21,6),EvaluationDate)</f>
        <v>#N/A</v>
      </c>
      <c r="Z21" s="546"/>
    </row>
    <row r="22" spans="1:26" x14ac:dyDescent="0.2">
      <c r="A22" s="122">
        <v>2</v>
      </c>
      <c r="B22" s="228" t="str">
        <f t="shared" si="1"/>
        <v>2x14F</v>
      </c>
      <c r="C22" s="129" t="str">
        <f t="shared" si="0"/>
        <v>EUR2x14F_SYNTH1Y_Quote</v>
      </c>
      <c r="D22" s="129" t="str">
        <f>_xll.qlSimpleQuote(C22,,RateTickValue,Permanent,Trigger,ObjectOverwrite)</f>
        <v>EUR2x14F_SYNTH1Y_Quote#0000</v>
      </c>
      <c r="E22" s="234" t="str">
        <f>_xll.ohRangeRetrieveError(D22)</f>
        <v/>
      </c>
      <c r="F22" s="217"/>
      <c r="R22" s="551">
        <v>2</v>
      </c>
      <c r="S22" s="553" t="str">
        <f t="shared" si="2"/>
        <v>2x14F</v>
      </c>
      <c r="T22" s="582" t="e">
        <f>[2]Calculation!$N$8</f>
        <v>#NUM!</v>
      </c>
      <c r="U22" s="549" t="s">
        <v>271</v>
      </c>
      <c r="V22" s="554">
        <v>5.6810000000000003E-3</v>
      </c>
      <c r="W22" s="549"/>
      <c r="X22" s="573">
        <v>5.6810000000000003E-3</v>
      </c>
      <c r="Y22" s="552" t="e">
        <f>_xll.qlSimpleQuoteSetValue(D22,ROUND(X22,6),EvaluationDate)</f>
        <v>#N/A</v>
      </c>
      <c r="Z22" s="546"/>
    </row>
    <row r="23" spans="1:26" x14ac:dyDescent="0.2">
      <c r="A23" s="122">
        <v>3</v>
      </c>
      <c r="B23" s="228" t="str">
        <f t="shared" si="1"/>
        <v>3x15F</v>
      </c>
      <c r="C23" s="129" t="str">
        <f t="shared" si="0"/>
        <v>EUR3x15F_SYNTH1Y_Quote</v>
      </c>
      <c r="D23" s="129" t="str">
        <f>_xll.qlSimpleQuote(C23,,RateTickValue,Permanent,Trigger,ObjectOverwrite)</f>
        <v>EUR3x15F_SYNTH1Y_Quote#0000</v>
      </c>
      <c r="E23" s="234" t="str">
        <f>_xll.ohRangeRetrieveError(D23)</f>
        <v/>
      </c>
      <c r="F23" s="217"/>
      <c r="R23" s="551">
        <v>3</v>
      </c>
      <c r="S23" s="553" t="str">
        <f t="shared" si="2"/>
        <v>3x15F</v>
      </c>
      <c r="T23" s="582" t="e">
        <f>[2]Calculation!$N$8</f>
        <v>#NUM!</v>
      </c>
      <c r="U23" s="549" t="s">
        <v>271</v>
      </c>
      <c r="V23" s="554">
        <v>5.6899999999999997E-3</v>
      </c>
      <c r="W23" s="549"/>
      <c r="X23" s="574">
        <v>5.6899999999999997E-3</v>
      </c>
      <c r="Y23" s="552" t="e">
        <f>_xll.qlSimpleQuoteSetValue(D23,ROUND(X23,6),EvaluationDate)</f>
        <v>#N/A</v>
      </c>
      <c r="Z23" s="546"/>
    </row>
    <row r="24" spans="1:26" x14ac:dyDescent="0.2">
      <c r="A24" s="122">
        <v>4</v>
      </c>
      <c r="B24" s="228" t="str">
        <f t="shared" si="1"/>
        <v>4x16F</v>
      </c>
      <c r="C24" s="129" t="str">
        <f t="shared" si="0"/>
        <v>EUR4x16F_SYNTH1Y_Quote</v>
      </c>
      <c r="D24" s="129" t="str">
        <f>_xll.qlSimpleQuote(C24,,RateTickValue,Permanent,Trigger,ObjectOverwrite)</f>
        <v>EUR4x16F_SYNTH1Y_Quote#0000</v>
      </c>
      <c r="E24" s="234" t="str">
        <f>_xll.ohRangeRetrieveError(D24)</f>
        <v/>
      </c>
      <c r="F24" s="217"/>
      <c r="R24" s="551">
        <v>4</v>
      </c>
      <c r="S24" s="553" t="str">
        <f t="shared" si="2"/>
        <v>4x16F</v>
      </c>
      <c r="T24" s="582" t="e">
        <f>[2]Calculation!$N$8</f>
        <v>#NUM!</v>
      </c>
      <c r="U24" s="549" t="s">
        <v>271</v>
      </c>
      <c r="V24" s="554">
        <v>5.7210000000000004E-3</v>
      </c>
      <c r="W24" s="549"/>
      <c r="X24" s="573">
        <v>5.7210000000000004E-3</v>
      </c>
      <c r="Y24" s="552" t="e">
        <f>_xll.qlSimpleQuoteSetValue(D24,ROUND(X24,6),EvaluationDate)</f>
        <v>#N/A</v>
      </c>
      <c r="Z24" s="546"/>
    </row>
    <row r="25" spans="1:26" x14ac:dyDescent="0.2">
      <c r="A25" s="122">
        <v>5</v>
      </c>
      <c r="B25" s="228" t="str">
        <f t="shared" si="1"/>
        <v>5x17F</v>
      </c>
      <c r="C25" s="129" t="str">
        <f t="shared" si="0"/>
        <v>EUR5x17F_SYNTH1Y_Quote</v>
      </c>
      <c r="D25" s="129" t="str">
        <f>_xll.qlSimpleQuote(C25,,RateTickValue,Permanent,Trigger,ObjectOverwrite)</f>
        <v>EUR5x17F_SYNTH1Y_Quote#0000</v>
      </c>
      <c r="E25" s="234" t="str">
        <f>_xll.ohRangeRetrieveError(D25)</f>
        <v/>
      </c>
      <c r="F25" s="217"/>
      <c r="R25" s="551">
        <v>5</v>
      </c>
      <c r="S25" s="553" t="str">
        <f t="shared" si="2"/>
        <v>5x17F</v>
      </c>
      <c r="T25" s="582" t="e">
        <f>[2]Calculation!$N$8</f>
        <v>#NUM!</v>
      </c>
      <c r="U25" s="549" t="s">
        <v>271</v>
      </c>
      <c r="V25" s="554">
        <v>5.7720000000000002E-3</v>
      </c>
      <c r="W25" s="549"/>
      <c r="X25" s="573">
        <v>5.7720000000000002E-3</v>
      </c>
      <c r="Y25" s="552" t="e">
        <f>_xll.qlSimpleQuoteSetValue(D25,ROUND(X25,6),EvaluationDate)</f>
        <v>#N/A</v>
      </c>
      <c r="Z25" s="546"/>
    </row>
    <row r="26" spans="1:26" x14ac:dyDescent="0.2">
      <c r="A26" s="122">
        <v>6</v>
      </c>
      <c r="B26" s="228" t="str">
        <f t="shared" si="1"/>
        <v>6x18F</v>
      </c>
      <c r="C26" s="129" t="str">
        <f t="shared" si="0"/>
        <v>EUR6x18F_SYNTH1Y_Quote</v>
      </c>
      <c r="D26" s="129" t="str">
        <f>_xll.qlSimpleQuote(C26,,RateTickValue,Permanent,Trigger,ObjectOverwrite)</f>
        <v>EUR6x18F_SYNTH1Y_Quote#0000</v>
      </c>
      <c r="E26" s="234" t="str">
        <f>_xll.ohRangeRetrieveError(D26)</f>
        <v/>
      </c>
      <c r="F26" s="217"/>
      <c r="R26" s="551">
        <v>6</v>
      </c>
      <c r="S26" s="553" t="str">
        <f t="shared" si="2"/>
        <v>6x18F</v>
      </c>
      <c r="T26" s="582" t="e">
        <f>[2]Calculation!$N$8</f>
        <v>#NUM!</v>
      </c>
      <c r="U26" s="549" t="s">
        <v>271</v>
      </c>
      <c r="V26" s="554">
        <v>5.8389999999999996E-3</v>
      </c>
      <c r="W26" s="549"/>
      <c r="X26" s="574">
        <v>5.8389999999999996E-3</v>
      </c>
      <c r="Y26" s="552" t="e">
        <f>_xll.qlSimpleQuoteSetValue(D26,ROUND(X26,6),EvaluationDate)</f>
        <v>#N/A</v>
      </c>
      <c r="Z26" s="546"/>
    </row>
    <row r="27" spans="1:26" x14ac:dyDescent="0.2">
      <c r="A27" s="122">
        <v>7</v>
      </c>
      <c r="B27" s="228" t="str">
        <f t="shared" si="1"/>
        <v>7x19F</v>
      </c>
      <c r="C27" s="129" t="str">
        <f t="shared" si="0"/>
        <v>EUR7x19F_SYNTH1Y_Quote</v>
      </c>
      <c r="D27" s="129" t="str">
        <f>_xll.qlSimpleQuote(C27,,RateTickValue,Permanent,Trigger,ObjectOverwrite)</f>
        <v>EUR7x19F_SYNTH1Y_Quote#0000</v>
      </c>
      <c r="E27" s="234" t="str">
        <f>_xll.ohRangeRetrieveError(D27)</f>
        <v/>
      </c>
      <c r="F27" s="217"/>
      <c r="R27" s="551">
        <v>7</v>
      </c>
      <c r="S27" s="553" t="str">
        <f t="shared" si="2"/>
        <v>7x19F</v>
      </c>
      <c r="T27" s="582" t="e">
        <f>[2]Calculation!$N$8</f>
        <v>#NUM!</v>
      </c>
      <c r="U27" s="549" t="s">
        <v>271</v>
      </c>
      <c r="V27" s="554">
        <v>5.9329999999999999E-3</v>
      </c>
      <c r="W27" s="549"/>
      <c r="X27" s="573">
        <v>5.9329999999999999E-3</v>
      </c>
      <c r="Y27" s="552" t="e">
        <f>_xll.qlSimpleQuoteSetValue(D27,ROUND(X27,6),EvaluationDate)</f>
        <v>#N/A</v>
      </c>
      <c r="Z27" s="546"/>
    </row>
    <row r="28" spans="1:26" x14ac:dyDescent="0.2">
      <c r="A28" s="122">
        <v>8</v>
      </c>
      <c r="B28" s="228" t="str">
        <f t="shared" si="1"/>
        <v>8x20F</v>
      </c>
      <c r="C28" s="129" t="str">
        <f t="shared" si="0"/>
        <v>EUR8x20F_SYNTH1Y_Quote</v>
      </c>
      <c r="D28" s="129" t="str">
        <f>_xll.qlSimpleQuote(C28,,RateTickValue,Permanent,Trigger,ObjectOverwrite)</f>
        <v>EUR8x20F_SYNTH1Y_Quote#0000</v>
      </c>
      <c r="E28" s="234" t="str">
        <f>_xll.ohRangeRetrieveError(D28)</f>
        <v/>
      </c>
      <c r="F28" s="217"/>
      <c r="R28" s="551">
        <v>8</v>
      </c>
      <c r="S28" s="553" t="str">
        <f t="shared" si="2"/>
        <v>8x20F</v>
      </c>
      <c r="T28" s="582" t="e">
        <f>[2]Calculation!$N$8</f>
        <v>#NUM!</v>
      </c>
      <c r="U28" s="549" t="s">
        <v>271</v>
      </c>
      <c r="V28" s="554">
        <v>6.0419999999999996E-3</v>
      </c>
      <c r="W28" s="549"/>
      <c r="X28" s="573">
        <v>6.0419999999999996E-3</v>
      </c>
      <c r="Y28" s="552" t="e">
        <f>_xll.qlSimpleQuoteSetValue(D28,ROUND(X28,6),EvaluationDate)</f>
        <v>#N/A</v>
      </c>
      <c r="Z28" s="546"/>
    </row>
    <row r="29" spans="1:26" x14ac:dyDescent="0.2">
      <c r="A29" s="122">
        <v>9</v>
      </c>
      <c r="B29" s="228" t="str">
        <f t="shared" si="1"/>
        <v>9x21F</v>
      </c>
      <c r="C29" s="129" t="str">
        <f t="shared" si="0"/>
        <v>EUR9x21F_SYNTH1Y_Quote</v>
      </c>
      <c r="D29" s="129" t="str">
        <f>_xll.qlSimpleQuote(C29,,RateTickValue,Permanent,Trigger,ObjectOverwrite)</f>
        <v>EUR9x21F_SYNTH1Y_Quote#0000</v>
      </c>
      <c r="E29" s="234" t="str">
        <f>_xll.ohRangeRetrieveError(D29)</f>
        <v/>
      </c>
      <c r="F29" s="217"/>
      <c r="R29" s="551">
        <v>9</v>
      </c>
      <c r="S29" s="553" t="str">
        <f t="shared" si="2"/>
        <v>9x21F</v>
      </c>
      <c r="T29" s="582" t="e">
        <f>[2]Calculation!$N$8</f>
        <v>#NUM!</v>
      </c>
      <c r="U29" s="549" t="s">
        <v>271</v>
      </c>
      <c r="V29" s="554">
        <v>6.1720000000000004E-3</v>
      </c>
      <c r="W29" s="549"/>
      <c r="X29" s="574">
        <v>6.1720000000000004E-3</v>
      </c>
      <c r="Y29" s="552" t="e">
        <f>_xll.qlSimpleQuoteSetValue(D29,ROUND(X29,6),EvaluationDate)</f>
        <v>#N/A</v>
      </c>
      <c r="Z29" s="546"/>
    </row>
    <row r="30" spans="1:26" x14ac:dyDescent="0.2">
      <c r="A30" s="122">
        <v>10</v>
      </c>
      <c r="B30" s="228" t="str">
        <f t="shared" si="1"/>
        <v>10x22F</v>
      </c>
      <c r="C30" s="129" t="str">
        <f t="shared" si="0"/>
        <v>EUR10x22F_SYNTH1Y_Quote</v>
      </c>
      <c r="D30" s="129" t="str">
        <f>_xll.qlSimpleQuote(C30,,RateTickValue,Permanent,Trigger,ObjectOverwrite)</f>
        <v>EUR10x22F_SYNTH1Y_Quote#0000</v>
      </c>
      <c r="E30" s="234" t="str">
        <f>_xll.ohRangeRetrieveError(D30)</f>
        <v/>
      </c>
      <c r="F30" s="217"/>
      <c r="R30" s="551">
        <v>10</v>
      </c>
      <c r="S30" s="553" t="str">
        <f t="shared" si="2"/>
        <v>10x22F</v>
      </c>
      <c r="T30" s="582" t="e">
        <f>[2]Calculation!$N$8</f>
        <v>#NUM!</v>
      </c>
      <c r="U30" s="549" t="s">
        <v>271</v>
      </c>
      <c r="V30" s="554">
        <v>6.326E-3</v>
      </c>
      <c r="W30" s="549"/>
      <c r="X30" s="573">
        <v>6.326E-3</v>
      </c>
      <c r="Y30" s="552" t="e">
        <f>_xll.qlSimpleQuoteSetValue(D30,ROUND(X30,6),EvaluationDate)</f>
        <v>#N/A</v>
      </c>
      <c r="Z30" s="546"/>
    </row>
    <row r="31" spans="1:26" x14ac:dyDescent="0.2">
      <c r="A31" s="122">
        <v>11</v>
      </c>
      <c r="B31" s="228" t="str">
        <f t="shared" si="1"/>
        <v>11x23F</v>
      </c>
      <c r="C31" s="129" t="str">
        <f t="shared" si="0"/>
        <v>EUR11x23F_SYNTH1Y_Quote</v>
      </c>
      <c r="D31" s="129" t="str">
        <f>_xll.qlSimpleQuote(C31,,RateTickValue,Permanent,Trigger,ObjectOverwrite)</f>
        <v>EUR11x23F_SYNTH1Y_Quote#0000</v>
      </c>
      <c r="E31" s="234" t="str">
        <f>_xll.ohRangeRetrieveError(D31)</f>
        <v/>
      </c>
      <c r="F31" s="217"/>
      <c r="R31" s="551">
        <v>11</v>
      </c>
      <c r="S31" s="548" t="str">
        <f t="shared" si="2"/>
        <v>11x23F</v>
      </c>
      <c r="T31" s="583" t="e">
        <f>[2]Calculation!$N$8</f>
        <v>#NUM!</v>
      </c>
      <c r="U31" s="549" t="s">
        <v>271</v>
      </c>
      <c r="V31" s="550">
        <v>6.4809999999999998E-3</v>
      </c>
      <c r="W31" s="549"/>
      <c r="X31" s="575">
        <v>6.4809999999999998E-3</v>
      </c>
      <c r="Y31" s="547" t="e">
        <f>_xll.qlSimpleQuoteSetValue(D31,ROUND(X31,6),EvaluationDate)</f>
        <v>#N/A</v>
      </c>
      <c r="Z31" s="546"/>
    </row>
    <row r="32" spans="1:26" x14ac:dyDescent="0.2">
      <c r="A32" s="122">
        <v>13</v>
      </c>
      <c r="B32" s="228" t="str">
        <f t="shared" si="1"/>
        <v>13x25F</v>
      </c>
      <c r="C32" s="129" t="str">
        <f t="shared" si="0"/>
        <v>EUR13x25F_SYNTH1Y_Quote</v>
      </c>
      <c r="D32" s="129" t="str">
        <f>_xll.qlSimpleQuote(C32,,RateTickValue,Permanent,Trigger,ObjectOverwrite)</f>
        <v>EUR13x25F_SYNTH1Y_Quote#0000</v>
      </c>
      <c r="E32" s="234" t="str">
        <f>_xll.ohRangeRetrieveError(D32)</f>
        <v/>
      </c>
      <c r="F32" s="217"/>
      <c r="R32" s="551">
        <v>13</v>
      </c>
      <c r="S32" s="556" t="str">
        <f t="shared" si="2"/>
        <v>13x25F</v>
      </c>
      <c r="T32" s="581" t="e">
        <f>[2]Calculation!$N$8</f>
        <v>#NUM!</v>
      </c>
      <c r="U32" s="549" t="s">
        <v>271</v>
      </c>
      <c r="V32" s="557">
        <v>6.9760000000000004E-3</v>
      </c>
      <c r="W32" s="549"/>
      <c r="X32" s="572">
        <v>6.9760000000000004E-3</v>
      </c>
      <c r="Y32" s="555" t="e">
        <f>_xll.qlSimpleQuoteSetValue(D32,ROUND(X32,6),EvaluationDate)</f>
        <v>#N/A</v>
      </c>
      <c r="Z32" s="546"/>
    </row>
    <row r="33" spans="1:26" x14ac:dyDescent="0.2">
      <c r="A33" s="122">
        <v>14</v>
      </c>
      <c r="B33" s="228" t="str">
        <f t="shared" si="1"/>
        <v>14x26F</v>
      </c>
      <c r="C33" s="129" t="str">
        <f t="shared" si="0"/>
        <v>EUR14x26F_SYNTH1Y_Quote</v>
      </c>
      <c r="D33" s="129" t="str">
        <f>_xll.qlSimpleQuote(C33,,RateTickValue,Permanent,Trigger,ObjectOverwrite)</f>
        <v>EUR14x26F_SYNTH1Y_Quote#0000</v>
      </c>
      <c r="E33" s="234" t="str">
        <f>_xll.ohRangeRetrieveError(D33)</f>
        <v/>
      </c>
      <c r="F33" s="217"/>
      <c r="R33" s="551">
        <v>14</v>
      </c>
      <c r="S33" s="553" t="str">
        <f t="shared" si="2"/>
        <v>14x26F</v>
      </c>
      <c r="T33" s="582" t="e">
        <f>[2]Calculation!$N$8</f>
        <v>#NUM!</v>
      </c>
      <c r="U33" s="549" t="s">
        <v>271</v>
      </c>
      <c r="V33" s="554">
        <v>7.2179999999999996E-3</v>
      </c>
      <c r="W33" s="549"/>
      <c r="X33" s="573">
        <v>7.2179999999999996E-3</v>
      </c>
      <c r="Y33" s="552" t="e">
        <f>_xll.qlSimpleQuoteSetValue(D33,ROUND(X33,6),EvaluationDate)</f>
        <v>#N/A</v>
      </c>
      <c r="Z33" s="546"/>
    </row>
    <row r="34" spans="1:26" x14ac:dyDescent="0.2">
      <c r="A34" s="122">
        <v>15</v>
      </c>
      <c r="B34" s="228" t="str">
        <f t="shared" si="1"/>
        <v>15x27F</v>
      </c>
      <c r="C34" s="129" t="str">
        <f t="shared" si="0"/>
        <v>EUR15x27F_SYNTH1Y_Quote</v>
      </c>
      <c r="D34" s="129" t="str">
        <f>_xll.qlSimpleQuote(C34,,RateTickValue,Permanent,Trigger,ObjectOverwrite)</f>
        <v>EUR15x27F_SYNTH1Y_Quote#0000</v>
      </c>
      <c r="E34" s="234" t="str">
        <f>_xll.ohRangeRetrieveError(D34)</f>
        <v/>
      </c>
      <c r="F34" s="217"/>
      <c r="R34" s="551">
        <v>15</v>
      </c>
      <c r="S34" s="553" t="str">
        <f t="shared" si="2"/>
        <v>15x27F</v>
      </c>
      <c r="T34" s="582" t="e">
        <f>[2]Calculation!$N$8</f>
        <v>#NUM!</v>
      </c>
      <c r="U34" s="549" t="s">
        <v>271</v>
      </c>
      <c r="V34" s="554">
        <v>7.5030000000000001E-3</v>
      </c>
      <c r="W34" s="549"/>
      <c r="X34" s="573">
        <v>7.5030000000000001E-3</v>
      </c>
      <c r="Y34" s="552" t="e">
        <f>_xll.qlSimpleQuoteSetValue(D34,ROUND(X34,6),EvaluationDate)</f>
        <v>#N/A</v>
      </c>
      <c r="Z34" s="546"/>
    </row>
    <row r="35" spans="1:26" x14ac:dyDescent="0.2">
      <c r="A35" s="122">
        <v>16</v>
      </c>
      <c r="B35" s="228" t="str">
        <f t="shared" si="1"/>
        <v>16x28F</v>
      </c>
      <c r="C35" s="129" t="str">
        <f t="shared" ref="C35:C64" si="3">Currency&amp;$B35&amp;"_SYNTH"&amp;Tenor&amp;QuoteSuffix</f>
        <v>EUR16x28F_SYNTH1Y_Quote</v>
      </c>
      <c r="D35" s="129" t="str">
        <f>_xll.qlSimpleQuote(C35,,RateTickValue,Permanent,Trigger,ObjectOverwrite)</f>
        <v>EUR16x28F_SYNTH1Y_Quote#0000</v>
      </c>
      <c r="E35" s="234" t="str">
        <f>_xll.ohRangeRetrieveError(D35)</f>
        <v/>
      </c>
      <c r="F35" s="217"/>
      <c r="R35" s="551">
        <v>16</v>
      </c>
      <c r="S35" s="553" t="str">
        <f t="shared" si="2"/>
        <v>16x28F</v>
      </c>
      <c r="T35" s="582" t="e">
        <f>[2]Calculation!$N$8</f>
        <v>#NUM!</v>
      </c>
      <c r="U35" s="549" t="s">
        <v>271</v>
      </c>
      <c r="V35" s="554">
        <v>7.8230000000000001E-3</v>
      </c>
      <c r="W35" s="549"/>
      <c r="X35" s="573">
        <v>7.8230000000000001E-3</v>
      </c>
      <c r="Y35" s="552" t="e">
        <f>_xll.qlSimpleQuoteSetValue(D35,ROUND(X35,6),EvaluationDate)</f>
        <v>#N/A</v>
      </c>
      <c r="Z35" s="546"/>
    </row>
    <row r="36" spans="1:26" x14ac:dyDescent="0.2">
      <c r="A36" s="122">
        <v>17</v>
      </c>
      <c r="B36" s="228" t="str">
        <f t="shared" si="1"/>
        <v>17x29F</v>
      </c>
      <c r="C36" s="129" t="str">
        <f t="shared" si="3"/>
        <v>EUR17x29F_SYNTH1Y_Quote</v>
      </c>
      <c r="D36" s="129" t="str">
        <f>_xll.qlSimpleQuote(C36,,RateTickValue,Permanent,Trigger,ObjectOverwrite)</f>
        <v>EUR17x29F_SYNTH1Y_Quote#0000</v>
      </c>
      <c r="E36" s="234" t="str">
        <f>_xll.ohRangeRetrieveError(D36)</f>
        <v/>
      </c>
      <c r="F36" s="217"/>
      <c r="R36" s="551">
        <v>17</v>
      </c>
      <c r="S36" s="553" t="str">
        <f t="shared" si="2"/>
        <v>17x29F</v>
      </c>
      <c r="T36" s="582" t="e">
        <f>[2]Calculation!$N$8</f>
        <v>#NUM!</v>
      </c>
      <c r="U36" s="549" t="s">
        <v>271</v>
      </c>
      <c r="V36" s="554">
        <v>8.1709999999999994E-3</v>
      </c>
      <c r="W36" s="549"/>
      <c r="X36" s="573">
        <v>8.1709999999999994E-3</v>
      </c>
      <c r="Y36" s="552" t="e">
        <f>_xll.qlSimpleQuoteSetValue(D36,ROUND(X36,6),EvaluationDate)</f>
        <v>#N/A</v>
      </c>
      <c r="Z36" s="546"/>
    </row>
    <row r="37" spans="1:26" x14ac:dyDescent="0.2">
      <c r="A37" s="122">
        <v>18</v>
      </c>
      <c r="B37" s="228" t="str">
        <f t="shared" si="1"/>
        <v>18x30F</v>
      </c>
      <c r="C37" s="129" t="str">
        <f t="shared" si="3"/>
        <v>EUR18x30F_SYNTH1Y_Quote</v>
      </c>
      <c r="D37" s="129" t="str">
        <f>_xll.qlSimpleQuote(C37,,RateTickValue,Permanent,Trigger,ObjectOverwrite)</f>
        <v>EUR18x30F_SYNTH1Y_Quote#0000</v>
      </c>
      <c r="E37" s="234" t="str">
        <f>_xll.ohRangeRetrieveError(D37)</f>
        <v/>
      </c>
      <c r="F37" s="217"/>
      <c r="R37" s="551">
        <v>18</v>
      </c>
      <c r="S37" s="553" t="str">
        <f t="shared" si="2"/>
        <v>18x30F</v>
      </c>
      <c r="T37" s="582" t="e">
        <f>[2]Calculation!$N$8</f>
        <v>#NUM!</v>
      </c>
      <c r="U37" s="549" t="s">
        <v>271</v>
      </c>
      <c r="V37" s="554">
        <v>8.5360000000000002E-3</v>
      </c>
      <c r="W37" s="549"/>
      <c r="X37" s="573">
        <v>8.5360000000000002E-3</v>
      </c>
      <c r="Y37" s="552" t="e">
        <f>_xll.qlSimpleQuoteSetValue(D37,ROUND(X37,6),EvaluationDate)</f>
        <v>#N/A</v>
      </c>
      <c r="Z37" s="546"/>
    </row>
    <row r="38" spans="1:26" x14ac:dyDescent="0.2">
      <c r="A38" s="122">
        <v>19</v>
      </c>
      <c r="B38" s="228" t="str">
        <f t="shared" si="1"/>
        <v>19x31F</v>
      </c>
      <c r="C38" s="129" t="str">
        <f t="shared" si="3"/>
        <v>EUR19x31F_SYNTH1Y_Quote</v>
      </c>
      <c r="D38" s="129" t="str">
        <f>_xll.qlSimpleQuote(C38,,RateTickValue,Permanent,Trigger,ObjectOverwrite)</f>
        <v>EUR19x31F_SYNTH1Y_Quote#0000</v>
      </c>
      <c r="E38" s="234" t="str">
        <f>_xll.ohRangeRetrieveError(D38)</f>
        <v/>
      </c>
      <c r="F38" s="217"/>
      <c r="R38" s="551">
        <v>19</v>
      </c>
      <c r="S38" s="553" t="str">
        <f t="shared" si="2"/>
        <v>19x31F</v>
      </c>
      <c r="T38" s="582" t="e">
        <f>[2]Calculation!$N$8</f>
        <v>#NUM!</v>
      </c>
      <c r="U38" s="549" t="s">
        <v>271</v>
      </c>
      <c r="V38" s="554">
        <v>8.9610000000000002E-3</v>
      </c>
      <c r="W38" s="549"/>
      <c r="X38" s="573">
        <v>8.9610000000000002E-3</v>
      </c>
      <c r="Y38" s="552" t="e">
        <f>_xll.qlSimpleQuoteSetValue(D38,ROUND(X38,6),EvaluationDate)</f>
        <v>#N/A</v>
      </c>
      <c r="Z38" s="546"/>
    </row>
    <row r="39" spans="1:26" x14ac:dyDescent="0.2">
      <c r="A39" s="122">
        <v>20</v>
      </c>
      <c r="B39" s="228" t="str">
        <f t="shared" si="1"/>
        <v>20x32F</v>
      </c>
      <c r="C39" s="129" t="str">
        <f t="shared" si="3"/>
        <v>EUR20x32F_SYNTH1Y_Quote</v>
      </c>
      <c r="D39" s="129" t="str">
        <f>_xll.qlSimpleQuote(C39,,RateTickValue,Permanent,Trigger,ObjectOverwrite)</f>
        <v>EUR20x32F_SYNTH1Y_Quote#0000</v>
      </c>
      <c r="E39" s="234" t="str">
        <f>_xll.ohRangeRetrieveError(D39)</f>
        <v/>
      </c>
      <c r="F39" s="217"/>
      <c r="R39" s="551">
        <v>20</v>
      </c>
      <c r="S39" s="553" t="str">
        <f t="shared" si="2"/>
        <v>20x32F</v>
      </c>
      <c r="T39" s="582" t="e">
        <f>[2]Calculation!$N$8</f>
        <v>#NUM!</v>
      </c>
      <c r="U39" s="549" t="s">
        <v>271</v>
      </c>
      <c r="V39" s="554">
        <v>9.3559999999999997E-3</v>
      </c>
      <c r="W39" s="549"/>
      <c r="X39" s="573">
        <v>9.3559999999999997E-3</v>
      </c>
      <c r="Y39" s="552" t="e">
        <f>_xll.qlSimpleQuoteSetValue(D39,ROUND(X39,6),EvaluationDate)</f>
        <v>#N/A</v>
      </c>
      <c r="Z39" s="546"/>
    </row>
    <row r="40" spans="1:26" x14ac:dyDescent="0.2">
      <c r="A40" s="122">
        <v>21</v>
      </c>
      <c r="B40" s="228" t="str">
        <f t="shared" si="1"/>
        <v>21x33F</v>
      </c>
      <c r="C40" s="129" t="str">
        <f t="shared" si="3"/>
        <v>EUR21x33F_SYNTH1Y_Quote</v>
      </c>
      <c r="D40" s="129" t="str">
        <f>_xll.qlSimpleQuote(C40,,RateTickValue,Permanent,Trigger,ObjectOverwrite)</f>
        <v>EUR21x33F_SYNTH1Y_Quote#0000</v>
      </c>
      <c r="E40" s="234" t="str">
        <f>_xll.ohRangeRetrieveError(D40)</f>
        <v/>
      </c>
      <c r="F40" s="217"/>
      <c r="R40" s="551">
        <v>21</v>
      </c>
      <c r="S40" s="553" t="str">
        <f t="shared" si="2"/>
        <v>21x33F</v>
      </c>
      <c r="T40" s="582" t="e">
        <f>[2]Calculation!$N$8</f>
        <v>#NUM!</v>
      </c>
      <c r="U40" s="549" t="s">
        <v>271</v>
      </c>
      <c r="V40" s="554">
        <v>9.8040000000000002E-3</v>
      </c>
      <c r="W40" s="549"/>
      <c r="X40" s="573">
        <v>9.8040000000000002E-3</v>
      </c>
      <c r="Y40" s="552" t="e">
        <f>_xll.qlSimpleQuoteSetValue(D40,ROUND(X40,6),EvaluationDate)</f>
        <v>#N/A</v>
      </c>
      <c r="Z40" s="546"/>
    </row>
    <row r="41" spans="1:26" x14ac:dyDescent="0.2">
      <c r="A41" s="122">
        <v>22</v>
      </c>
      <c r="B41" s="228" t="str">
        <f t="shared" si="1"/>
        <v>22x34F</v>
      </c>
      <c r="C41" s="129" t="str">
        <f t="shared" si="3"/>
        <v>EUR22x34F_SYNTH1Y_Quote</v>
      </c>
      <c r="D41" s="129" t="str">
        <f>_xll.qlSimpleQuote(C41,,RateTickValue,Permanent,Trigger,ObjectOverwrite)</f>
        <v>EUR22x34F_SYNTH1Y_Quote#0000</v>
      </c>
      <c r="E41" s="234" t="str">
        <f>_xll.ohRangeRetrieveError(D41)</f>
        <v/>
      </c>
      <c r="F41" s="217"/>
      <c r="R41" s="551">
        <v>22</v>
      </c>
      <c r="S41" s="553" t="str">
        <f t="shared" si="2"/>
        <v>22x34F</v>
      </c>
      <c r="T41" s="582" t="e">
        <f>[2]Calculation!$N$8</f>
        <v>#NUM!</v>
      </c>
      <c r="U41" s="549" t="s">
        <v>271</v>
      </c>
      <c r="V41" s="554">
        <v>1.0279E-2</v>
      </c>
      <c r="W41" s="549"/>
      <c r="X41" s="573">
        <v>1.0279E-2</v>
      </c>
      <c r="Y41" s="552" t="e">
        <f>_xll.qlSimpleQuoteSetValue(D41,ROUND(X41,6),EvaluationDate)</f>
        <v>#N/A</v>
      </c>
      <c r="Z41" s="546"/>
    </row>
    <row r="42" spans="1:26" x14ac:dyDescent="0.2">
      <c r="A42" s="122">
        <v>23</v>
      </c>
      <c r="B42" s="228" t="str">
        <f t="shared" si="1"/>
        <v>23x35F</v>
      </c>
      <c r="C42" s="129" t="str">
        <f t="shared" si="3"/>
        <v>EUR23x35F_SYNTH1Y_Quote</v>
      </c>
      <c r="D42" s="129" t="str">
        <f>_xll.qlSimpleQuote(C42,,RateTickValue,Permanent,Trigger,ObjectOverwrite)</f>
        <v>EUR23x35F_SYNTH1Y_Quote#0000</v>
      </c>
      <c r="E42" s="234" t="str">
        <f>_xll.ohRangeRetrieveError(D42)</f>
        <v/>
      </c>
      <c r="F42" s="217"/>
      <c r="R42" s="551">
        <v>23</v>
      </c>
      <c r="S42" s="548" t="str">
        <f t="shared" si="2"/>
        <v>23x35F</v>
      </c>
      <c r="T42" s="583" t="e">
        <f>[2]Calculation!$N$8</f>
        <v>#NUM!</v>
      </c>
      <c r="U42" s="549" t="s">
        <v>271</v>
      </c>
      <c r="V42" s="550">
        <v>1.0742E-2</v>
      </c>
      <c r="W42" s="549"/>
      <c r="X42" s="575">
        <v>1.0742E-2</v>
      </c>
      <c r="Y42" s="547" t="e">
        <f>_xll.qlSimpleQuoteSetValue(D42,ROUND(X42,6),EvaluationDate)</f>
        <v>#N/A</v>
      </c>
      <c r="Z42" s="546"/>
    </row>
    <row r="43" spans="1:26" x14ac:dyDescent="0.2">
      <c r="A43" s="122">
        <v>25</v>
      </c>
      <c r="B43" s="228" t="str">
        <f t="shared" si="1"/>
        <v>25x37F</v>
      </c>
      <c r="C43" s="129" t="str">
        <f t="shared" si="3"/>
        <v>EUR25x37F_SYNTH1Y_Quote</v>
      </c>
      <c r="D43" s="129" t="str">
        <f>_xll.qlSimpleQuote(C43,,RateTickValue,Permanent,Trigger,ObjectOverwrite)</f>
        <v>EUR25x37F_SYNTH1Y_Quote#0000</v>
      </c>
      <c r="E43" s="234" t="str">
        <f>_xll.ohRangeRetrieveError(D43)</f>
        <v/>
      </c>
      <c r="F43" s="217"/>
      <c r="R43" s="551">
        <v>25</v>
      </c>
      <c r="S43" s="556" t="str">
        <f t="shared" si="2"/>
        <v>25x37F</v>
      </c>
      <c r="T43" s="581" t="e">
        <f>[2]Calculation!$N$8</f>
        <v>#NUM!</v>
      </c>
      <c r="U43" s="549" t="s">
        <v>271</v>
      </c>
      <c r="V43" s="557">
        <v>1.1686999999999999E-2</v>
      </c>
      <c r="W43" s="549"/>
      <c r="X43" s="572">
        <v>1.1686999999999999E-2</v>
      </c>
      <c r="Y43" s="555" t="e">
        <f>_xll.qlSimpleQuoteSetValue(D43,ROUND(X43,6),EvaluationDate)</f>
        <v>#N/A</v>
      </c>
      <c r="Z43" s="546"/>
    </row>
    <row r="44" spans="1:26" x14ac:dyDescent="0.2">
      <c r="A44" s="122">
        <v>26</v>
      </c>
      <c r="B44" s="228" t="str">
        <f t="shared" si="1"/>
        <v>26x38F</v>
      </c>
      <c r="C44" s="129" t="str">
        <f t="shared" si="3"/>
        <v>EUR26x38F_SYNTH1Y_Quote</v>
      </c>
      <c r="D44" s="129" t="str">
        <f>_xll.qlSimpleQuote(C44,,RateTickValue,Permanent,Trigger,ObjectOverwrite)</f>
        <v>EUR26x38F_SYNTH1Y_Quote#0000</v>
      </c>
      <c r="E44" s="234" t="str">
        <f>_xll.ohRangeRetrieveError(D44)</f>
        <v/>
      </c>
      <c r="F44" s="217"/>
      <c r="R44" s="551">
        <v>26</v>
      </c>
      <c r="S44" s="553" t="str">
        <f t="shared" si="2"/>
        <v>26x38F</v>
      </c>
      <c r="T44" s="582" t="e">
        <f>[2]Calculation!$N$8</f>
        <v>#NUM!</v>
      </c>
      <c r="U44" s="549" t="s">
        <v>271</v>
      </c>
      <c r="V44" s="554">
        <v>1.2154E-2</v>
      </c>
      <c r="W44" s="549"/>
      <c r="X44" s="573">
        <v>1.2154E-2</v>
      </c>
      <c r="Y44" s="552" t="e">
        <f>_xll.qlSimpleQuoteSetValue(D44,ROUND(X44,6),EvaluationDate)</f>
        <v>#N/A</v>
      </c>
      <c r="Z44" s="546"/>
    </row>
    <row r="45" spans="1:26" x14ac:dyDescent="0.2">
      <c r="A45" s="122">
        <v>27</v>
      </c>
      <c r="B45" s="228" t="str">
        <f t="shared" si="1"/>
        <v>27x39F</v>
      </c>
      <c r="C45" s="129" t="str">
        <f t="shared" si="3"/>
        <v>EUR27x39F_SYNTH1Y_Quote</v>
      </c>
      <c r="D45" s="129" t="str">
        <f>_xll.qlSimpleQuote(C45,,RateTickValue,Permanent,Trigger,ObjectOverwrite)</f>
        <v>EUR27x39F_SYNTH1Y_Quote#0000</v>
      </c>
      <c r="E45" s="234" t="str">
        <f>_xll.ohRangeRetrieveError(D45)</f>
        <v/>
      </c>
      <c r="F45" s="217"/>
      <c r="R45" s="551">
        <v>27</v>
      </c>
      <c r="S45" s="553" t="str">
        <f t="shared" si="2"/>
        <v>27x39F</v>
      </c>
      <c r="T45" s="582" t="e">
        <f>[2]Calculation!$N$8</f>
        <v>#NUM!</v>
      </c>
      <c r="U45" s="549" t="s">
        <v>271</v>
      </c>
      <c r="V45" s="554">
        <v>1.2678E-2</v>
      </c>
      <c r="W45" s="549"/>
      <c r="X45" s="573">
        <v>1.2678E-2</v>
      </c>
      <c r="Y45" s="552" t="e">
        <f>_xll.qlSimpleQuoteSetValue(D45,ROUND(X45,6),EvaluationDate)</f>
        <v>#N/A</v>
      </c>
      <c r="Z45" s="546"/>
    </row>
    <row r="46" spans="1:26" x14ac:dyDescent="0.2">
      <c r="A46" s="122">
        <v>28</v>
      </c>
      <c r="B46" s="228" t="str">
        <f t="shared" si="1"/>
        <v>28x40F</v>
      </c>
      <c r="C46" s="129" t="str">
        <f t="shared" si="3"/>
        <v>EUR28x40F_SYNTH1Y_Quote</v>
      </c>
      <c r="D46" s="129" t="str">
        <f>_xll.qlSimpleQuote(C46,,RateTickValue,Permanent,Trigger,ObjectOverwrite)</f>
        <v>EUR28x40F_SYNTH1Y_Quote#0000</v>
      </c>
      <c r="E46" s="234" t="str">
        <f>_xll.ohRangeRetrieveError(D46)</f>
        <v/>
      </c>
      <c r="F46" s="217"/>
      <c r="R46" s="551">
        <v>28</v>
      </c>
      <c r="S46" s="553" t="str">
        <f t="shared" si="2"/>
        <v>28x40F</v>
      </c>
      <c r="T46" s="582" t="e">
        <f>[2]Calculation!$N$8</f>
        <v>#NUM!</v>
      </c>
      <c r="U46" s="549" t="s">
        <v>271</v>
      </c>
      <c r="V46" s="554">
        <v>1.3167999999999999E-2</v>
      </c>
      <c r="W46" s="549"/>
      <c r="X46" s="573">
        <v>1.3167999999999999E-2</v>
      </c>
      <c r="Y46" s="552" t="e">
        <f>_xll.qlSimpleQuoteSetValue(D46,ROUND(X46,6),EvaluationDate)</f>
        <v>#N/A</v>
      </c>
      <c r="Z46" s="546"/>
    </row>
    <row r="47" spans="1:26" x14ac:dyDescent="0.2">
      <c r="A47" s="122">
        <v>29</v>
      </c>
      <c r="B47" s="228" t="str">
        <f t="shared" si="1"/>
        <v>29x41F</v>
      </c>
      <c r="C47" s="129" t="str">
        <f t="shared" si="3"/>
        <v>EUR29x41F_SYNTH1Y_Quote</v>
      </c>
      <c r="D47" s="129" t="str">
        <f>_xll.qlSimpleQuote(C47,,RateTickValue,Permanent,Trigger,ObjectOverwrite)</f>
        <v>EUR29x41F_SYNTH1Y_Quote#0000</v>
      </c>
      <c r="E47" s="234" t="str">
        <f>_xll.ohRangeRetrieveError(D47)</f>
        <v/>
      </c>
      <c r="F47" s="217"/>
      <c r="R47" s="551">
        <v>29</v>
      </c>
      <c r="S47" s="553" t="str">
        <f t="shared" si="2"/>
        <v>29x41F</v>
      </c>
      <c r="T47" s="582" t="e">
        <f>[2]Calculation!$N$8</f>
        <v>#NUM!</v>
      </c>
      <c r="U47" s="549" t="s">
        <v>271</v>
      </c>
      <c r="V47" s="554">
        <v>1.3656E-2</v>
      </c>
      <c r="W47" s="549"/>
      <c r="X47" s="573">
        <v>1.3656E-2</v>
      </c>
      <c r="Y47" s="552" t="e">
        <f>_xll.qlSimpleQuoteSetValue(D47,ROUND(X47,6),EvaluationDate)</f>
        <v>#N/A</v>
      </c>
      <c r="Z47" s="546"/>
    </row>
    <row r="48" spans="1:26" x14ac:dyDescent="0.2">
      <c r="A48" s="122">
        <v>30</v>
      </c>
      <c r="B48" s="228" t="str">
        <f t="shared" si="1"/>
        <v>30x42F</v>
      </c>
      <c r="C48" s="129" t="str">
        <f t="shared" si="3"/>
        <v>EUR30x42F_SYNTH1Y_Quote</v>
      </c>
      <c r="D48" s="129" t="str">
        <f>_xll.qlSimpleQuote(C48,,RateTickValue,Permanent,Trigger,ObjectOverwrite)</f>
        <v>EUR30x42F_SYNTH1Y_Quote#0000</v>
      </c>
      <c r="E48" s="234" t="str">
        <f>_xll.ohRangeRetrieveError(D48)</f>
        <v/>
      </c>
      <c r="F48" s="217"/>
      <c r="R48" s="551">
        <v>30</v>
      </c>
      <c r="S48" s="553" t="str">
        <f t="shared" si="2"/>
        <v>30x42F</v>
      </c>
      <c r="T48" s="582" t="e">
        <f>[2]Calculation!$N$8</f>
        <v>#NUM!</v>
      </c>
      <c r="U48" s="549" t="s">
        <v>271</v>
      </c>
      <c r="V48" s="554">
        <v>1.4158E-2</v>
      </c>
      <c r="W48" s="549"/>
      <c r="X48" s="573">
        <v>1.4158E-2</v>
      </c>
      <c r="Y48" s="552" t="e">
        <f>_xll.qlSimpleQuoteSetValue(D48,ROUND(X48,6),EvaluationDate)</f>
        <v>#N/A</v>
      </c>
      <c r="Z48" s="546"/>
    </row>
    <row r="49" spans="1:26" x14ac:dyDescent="0.2">
      <c r="A49" s="122">
        <v>31</v>
      </c>
      <c r="B49" s="228" t="str">
        <f t="shared" si="1"/>
        <v>31x43F</v>
      </c>
      <c r="C49" s="129" t="str">
        <f t="shared" si="3"/>
        <v>EUR31x43F_SYNTH1Y_Quote</v>
      </c>
      <c r="D49" s="129" t="str">
        <f>_xll.qlSimpleQuote(C49,,RateTickValue,Permanent,Trigger,ObjectOverwrite)</f>
        <v>EUR31x43F_SYNTH1Y_Quote#0000</v>
      </c>
      <c r="E49" s="234" t="str">
        <f>_xll.ohRangeRetrieveError(D49)</f>
        <v/>
      </c>
      <c r="F49" s="217"/>
      <c r="R49" s="551">
        <v>31</v>
      </c>
      <c r="S49" s="553" t="str">
        <f t="shared" si="2"/>
        <v>31x43F</v>
      </c>
      <c r="T49" s="582" t="e">
        <f>[2]Calculation!$N$8</f>
        <v>#NUM!</v>
      </c>
      <c r="U49" s="549" t="s">
        <v>271</v>
      </c>
      <c r="V49" s="554">
        <v>1.464E-2</v>
      </c>
      <c r="W49" s="549"/>
      <c r="X49" s="573">
        <v>1.464E-2</v>
      </c>
      <c r="Y49" s="552" t="e">
        <f>_xll.qlSimpleQuoteSetValue(D49,ROUND(X49,6),EvaluationDate)</f>
        <v>#N/A</v>
      </c>
      <c r="Z49" s="546"/>
    </row>
    <row r="50" spans="1:26" x14ac:dyDescent="0.2">
      <c r="A50" s="122">
        <v>32</v>
      </c>
      <c r="B50" s="228" t="str">
        <f t="shared" si="1"/>
        <v>32x44F</v>
      </c>
      <c r="C50" s="129" t="str">
        <f t="shared" si="3"/>
        <v>EUR32x44F_SYNTH1Y_Quote</v>
      </c>
      <c r="D50" s="129" t="str">
        <f>_xll.qlSimpleQuote(C50,,RateTickValue,Permanent,Trigger,ObjectOverwrite)</f>
        <v>EUR32x44F_SYNTH1Y_Quote#0000</v>
      </c>
      <c r="E50" s="234" t="str">
        <f>_xll.ohRangeRetrieveError(D50)</f>
        <v/>
      </c>
      <c r="F50" s="217"/>
      <c r="R50" s="551">
        <v>32</v>
      </c>
      <c r="S50" s="553" t="str">
        <f t="shared" si="2"/>
        <v>32x44F</v>
      </c>
      <c r="T50" s="582" t="e">
        <f>[2]Calculation!$N$8</f>
        <v>#NUM!</v>
      </c>
      <c r="U50" s="549" t="s">
        <v>271</v>
      </c>
      <c r="V50" s="554">
        <v>1.5132E-2</v>
      </c>
      <c r="W50" s="549"/>
      <c r="X50" s="573">
        <v>1.5132E-2</v>
      </c>
      <c r="Y50" s="552" t="e">
        <f>_xll.qlSimpleQuoteSetValue(D50,ROUND(X50,6),EvaluationDate)</f>
        <v>#N/A</v>
      </c>
      <c r="Z50" s="546"/>
    </row>
    <row r="51" spans="1:26" x14ac:dyDescent="0.2">
      <c r="A51" s="122">
        <v>33</v>
      </c>
      <c r="B51" s="228" t="str">
        <f t="shared" si="1"/>
        <v>33x45F</v>
      </c>
      <c r="C51" s="129" t="str">
        <f t="shared" si="3"/>
        <v>EUR33x45F_SYNTH1Y_Quote</v>
      </c>
      <c r="D51" s="129" t="str">
        <f>_xll.qlSimpleQuote(C51,,RateTickValue,Permanent,Trigger,ObjectOverwrite)</f>
        <v>EUR33x45F_SYNTH1Y_Quote#0000</v>
      </c>
      <c r="E51" s="234" t="str">
        <f>_xll.ohRangeRetrieveError(D51)</f>
        <v/>
      </c>
      <c r="F51" s="217"/>
      <c r="R51" s="551">
        <v>33</v>
      </c>
      <c r="S51" s="553" t="str">
        <f t="shared" si="2"/>
        <v>33x45F</v>
      </c>
      <c r="T51" s="582" t="e">
        <f>[2]Calculation!$N$8</f>
        <v>#NUM!</v>
      </c>
      <c r="U51" s="549" t="s">
        <v>271</v>
      </c>
      <c r="V51" s="554">
        <v>1.5635E-2</v>
      </c>
      <c r="W51" s="549"/>
      <c r="X51" s="573">
        <v>1.5635E-2</v>
      </c>
      <c r="Y51" s="552" t="e">
        <f>_xll.qlSimpleQuoteSetValue(D51,ROUND(X51,6),EvaluationDate)</f>
        <v>#N/A</v>
      </c>
      <c r="Z51" s="546"/>
    </row>
    <row r="52" spans="1:26" x14ac:dyDescent="0.2">
      <c r="A52" s="122">
        <v>34</v>
      </c>
      <c r="B52" s="228" t="str">
        <f t="shared" si="1"/>
        <v>34x46F</v>
      </c>
      <c r="C52" s="129" t="str">
        <f t="shared" si="3"/>
        <v>EUR34x46F_SYNTH1Y_Quote</v>
      </c>
      <c r="D52" s="129" t="str">
        <f>_xll.qlSimpleQuote(C52,,RateTickValue,Permanent,Trigger,ObjectOverwrite)</f>
        <v>EUR34x46F_SYNTH1Y_Quote#0000</v>
      </c>
      <c r="E52" s="234" t="str">
        <f>_xll.ohRangeRetrieveError(D52)</f>
        <v/>
      </c>
      <c r="F52" s="217"/>
      <c r="R52" s="551">
        <v>34</v>
      </c>
      <c r="S52" s="553" t="str">
        <f t="shared" si="2"/>
        <v>34x46F</v>
      </c>
      <c r="T52" s="582" t="e">
        <f>[2]Calculation!$N$8</f>
        <v>#NUM!</v>
      </c>
      <c r="U52" s="549" t="s">
        <v>271</v>
      </c>
      <c r="V52" s="554">
        <v>1.6084999999999999E-2</v>
      </c>
      <c r="W52" s="549"/>
      <c r="X52" s="573">
        <v>1.6084999999999999E-2</v>
      </c>
      <c r="Y52" s="552" t="e">
        <f>_xll.qlSimpleQuoteSetValue(D52,ROUND(X52,6),EvaluationDate)</f>
        <v>#N/A</v>
      </c>
      <c r="Z52" s="546"/>
    </row>
    <row r="53" spans="1:26" x14ac:dyDescent="0.2">
      <c r="A53" s="122">
        <v>35</v>
      </c>
      <c r="B53" s="228" t="str">
        <f t="shared" si="1"/>
        <v>35x47F</v>
      </c>
      <c r="C53" s="129" t="str">
        <f t="shared" si="3"/>
        <v>EUR35x47F_SYNTH1Y_Quote</v>
      </c>
      <c r="D53" s="129" t="str">
        <f>_xll.qlSimpleQuote(C53,,RateTickValue,Permanent,Trigger,ObjectOverwrite)</f>
        <v>EUR35x47F_SYNTH1Y_Quote#0000</v>
      </c>
      <c r="E53" s="234" t="str">
        <f>_xll.ohRangeRetrieveError(D53)</f>
        <v/>
      </c>
      <c r="F53" s="217"/>
      <c r="R53" s="551">
        <v>35</v>
      </c>
      <c r="S53" s="548" t="str">
        <f t="shared" si="2"/>
        <v>35x47F</v>
      </c>
      <c r="T53" s="583" t="e">
        <f>[2]Calculation!$N$8</f>
        <v>#NUM!</v>
      </c>
      <c r="U53" s="549" t="s">
        <v>271</v>
      </c>
      <c r="V53" s="550">
        <v>1.6542999999999999E-2</v>
      </c>
      <c r="W53" s="549"/>
      <c r="X53" s="575">
        <v>1.6542999999999999E-2</v>
      </c>
      <c r="Y53" s="547" t="e">
        <f>_xll.qlSimpleQuoteSetValue(D53,ROUND(X53,6),EvaluationDate)</f>
        <v>#N/A</v>
      </c>
      <c r="Z53" s="546"/>
    </row>
    <row r="54" spans="1:26" x14ac:dyDescent="0.2">
      <c r="A54" s="122">
        <v>37</v>
      </c>
      <c r="B54" s="228" t="str">
        <f t="shared" si="1"/>
        <v>37x49F</v>
      </c>
      <c r="C54" s="129" t="str">
        <f t="shared" si="3"/>
        <v>EUR37x49F_SYNTH1Y_Quote</v>
      </c>
      <c r="D54" s="129" t="str">
        <f>_xll.qlSimpleQuote(C54,,RateTickValue,Permanent,Trigger,ObjectOverwrite)</f>
        <v>EUR37x49F_SYNTH1Y_Quote#0000</v>
      </c>
      <c r="E54" s="234" t="str">
        <f>_xll.ohRangeRetrieveError(D54)</f>
        <v/>
      </c>
      <c r="F54" s="217"/>
      <c r="R54" s="551">
        <v>37</v>
      </c>
      <c r="S54" s="553" t="str">
        <f t="shared" si="2"/>
        <v>37x49F</v>
      </c>
      <c r="T54" s="582" t="e">
        <f>[2]Calculation!$N$8</f>
        <v>#NUM!</v>
      </c>
      <c r="U54" s="549" t="s">
        <v>271</v>
      </c>
      <c r="V54" s="554">
        <v>1.7462999999999999E-2</v>
      </c>
      <c r="W54" s="549"/>
      <c r="X54" s="573">
        <v>1.7462999999999999E-2</v>
      </c>
      <c r="Y54" s="552" t="e">
        <f>_xll.qlSimpleQuoteSetValue(D54,ROUND(X54,6),EvaluationDate)</f>
        <v>#N/A</v>
      </c>
      <c r="Z54" s="546"/>
    </row>
    <row r="55" spans="1:26" x14ac:dyDescent="0.2">
      <c r="A55" s="122">
        <v>38</v>
      </c>
      <c r="B55" s="228" t="str">
        <f t="shared" si="1"/>
        <v>38x50F</v>
      </c>
      <c r="C55" s="129" t="str">
        <f t="shared" si="3"/>
        <v>EUR38x50F_SYNTH1Y_Quote</v>
      </c>
      <c r="D55" s="129" t="str">
        <f>_xll.qlSimpleQuote(C55,,RateTickValue,Permanent,Trigger,ObjectOverwrite)</f>
        <v>EUR38x50F_SYNTH1Y_Quote#0000</v>
      </c>
      <c r="E55" s="234" t="str">
        <f>_xll.ohRangeRetrieveError(D55)</f>
        <v/>
      </c>
      <c r="F55" s="217"/>
      <c r="R55" s="551">
        <v>38</v>
      </c>
      <c r="S55" s="553" t="str">
        <f t="shared" si="2"/>
        <v>38x50F</v>
      </c>
      <c r="T55" s="582" t="e">
        <f>[2]Calculation!$N$8</f>
        <v>#NUM!</v>
      </c>
      <c r="U55" s="549" t="s">
        <v>271</v>
      </c>
      <c r="V55" s="554">
        <v>1.7867000000000001E-2</v>
      </c>
      <c r="W55" s="549"/>
      <c r="X55" s="573">
        <v>1.7867000000000001E-2</v>
      </c>
      <c r="Y55" s="552" t="e">
        <f>_xll.qlSimpleQuoteSetValue(D55,ROUND(X55,6),EvaluationDate)</f>
        <v>#N/A</v>
      </c>
      <c r="Z55" s="546"/>
    </row>
    <row r="56" spans="1:26" x14ac:dyDescent="0.2">
      <c r="A56" s="122">
        <v>39</v>
      </c>
      <c r="B56" s="228" t="str">
        <f t="shared" si="1"/>
        <v>39x51F</v>
      </c>
      <c r="C56" s="129" t="str">
        <f t="shared" si="3"/>
        <v>EUR39x51F_SYNTH1Y_Quote</v>
      </c>
      <c r="D56" s="129" t="str">
        <f>_xll.qlSimpleQuote(C56,,RateTickValue,Permanent,Trigger,ObjectOverwrite)</f>
        <v>EUR39x51F_SYNTH1Y_Quote#0000</v>
      </c>
      <c r="E56" s="234" t="str">
        <f>_xll.ohRangeRetrieveError(D56)</f>
        <v/>
      </c>
      <c r="F56" s="217"/>
      <c r="R56" s="551">
        <v>39</v>
      </c>
      <c r="S56" s="553" t="str">
        <f t="shared" si="2"/>
        <v>39x51F</v>
      </c>
      <c r="T56" s="582" t="e">
        <f>[2]Calculation!$N$8</f>
        <v>#NUM!</v>
      </c>
      <c r="U56" s="549" t="s">
        <v>271</v>
      </c>
      <c r="V56" s="554">
        <v>1.8335000000000001E-2</v>
      </c>
      <c r="W56" s="549"/>
      <c r="X56" s="573">
        <v>1.8335000000000001E-2</v>
      </c>
      <c r="Y56" s="552" t="e">
        <f>_xll.qlSimpleQuoteSetValue(D56,ROUND(X56,6),EvaluationDate)</f>
        <v>#N/A</v>
      </c>
      <c r="Z56" s="546"/>
    </row>
    <row r="57" spans="1:26" x14ac:dyDescent="0.2">
      <c r="A57" s="122">
        <v>40</v>
      </c>
      <c r="B57" s="228" t="str">
        <f t="shared" si="1"/>
        <v>40x52F</v>
      </c>
      <c r="C57" s="129" t="str">
        <f t="shared" si="3"/>
        <v>EUR40x52F_SYNTH1Y_Quote</v>
      </c>
      <c r="D57" s="129" t="str">
        <f>_xll.qlSimpleQuote(C57,,RateTickValue,Permanent,Trigger,ObjectOverwrite)</f>
        <v>EUR40x52F_SYNTH1Y_Quote#0000</v>
      </c>
      <c r="E57" s="234" t="str">
        <f>_xll.ohRangeRetrieveError(D57)</f>
        <v/>
      </c>
      <c r="F57" s="217"/>
      <c r="R57" s="551">
        <v>40</v>
      </c>
      <c r="S57" s="553" t="str">
        <f t="shared" si="2"/>
        <v>40x52F</v>
      </c>
      <c r="T57" s="582" t="e">
        <f>[2]Calculation!$N$8</f>
        <v>#NUM!</v>
      </c>
      <c r="U57" s="549" t="s">
        <v>271</v>
      </c>
      <c r="V57" s="554">
        <v>1.8724999999999999E-2</v>
      </c>
      <c r="W57" s="549"/>
      <c r="X57" s="573">
        <v>1.8724999999999999E-2</v>
      </c>
      <c r="Y57" s="552" t="e">
        <f>_xll.qlSimpleQuoteSetValue(D57,ROUND(X57,6),EvaluationDate)</f>
        <v>#N/A</v>
      </c>
      <c r="Z57" s="546"/>
    </row>
    <row r="58" spans="1:26" x14ac:dyDescent="0.2">
      <c r="A58" s="122">
        <v>41</v>
      </c>
      <c r="B58" s="228" t="str">
        <f t="shared" si="1"/>
        <v>41x53F</v>
      </c>
      <c r="C58" s="129" t="str">
        <f t="shared" si="3"/>
        <v>EUR41x53F_SYNTH1Y_Quote</v>
      </c>
      <c r="D58" s="129" t="str">
        <f>_xll.qlSimpleQuote(C58,,RateTickValue,Permanent,Trigger,ObjectOverwrite)</f>
        <v>EUR41x53F_SYNTH1Y_Quote#0000</v>
      </c>
      <c r="E58" s="234" t="str">
        <f>_xll.ohRangeRetrieveError(D58)</f>
        <v/>
      </c>
      <c r="F58" s="217"/>
      <c r="R58" s="551">
        <v>41</v>
      </c>
      <c r="S58" s="553" t="str">
        <f t="shared" si="2"/>
        <v>41x53F</v>
      </c>
      <c r="T58" s="582" t="e">
        <f>[2]Calculation!$N$8</f>
        <v>#NUM!</v>
      </c>
      <c r="U58" s="549" t="s">
        <v>271</v>
      </c>
      <c r="V58" s="554">
        <v>1.915E-2</v>
      </c>
      <c r="W58" s="549"/>
      <c r="X58" s="573">
        <v>1.915E-2</v>
      </c>
      <c r="Y58" s="552" t="e">
        <f>_xll.qlSimpleQuoteSetValue(D58,ROUND(X58,6),EvaluationDate)</f>
        <v>#N/A</v>
      </c>
      <c r="Z58" s="546"/>
    </row>
    <row r="59" spans="1:26" x14ac:dyDescent="0.2">
      <c r="A59" s="122">
        <v>42</v>
      </c>
      <c r="B59" s="228" t="str">
        <f t="shared" si="1"/>
        <v>42x54F</v>
      </c>
      <c r="C59" s="129" t="str">
        <f t="shared" si="3"/>
        <v>EUR42x54F_SYNTH1Y_Quote</v>
      </c>
      <c r="D59" s="129" t="str">
        <f>_xll.qlSimpleQuote(C59,,RateTickValue,Permanent,Trigger,ObjectOverwrite)</f>
        <v>EUR42x54F_SYNTH1Y_Quote#0000</v>
      </c>
      <c r="E59" s="234" t="str">
        <f>_xll.ohRangeRetrieveError(D59)</f>
        <v/>
      </c>
      <c r="F59" s="217"/>
      <c r="R59" s="551">
        <v>42</v>
      </c>
      <c r="S59" s="553" t="str">
        <f t="shared" si="2"/>
        <v>42x54F</v>
      </c>
      <c r="T59" s="582" t="e">
        <f>[2]Calculation!$N$8</f>
        <v>#NUM!</v>
      </c>
      <c r="U59" s="549" t="s">
        <v>271</v>
      </c>
      <c r="V59" s="554">
        <v>1.9581999999999999E-2</v>
      </c>
      <c r="W59" s="549"/>
      <c r="X59" s="573">
        <v>1.9581999999999999E-2</v>
      </c>
      <c r="Y59" s="552" t="e">
        <f>_xll.qlSimpleQuoteSetValue(D59,ROUND(X59,6),EvaluationDate)</f>
        <v>#N/A</v>
      </c>
      <c r="Z59" s="546"/>
    </row>
    <row r="60" spans="1:26" x14ac:dyDescent="0.2">
      <c r="A60" s="122">
        <v>43</v>
      </c>
      <c r="B60" s="228" t="str">
        <f t="shared" si="1"/>
        <v>43x55F</v>
      </c>
      <c r="C60" s="129" t="str">
        <f t="shared" si="3"/>
        <v>EUR43x55F_SYNTH1Y_Quote</v>
      </c>
      <c r="D60" s="129" t="str">
        <f>_xll.qlSimpleQuote(C60,,RateTickValue,Permanent,Trigger,ObjectOverwrite)</f>
        <v>EUR43x55F_SYNTH1Y_Quote#0000</v>
      </c>
      <c r="E60" s="234" t="str">
        <f>_xll.ohRangeRetrieveError(D60)</f>
        <v/>
      </c>
      <c r="F60" s="217"/>
      <c r="R60" s="551">
        <v>43</v>
      </c>
      <c r="S60" s="553" t="str">
        <f t="shared" si="2"/>
        <v>43x55F</v>
      </c>
      <c r="T60" s="582" t="e">
        <f>[2]Calculation!$N$8</f>
        <v>#NUM!</v>
      </c>
      <c r="U60" s="549" t="s">
        <v>271</v>
      </c>
      <c r="V60" s="554">
        <v>1.9968E-2</v>
      </c>
      <c r="W60" s="549"/>
      <c r="X60" s="573">
        <v>1.9968E-2</v>
      </c>
      <c r="Y60" s="552" t="e">
        <f>_xll.qlSimpleQuoteSetValue(D60,ROUND(X60,6),EvaluationDate)</f>
        <v>#N/A</v>
      </c>
      <c r="Z60" s="546"/>
    </row>
    <row r="61" spans="1:26" x14ac:dyDescent="0.2">
      <c r="A61" s="122">
        <v>44</v>
      </c>
      <c r="B61" s="228" t="str">
        <f t="shared" si="1"/>
        <v>44x56F</v>
      </c>
      <c r="C61" s="129" t="str">
        <f t="shared" si="3"/>
        <v>EUR44x56F_SYNTH1Y_Quote</v>
      </c>
      <c r="D61" s="129" t="str">
        <f>_xll.qlSimpleQuote(C61,,RateTickValue,Permanent,Trigger,ObjectOverwrite)</f>
        <v>EUR44x56F_SYNTH1Y_Quote#0000</v>
      </c>
      <c r="E61" s="234" t="str">
        <f>_xll.ohRangeRetrieveError(D61)</f>
        <v/>
      </c>
      <c r="F61" s="217"/>
      <c r="R61" s="551">
        <v>44</v>
      </c>
      <c r="S61" s="553" t="str">
        <f t="shared" si="2"/>
        <v>44x56F</v>
      </c>
      <c r="T61" s="582" t="e">
        <f>[2]Calculation!$N$8</f>
        <v>#NUM!</v>
      </c>
      <c r="U61" s="549" t="s">
        <v>271</v>
      </c>
      <c r="V61" s="554">
        <v>2.0389000000000001E-2</v>
      </c>
      <c r="W61" s="549"/>
      <c r="X61" s="573">
        <v>2.0389000000000001E-2</v>
      </c>
      <c r="Y61" s="552" t="e">
        <f>_xll.qlSimpleQuoteSetValue(D61,ROUND(X61,6),EvaluationDate)</f>
        <v>#N/A</v>
      </c>
      <c r="Z61" s="546"/>
    </row>
    <row r="62" spans="1:26" x14ac:dyDescent="0.2">
      <c r="A62" s="122">
        <v>45</v>
      </c>
      <c r="B62" s="228" t="str">
        <f t="shared" si="1"/>
        <v>45x57F</v>
      </c>
      <c r="C62" s="129" t="str">
        <f t="shared" si="3"/>
        <v>EUR45x57F_SYNTH1Y_Quote</v>
      </c>
      <c r="D62" s="129" t="str">
        <f>_xll.qlSimpleQuote(C62,,RateTickValue,Permanent,Trigger,ObjectOverwrite)</f>
        <v>EUR45x57F_SYNTH1Y_Quote#0000</v>
      </c>
      <c r="E62" s="234" t="str">
        <f>_xll.ohRangeRetrieveError(D62)</f>
        <v/>
      </c>
      <c r="F62" s="217"/>
      <c r="R62" s="551">
        <v>45</v>
      </c>
      <c r="S62" s="553" t="str">
        <f t="shared" si="2"/>
        <v>45x57F</v>
      </c>
      <c r="T62" s="582" t="e">
        <f>[2]Calculation!$N$8</f>
        <v>#NUM!</v>
      </c>
      <c r="U62" s="549" t="s">
        <v>271</v>
      </c>
      <c r="V62" s="554">
        <v>2.0778999999999999E-2</v>
      </c>
      <c r="W62" s="549"/>
      <c r="X62" s="573">
        <v>2.0778999999999999E-2</v>
      </c>
      <c r="Y62" s="552" t="e">
        <f>_xll.qlSimpleQuoteSetValue(D62,ROUND(X62,6),EvaluationDate)</f>
        <v>#N/A</v>
      </c>
      <c r="Z62" s="546"/>
    </row>
    <row r="63" spans="1:26" x14ac:dyDescent="0.2">
      <c r="A63" s="122">
        <v>46</v>
      </c>
      <c r="B63" s="228" t="str">
        <f t="shared" si="1"/>
        <v>46x58F</v>
      </c>
      <c r="C63" s="129" t="str">
        <f t="shared" si="3"/>
        <v>EUR46x58F_SYNTH1Y_Quote</v>
      </c>
      <c r="D63" s="129" t="str">
        <f>_xll.qlSimpleQuote(C63,,RateTickValue,Permanent,Trigger,ObjectOverwrite)</f>
        <v>EUR46x58F_SYNTH1Y_Quote#0000</v>
      </c>
      <c r="E63" s="234" t="str">
        <f>_xll.ohRangeRetrieveError(D63)</f>
        <v/>
      </c>
      <c r="F63" s="217"/>
      <c r="R63" s="551">
        <v>46</v>
      </c>
      <c r="S63" s="553" t="str">
        <f t="shared" si="2"/>
        <v>46x58F</v>
      </c>
      <c r="T63" s="582" t="e">
        <f>[2]Calculation!$N$8</f>
        <v>#NUM!</v>
      </c>
      <c r="U63" s="549" t="s">
        <v>271</v>
      </c>
      <c r="V63" s="554">
        <v>2.1166000000000001E-2</v>
      </c>
      <c r="W63" s="549"/>
      <c r="X63" s="573">
        <v>2.1166000000000001E-2</v>
      </c>
      <c r="Y63" s="552" t="e">
        <f>_xll.qlSimpleQuoteSetValue(D63,ROUND(X63,6),EvaluationDate)</f>
        <v>#N/A</v>
      </c>
      <c r="Z63" s="546"/>
    </row>
    <row r="64" spans="1:26" x14ac:dyDescent="0.2">
      <c r="A64" s="122">
        <v>47</v>
      </c>
      <c r="B64" s="231" t="str">
        <f t="shared" si="1"/>
        <v>47x59F</v>
      </c>
      <c r="C64" s="118" t="str">
        <f t="shared" si="3"/>
        <v>EUR47x59F_SYNTH1Y_Quote</v>
      </c>
      <c r="D64" s="118" t="str">
        <f>_xll.qlSimpleQuote(C64,,RateTickValue,Permanent,Trigger,ObjectOverwrite)</f>
        <v>EUR47x59F_SYNTH1Y_Quote#0000</v>
      </c>
      <c r="E64" s="230" t="str">
        <f>_xll.ohRangeRetrieveError(D64)</f>
        <v/>
      </c>
      <c r="F64" s="217"/>
      <c r="R64" s="551">
        <v>47</v>
      </c>
      <c r="S64" s="548" t="str">
        <f t="shared" si="2"/>
        <v>47x59F</v>
      </c>
      <c r="T64" s="583" t="e">
        <f>[2]Calculation!$N$8</f>
        <v>#NUM!</v>
      </c>
      <c r="U64" s="549" t="s">
        <v>271</v>
      </c>
      <c r="V64" s="550">
        <v>2.1562999999999999E-2</v>
      </c>
      <c r="W64" s="549"/>
      <c r="X64" s="575">
        <v>2.1562999999999999E-2</v>
      </c>
      <c r="Y64" s="547" t="e">
        <f>_xll.qlSimpleQuoteSetValue(D64,ROUND(X64,6),EvaluationDate)</f>
        <v>#N/A</v>
      </c>
      <c r="Z64" s="546"/>
    </row>
    <row r="65" spans="1:26" ht="12" thickBot="1" x14ac:dyDescent="0.25">
      <c r="A65" s="48"/>
      <c r="B65" s="47"/>
      <c r="C65" s="47"/>
      <c r="D65" s="47"/>
      <c r="E65" s="47"/>
      <c r="F65" s="46"/>
      <c r="R65" s="545"/>
      <c r="S65" s="544"/>
      <c r="T65" s="544"/>
      <c r="U65" s="544"/>
      <c r="V65" s="544"/>
      <c r="W65" s="544"/>
      <c r="X65" s="544"/>
      <c r="Y65" s="544"/>
      <c r="Z65" s="543"/>
    </row>
  </sheetData>
  <pageMargins left="0.75" right="0.75" top="1" bottom="1" header="0.5" footer="0.5"/>
  <pageSetup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t="e">
        <f ca="1">IF(Serialize,_xll.ohObjectSave(K3:K36,SerializationPath&amp;J2,FileOverwrite,Serialize),"---")</f>
        <v>#NUM!</v>
      </c>
      <c r="L2" s="239" t="e">
        <f ca="1">_xll.ohRangeRetrieveError(K2)</f>
        <v>#NUM!</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e">
        <f>_xll.qlForwardSwapQuote(J4,I4,H4,E4,Permanent,Trigger,ObjectOverwrite)</f>
        <v>#NUM!</v>
      </c>
      <c r="L4" s="239" t="e">
        <f ca="1">_xll.ohRangeRetrieveError(K4)</f>
        <v>#NUM!</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e">
        <f>_xll.qlForwardSwapQuote(J5,I5,H5,E5,Permanent,Trigger,ObjectOverwrite)</f>
        <v>#NUM!</v>
      </c>
      <c r="L5" s="239" t="e">
        <f ca="1">_xll.ohRangeRetrieveError(K5)</f>
        <v>#NUM!</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e">
        <f>_xll.qlForwardSwapQuote(J6,I6,H6,E6,Permanent,Trigger,ObjectOverwrite)</f>
        <v>#NUM!</v>
      </c>
      <c r="L6" s="239" t="e">
        <f ca="1">_xll.ohRangeRetrieveError(K6)</f>
        <v>#NUM!</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e">
        <f>_xll.qlForwardSwapQuote(J7,I7,H7,E7,Permanent,Trigger,ObjectOverwrite)</f>
        <v>#NUM!</v>
      </c>
      <c r="L7" s="239" t="e">
        <f ca="1">_xll.ohRangeRetrieveError(K7)</f>
        <v>#NUM!</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e">
        <f>_xll.qlForwardSwapQuote(J8,I8,H8,E8,Permanent,Trigger,ObjectOverwrite)</f>
        <v>#NUM!</v>
      </c>
      <c r="L8" s="239" t="e">
        <f ca="1">_xll.ohRangeRetrieveError(K8)</f>
        <v>#NUM!</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e">
        <f>_xll.qlForwardSwapQuote(J9,I9,H9,E9,Permanent,Trigger,ObjectOverwrite)</f>
        <v>#NUM!</v>
      </c>
      <c r="L9" s="239" t="e">
        <f ca="1">_xll.ohRangeRetrieveError(K9)</f>
        <v>#NUM!</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e">
        <f>_xll.qlForwardSwapQuote(J10,I10,H10,E10,Permanent,Trigger,ObjectOverwrite)</f>
        <v>#NUM!</v>
      </c>
      <c r="L10" s="239" t="e">
        <f ca="1">_xll.ohRangeRetrieveError(K10)</f>
        <v>#NUM!</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e">
        <f>_xll.qlForwardSwapQuote(J11,I11,H11,E11,Permanent,Trigger,ObjectOverwrite)</f>
        <v>#NUM!</v>
      </c>
      <c r="L11" s="239" t="e">
        <f ca="1">_xll.ohRangeRetrieveError(K11)</f>
        <v>#NUM!</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e">
        <f>_xll.qlForwardSwapQuote(J12,I12,H12,E12,Permanent,Trigger,ObjectOverwrite)</f>
        <v>#NUM!</v>
      </c>
      <c r="L12" s="239" t="e">
        <f ca="1">_xll.ohRangeRetrieveError(K12)</f>
        <v>#NUM!</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e">
        <f>_xll.qlForwardSwapQuote(J13,I13,H13,E13,Permanent,Trigger,ObjectOverwrite)</f>
        <v>#NUM!</v>
      </c>
      <c r="L13" s="239" t="e">
        <f ca="1">_xll.ohRangeRetrieveError(K13)</f>
        <v>#NUM!</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e">
        <f>_xll.qlForwardSwapQuote(J14,I14,H14,E14,Permanent,Trigger,ObjectOverwrite)</f>
        <v>#NUM!</v>
      </c>
      <c r="L14" s="239" t="e">
        <f ca="1">_xll.ohRangeRetrieveError(K14)</f>
        <v>#NUM!</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e">
        <f>_xll.qlForwardSwapQuote(J15,I15,H15,E15,Permanent,Trigger,ObjectOverwrite)</f>
        <v>#NUM!</v>
      </c>
      <c r="L15" s="239" t="e">
        <f ca="1">_xll.ohRangeRetrieveError(K15)</f>
        <v>#NUM!</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e">
        <f>_xll.qlForwardSwapQuote(J16,I16,H16,E16,Permanent,Trigger,ObjectOverwrite)</f>
        <v>#NUM!</v>
      </c>
      <c r="L16" s="239" t="e">
        <f ca="1">_xll.ohRangeRetrieveError(K16)</f>
        <v>#NUM!</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e">
        <f>_xll.qlForwardSwapQuote(J17,I17,H17,E17,Permanent,Trigger,ObjectOverwrite)</f>
        <v>#NUM!</v>
      </c>
      <c r="L17" s="239" t="e">
        <f ca="1">_xll.ohRangeRetrieveError(K17)</f>
        <v>#NUM!</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e">
        <f>_xll.qlForwardSwapQuote(J18,I18,H18,E18,Permanent,Trigger,ObjectOverwrite)</f>
        <v>#NUM!</v>
      </c>
      <c r="L18" s="239" t="e">
        <f ca="1">_xll.ohRangeRetrieveError(K18)</f>
        <v>#NUM!</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e">
        <f>_xll.qlForwardSwapQuote(J19,I19,H19,E19,Permanent,Trigger,ObjectOverwrite)</f>
        <v>#NUM!</v>
      </c>
      <c r="L19" s="239" t="e">
        <f ca="1">_xll.ohRangeRetrieveError(K19)</f>
        <v>#NUM!</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e">
        <f>_xll.qlForwardSwapQuote(J20,I20,H20,E20,Permanent,Trigger,ObjectOverwrite)</f>
        <v>#NUM!</v>
      </c>
      <c r="L20" s="239" t="e">
        <f ca="1">_xll.ohRangeRetrieveError(K20)</f>
        <v>#NUM!</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e">
        <f>_xll.qlForwardSwapQuote(J21,I21,H21,E21,Permanent,Trigger,ObjectOverwrite)</f>
        <v>#NUM!</v>
      </c>
      <c r="L21" s="239" t="e">
        <f ca="1">_xll.ohRangeRetrieveError(K21)</f>
        <v>#NUM!</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e">
        <f>_xll.qlForwardSwapQuote(J22,I22,H22,E22,Permanent,Trigger,ObjectOverwrite)</f>
        <v>#NUM!</v>
      </c>
      <c r="L22" s="239" t="e">
        <f ca="1">_xll.ohRangeRetrieveError(K22)</f>
        <v>#NUM!</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e">
        <f>_xll.qlForwardSwapQuote(J23,I23,H23,E23,Permanent,Trigger,ObjectOverwrite)</f>
        <v>#NUM!</v>
      </c>
      <c r="L23" s="239" t="e">
        <f ca="1">_xll.ohRangeRetrieveError(K23)</f>
        <v>#NUM!</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e">
        <f>_xll.qlForwardSwapQuote(J24,I24,H24,E24,Permanent,Trigger,ObjectOverwrite)</f>
        <v>#NUM!</v>
      </c>
      <c r="L24" s="239" t="e">
        <f ca="1">_xll.ohRangeRetrieveError(K24)</f>
        <v>#NUM!</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e">
        <f>_xll.qlForwardSwapQuote(J25,I25,H25,E25,Permanent,Trigger,ObjectOverwrite)</f>
        <v>#NUM!</v>
      </c>
      <c r="L25" s="239" t="e">
        <f ca="1">_xll.ohRangeRetrieveError(K25)</f>
        <v>#NUM!</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e">
        <f>_xll.qlForwardSwapQuote(J26,I26,H26,E26,Permanent,Trigger,ObjectOverwrite)</f>
        <v>#NUM!</v>
      </c>
      <c r="L26" s="239" t="e">
        <f ca="1">_xll.ohRangeRetrieveError(K26)</f>
        <v>#NUM!</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e">
        <f>_xll.qlForwardSwapQuote(J27,I27,H27,E27,Permanent,Trigger,ObjectOverwrite)</f>
        <v>#NUM!</v>
      </c>
      <c r="L27" s="239" t="e">
        <f ca="1">_xll.ohRangeRetrieveError(K27)</f>
        <v>#NUM!</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e">
        <f>_xll.qlForwardSwapQuote(J28,I28,H28,E28,Permanent,Trigger,ObjectOverwrite)</f>
        <v>#NUM!</v>
      </c>
      <c r="L28" s="239" t="e">
        <f ca="1">_xll.ohRangeRetrieveError(K28)</f>
        <v>#NUM!</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e">
        <f>_xll.qlForwardSwapQuote(J29,I29,H29,E29,Permanent,Trigger,ObjectOverwrite)</f>
        <v>#NUM!</v>
      </c>
      <c r="L29" s="239" t="e">
        <f ca="1">_xll.ohRangeRetrieveError(K29)</f>
        <v>#NUM!</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e">
        <f>_xll.qlForwardSwapQuote(J30,I30,H30,E30,Permanent,Trigger,ObjectOverwrite)</f>
        <v>#NUM!</v>
      </c>
      <c r="L30" s="239" t="e">
        <f ca="1">_xll.ohRangeRetrieveError(K30)</f>
        <v>#NUM!</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e">
        <f>_xll.qlForwardSwapQuote(J31,I31,H31,E31,Permanent,Trigger,ObjectOverwrite)</f>
        <v>#NUM!</v>
      </c>
      <c r="L31" s="239" t="e">
        <f ca="1">_xll.ohRangeRetrieveError(K31)</f>
        <v>#NUM!</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e">
        <f>_xll.qlForwardSwapQuote(J32,I32,H32,E32,Permanent,Trigger,ObjectOverwrite)</f>
        <v>#NUM!</v>
      </c>
      <c r="L32" s="239" t="e">
        <f ca="1">_xll.ohRangeRetrieveError(K32)</f>
        <v>#NUM!</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e">
        <f>_xll.qlForwardSwapQuote(J33,I33,H33,E33,Permanent,Trigger,ObjectOverwrite)</f>
        <v>#NUM!</v>
      </c>
      <c r="L33" s="239" t="e">
        <f ca="1">_xll.ohRangeRetrieveError(K33)</f>
        <v>#NUM!</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e">
        <f>_xll.qlForwardSwapQuote(J34,I34,H34,E34,Permanent,Trigger,ObjectOverwrite)</f>
        <v>#NUM!</v>
      </c>
      <c r="L34" s="239" t="e">
        <f ca="1">_xll.ohRangeRetrieveError(K34)</f>
        <v>#NUM!</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e">
        <f>_xll.qlForwardSwapQuote(J35,I35,H35,E35,Permanent,Trigger,ObjectOverwrite)</f>
        <v>#NUM!</v>
      </c>
      <c r="L35" s="239" t="e">
        <f ca="1">_xll.ohRangeRetrieveError(K35)</f>
        <v>#NUM!</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e">
        <f>_xll.qlForwardSwapQuote(J36,I36,H36,E36,Permanent,Trigger,ObjectOverwrite)</f>
        <v>#NUM!</v>
      </c>
      <c r="L36" s="7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e">
        <f>_xll.qlForwardSwapQuote(J4,I4,H4,E4,Permanent,Trigger,ObjectOverwrite)</f>
        <v>#NUM!</v>
      </c>
      <c r="L4" s="245" t="e">
        <f ca="1">_xll.ohRangeRetrieveError(K4)</f>
        <v>#NUM!</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e">
        <f>_xll.qlForwardSwapQuote(J5,I5,H5,E5,Permanent,Trigger,ObjectOverwrite)</f>
        <v>#NUM!</v>
      </c>
      <c r="L5" s="245" t="e">
        <f ca="1">_xll.ohRangeRetrieveError(K5)</f>
        <v>#NUM!</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e">
        <f>_xll.qlForwardSwapQuote(J6,I6,H6,E6,Permanent,Trigger,ObjectOverwrite)</f>
        <v>#NUM!</v>
      </c>
      <c r="L6" s="245" t="e">
        <f ca="1">_xll.ohRangeRetrieveError(K6)</f>
        <v>#NUM!</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e">
        <f>_xll.qlForwardSwapQuote(J7,I7,H7,E7,Permanent,Trigger,ObjectOverwrite)</f>
        <v>#NUM!</v>
      </c>
      <c r="L7" s="245" t="e">
        <f ca="1">_xll.ohRangeRetrieveError(K7)</f>
        <v>#NUM!</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e">
        <f>_xll.qlForwardSwapQuote(J8,I8,H8,E8,Permanent,Trigger,ObjectOverwrite)</f>
        <v>#NUM!</v>
      </c>
      <c r="L8" s="245" t="e">
        <f ca="1">_xll.ohRangeRetrieveError(K8)</f>
        <v>#NUM!</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e">
        <f>_xll.qlForwardSwapQuote(J9,I9,H9,E9,Permanent,Trigger,ObjectOverwrite)</f>
        <v>#NUM!</v>
      </c>
      <c r="L9" s="245" t="e">
        <f ca="1">_xll.ohRangeRetrieveError(K9)</f>
        <v>#NUM!</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e">
        <f>_xll.qlForwardSwapQuote(J10,I10,H10,E10,Permanent,Trigger,ObjectOverwrite)</f>
        <v>#NUM!</v>
      </c>
      <c r="L10" s="245" t="e">
        <f ca="1">_xll.ohRangeRetrieveError(K10)</f>
        <v>#NUM!</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e">
        <f>_xll.qlForwardSwapQuote(J11,I11,H11,E11,Permanent,Trigger,ObjectOverwrite)</f>
        <v>#NUM!</v>
      </c>
      <c r="L11" s="245" t="e">
        <f ca="1">_xll.ohRangeRetrieveError(K11)</f>
        <v>#NUM!</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e">
        <f>_xll.qlForwardSwapQuote(J12,I12,H12,E12,Permanent,Trigger,ObjectOverwrite)</f>
        <v>#NUM!</v>
      </c>
      <c r="L12" s="245" t="e">
        <f ca="1">_xll.ohRangeRetrieveError(K12)</f>
        <v>#NUM!</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e">
        <f>_xll.qlForwardSwapQuote(J13,I13,H13,E13,Permanent,Trigger,ObjectOverwrite)</f>
        <v>#NUM!</v>
      </c>
      <c r="L13" s="245" t="e">
        <f ca="1">_xll.ohRangeRetrieveError(K13)</f>
        <v>#NUM!</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e">
        <f>_xll.qlForwardSwapQuote(J14,I14,H14,E14,Permanent,Trigger,ObjectOverwrite)</f>
        <v>#NUM!</v>
      </c>
      <c r="L14" s="245" t="e">
        <f ca="1">_xll.ohRangeRetrieveError(K14)</f>
        <v>#NUM!</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e">
        <f>_xll.qlForwardSwapQuote(J15,I15,H15,E15,Permanent,Trigger,ObjectOverwrite)</f>
        <v>#NUM!</v>
      </c>
      <c r="L15" s="245" t="e">
        <f ca="1">_xll.ohRangeRetrieveError(K15)</f>
        <v>#NUM!</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e">
        <f>_xll.qlForwardSwapQuote(J16,I16,H16,E16,Permanent,Trigger,ObjectOverwrite)</f>
        <v>#NUM!</v>
      </c>
      <c r="L16" s="245" t="e">
        <f ca="1">_xll.ohRangeRetrieveError(K16)</f>
        <v>#NUM!</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e">
        <f>_xll.qlForwardSwapQuote(J17,I17,H17,E17,Permanent,Trigger,ObjectOverwrite)</f>
        <v>#NUM!</v>
      </c>
      <c r="L17" s="245" t="e">
        <f ca="1">_xll.ohRangeRetrieveError(K17)</f>
        <v>#NUM!</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e">
        <f>_xll.qlForwardSwapQuote(J18,I18,H18,E18,Permanent,Trigger,ObjectOverwrite)</f>
        <v>#NUM!</v>
      </c>
      <c r="L18" s="245" t="e">
        <f ca="1">_xll.ohRangeRetrieveError(K18)</f>
        <v>#NUM!</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e">
        <f>_xll.qlForwardSwapQuote(J19,I19,H19,E19,Permanent,Trigger,ObjectOverwrite)</f>
        <v>#NUM!</v>
      </c>
      <c r="L19" s="245" t="e">
        <f ca="1">_xll.ohRangeRetrieveError(K19)</f>
        <v>#NUM!</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e">
        <f>_xll.qlForwardSwapQuote(J20,I20,H20,E20,Permanent,Trigger,ObjectOverwrite)</f>
        <v>#NUM!</v>
      </c>
      <c r="L20" s="245" t="e">
        <f ca="1">_xll.ohRangeRetrieveError(K20)</f>
        <v>#NUM!</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e">
        <f>_xll.qlForwardSwapQuote(J21,I21,H21,E21,Permanent,Trigger,ObjectOverwrite)</f>
        <v>#NUM!</v>
      </c>
      <c r="L21" s="245" t="e">
        <f ca="1">_xll.ohRangeRetrieveError(K21)</f>
        <v>#NUM!</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e">
        <f>_xll.qlForwardSwapQuote(J22,I22,H22,E22,Permanent,Trigger,ObjectOverwrite)</f>
        <v>#NUM!</v>
      </c>
      <c r="L22" s="245" t="e">
        <f ca="1">_xll.ohRangeRetrieveError(K22)</f>
        <v>#NUM!</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e">
        <f>_xll.qlForwardSwapQuote(J23,I23,H23,E23,Permanent,Trigger,ObjectOverwrite)</f>
        <v>#NUM!</v>
      </c>
      <c r="L23" s="245" t="e">
        <f ca="1">_xll.ohRangeRetrieveError(K23)</f>
        <v>#NUM!</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e">
        <f>_xll.qlForwardSwapQuote(J24,I24,H24,E24,Permanent,Trigger,ObjectOverwrite)</f>
        <v>#NUM!</v>
      </c>
      <c r="L24" s="245" t="e">
        <f ca="1">_xll.ohRangeRetrieveError(K24)</f>
        <v>#NUM!</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e">
        <f>_xll.qlForwardSwapQuote(J25,I25,H25,E25,Permanent,Trigger,ObjectOverwrite)</f>
        <v>#NUM!</v>
      </c>
      <c r="L25" s="245" t="e">
        <f ca="1">_xll.ohRangeRetrieveError(K25)</f>
        <v>#NUM!</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e">
        <f>_xll.qlForwardSwapQuote(J26,I26,H26,E26,Permanent,Trigger,ObjectOverwrite)</f>
        <v>#NUM!</v>
      </c>
      <c r="L26" s="245" t="e">
        <f ca="1">_xll.ohRangeRetrieveError(K26)</f>
        <v>#NUM!</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e">
        <f>_xll.qlForwardSwapQuote(J27,I27,H27,E27,Permanent,Trigger,ObjectOverwrite)</f>
        <v>#NUM!</v>
      </c>
      <c r="L27" s="245" t="e">
        <f ca="1">_xll.ohRangeRetrieveError(K27)</f>
        <v>#NUM!</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e">
        <f>_xll.qlForwardSwapQuote(J28,I28,H28,E28,Permanent,Trigger,ObjectOverwrite)</f>
        <v>#NUM!</v>
      </c>
      <c r="L28" s="245" t="e">
        <f ca="1">_xll.ohRangeRetrieveError(K28)</f>
        <v>#NUM!</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e">
        <f>_xll.qlForwardSwapQuote(J29,I29,H29,E29,Permanent,Trigger,ObjectOverwrite)</f>
        <v>#NUM!</v>
      </c>
      <c r="L29" s="245" t="e">
        <f ca="1">_xll.ohRangeRetrieveError(K29)</f>
        <v>#NUM!</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e">
        <f>_xll.qlForwardSwapQuote(J30,I30,H30,E30,Permanent,Trigger,ObjectOverwrite)</f>
        <v>#NUM!</v>
      </c>
      <c r="L30" s="245" t="e">
        <f ca="1">_xll.ohRangeRetrieveError(K30)</f>
        <v>#NUM!</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e">
        <f>_xll.qlForwardSwapQuote(J31,I31,H31,E31,Permanent,Trigger,ObjectOverwrite)</f>
        <v>#NUM!</v>
      </c>
      <c r="L31" s="245" t="e">
        <f ca="1">_xll.ohRangeRetrieveError(K31)</f>
        <v>#NUM!</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e">
        <f>_xll.qlForwardSwapQuote(J32,I32,H32,E32,Permanent,Trigger,ObjectOverwrite)</f>
        <v>#NUM!</v>
      </c>
      <c r="L32" s="245" t="e">
        <f ca="1">_xll.ohRangeRetrieveError(K32)</f>
        <v>#NUM!</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e">
        <f>_xll.qlForwardSwapQuote(J33,I33,H33,E33,Permanent,Trigger,ObjectOverwrite)</f>
        <v>#NUM!</v>
      </c>
      <c r="L33" s="245" t="e">
        <f ca="1">_xll.ohRangeRetrieveError(K33)</f>
        <v>#NUM!</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e">
        <f>_xll.qlForwardSwapQuote(J34,I34,H34,E34,Permanent,Trigger,ObjectOverwrite)</f>
        <v>#NUM!</v>
      </c>
      <c r="L34" s="245" t="e">
        <f ca="1">_xll.ohRangeRetrieveError(K34)</f>
        <v>#NUM!</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e">
        <f>_xll.qlForwardSwapQuote(J35,I35,H35,E35,Permanent,Trigger,ObjectOverwrite)</f>
        <v>#NUM!</v>
      </c>
      <c r="L35" s="245" t="e">
        <f ca="1">_xll.ohRangeRetrieveError(K35)</f>
        <v>#NUM!</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e">
        <f>_xll.qlForwardSwapQuote(J36,I36,H36,E36,Permanent,Trigger,ObjectOverwrite)</f>
        <v>#NUM!</v>
      </c>
      <c r="L36" s="245" t="e">
        <f ca="1">_xll.ohRangeRetrieveError(K36)</f>
        <v>#NUM!</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Swap6M!F6</f>
        <v>EURAB6E1Y_Quote#0000</v>
      </c>
      <c r="G3" s="106" t="s">
        <v>207</v>
      </c>
      <c r="H3" s="237" t="str">
        <f>BasisSwap1MxM!F6</f>
        <v>EUR1E6E1Y_Quote#0000</v>
      </c>
      <c r="I3" s="236" t="str">
        <f t="shared" ref="I3:I39" si="0">Currency&amp;$C3&amp;$D3&amp;"BASIS"&amp;$B3&amp;QuoteSuffix</f>
        <v>EURAB1EBASIS1Y_Quote</v>
      </c>
      <c r="J3" s="236" t="str">
        <f>_xll.qlCompositeQuote(I3,F3,H3,G3,Permanent,Trigger,ObjectOverwrite)</f>
        <v>EURAB1EBASIS1Y_Quote#0000</v>
      </c>
      <c r="K3" s="245" t="str">
        <f>_xll.ohRangeRetrieveError(J3)</f>
        <v/>
      </c>
      <c r="L3" s="49"/>
    </row>
    <row r="4" spans="1:12" x14ac:dyDescent="0.2">
      <c r="A4" s="122"/>
      <c r="B4" s="214" t="s">
        <v>127</v>
      </c>
      <c r="C4" s="106" t="s">
        <v>188</v>
      </c>
      <c r="D4" s="106" t="s">
        <v>123</v>
      </c>
      <c r="E4" s="106" t="s">
        <v>122</v>
      </c>
      <c r="F4" s="236" t="str">
        <f>Swap6M!F7</f>
        <v>EURAB6E15M_Quote#0000</v>
      </c>
      <c r="G4" s="106" t="s">
        <v>207</v>
      </c>
      <c r="H4" s="237" t="str">
        <f>BasisSwap1MxM!F7</f>
        <v>EUR1E6E15M_Quote#0000</v>
      </c>
      <c r="I4" s="236" t="str">
        <f t="shared" si="0"/>
        <v>EURAB1EBASIS15M_Quote</v>
      </c>
      <c r="J4" s="236" t="str">
        <f>_xll.qlCompositeQuote(I4,F4,H4,G4,Permanent,Trigger,ObjectOverwrite)</f>
        <v>EURAB1EBASIS15M_Quote#0000</v>
      </c>
      <c r="K4" s="245" t="str">
        <f>_xll.ohRangeRetrieveError(J4)</f>
        <v/>
      </c>
      <c r="L4" s="49"/>
    </row>
    <row r="5" spans="1:12" x14ac:dyDescent="0.2">
      <c r="A5" s="122"/>
      <c r="B5" s="214" t="s">
        <v>126</v>
      </c>
      <c r="C5" s="106" t="s">
        <v>188</v>
      </c>
      <c r="D5" s="106" t="s">
        <v>123</v>
      </c>
      <c r="E5" s="106" t="s">
        <v>122</v>
      </c>
      <c r="F5" s="236" t="str">
        <f>Swap6M!F8</f>
        <v>EURAB6E18M_Quote#0000</v>
      </c>
      <c r="G5" s="106" t="s">
        <v>207</v>
      </c>
      <c r="H5" s="237" t="str">
        <f>BasisSwap1MxM!F8</f>
        <v>EUR1E6E18M_Quote#0000</v>
      </c>
      <c r="I5" s="236" t="str">
        <f t="shared" si="0"/>
        <v>EURAB1EBASIS18M_Quote</v>
      </c>
      <c r="J5" s="236" t="str">
        <f>_xll.qlCompositeQuote(I5,F5,H5,G5,Permanent,Trigger,ObjectOverwrite)</f>
        <v>EURAB1EBASIS18M_Quote#0000</v>
      </c>
      <c r="K5" s="245" t="str">
        <f>_xll.ohRangeRetrieveError(J5)</f>
        <v/>
      </c>
      <c r="L5" s="49"/>
    </row>
    <row r="6" spans="1:12" x14ac:dyDescent="0.2">
      <c r="A6" s="122"/>
      <c r="B6" s="214" t="s">
        <v>125</v>
      </c>
      <c r="C6" s="106" t="s">
        <v>188</v>
      </c>
      <c r="D6" s="106" t="s">
        <v>123</v>
      </c>
      <c r="E6" s="106" t="s">
        <v>122</v>
      </c>
      <c r="F6" s="236" t="str">
        <f>Swap6M!F9</f>
        <v>EURAB6E21M_Quote#0000</v>
      </c>
      <c r="G6" s="106" t="s">
        <v>207</v>
      </c>
      <c r="H6" s="237" t="str">
        <f>BasisSwap1MxM!F9</f>
        <v>EUR1E6E21M_Quote#0000</v>
      </c>
      <c r="I6" s="236" t="str">
        <f t="shared" si="0"/>
        <v>EURAB1EBASIS21M_Quote</v>
      </c>
      <c r="J6" s="236" t="str">
        <f>_xll.qlCompositeQuote(I6,F6,H6,G6,Permanent,Trigger,ObjectOverwrite)</f>
        <v>EURAB1EBASIS21M_Quote#0000</v>
      </c>
      <c r="K6" s="245" t="str">
        <f>_xll.ohRangeRetrieveError(J6)</f>
        <v/>
      </c>
      <c r="L6" s="49"/>
    </row>
    <row r="7" spans="1:12" x14ac:dyDescent="0.2">
      <c r="A7" s="122"/>
      <c r="B7" s="214" t="s">
        <v>102</v>
      </c>
      <c r="C7" s="106" t="s">
        <v>188</v>
      </c>
      <c r="D7" s="106" t="s">
        <v>123</v>
      </c>
      <c r="E7" s="106" t="s">
        <v>122</v>
      </c>
      <c r="F7" s="236" t="str">
        <f>Swap6M!F10</f>
        <v>EURAB6E2Y_Quote#0000</v>
      </c>
      <c r="G7" s="106" t="s">
        <v>207</v>
      </c>
      <c r="H7" s="237" t="str">
        <f>BasisSwap1MxM!F10</f>
        <v>EUR1E6E2Y_Quote#0000</v>
      </c>
      <c r="I7" s="236" t="str">
        <f t="shared" si="0"/>
        <v>EURAB1EBASIS2Y_Quote</v>
      </c>
      <c r="J7" s="236" t="str">
        <f>_xll.qlCompositeQuote(I7,F7,H7,G7,Permanent,Trigger,ObjectOverwrite)</f>
        <v>EURAB1EBASIS2Y_Quote#0000</v>
      </c>
      <c r="K7" s="245" t="str">
        <f>_xll.ohRangeRetrieveError(J7)</f>
        <v/>
      </c>
      <c r="L7" s="49"/>
    </row>
    <row r="8" spans="1:12" x14ac:dyDescent="0.2">
      <c r="A8" s="122"/>
      <c r="B8" s="214" t="s">
        <v>101</v>
      </c>
      <c r="C8" s="106" t="s">
        <v>188</v>
      </c>
      <c r="D8" s="106" t="s">
        <v>123</v>
      </c>
      <c r="E8" s="106" t="s">
        <v>122</v>
      </c>
      <c r="F8" s="236" t="str">
        <f>Swap6M!F11</f>
        <v>EURAB6E3Y_Quote#0000</v>
      </c>
      <c r="G8" s="106" t="s">
        <v>207</v>
      </c>
      <c r="H8" s="237" t="str">
        <f>BasisSwap1MxM!F11</f>
        <v>EUR1E6E3Y_Quote#0000</v>
      </c>
      <c r="I8" s="236" t="str">
        <f t="shared" si="0"/>
        <v>EURAB1EBASIS3Y_Quote</v>
      </c>
      <c r="J8" s="236" t="str">
        <f>_xll.qlCompositeQuote(I8,F8,H8,G8,Permanent,Trigger,ObjectOverwrite)</f>
        <v>EURAB1EBASIS3Y_Quote#0000</v>
      </c>
      <c r="K8" s="245" t="str">
        <f>_xll.ohRangeRetrieveError(J8)</f>
        <v/>
      </c>
      <c r="L8" s="49"/>
    </row>
    <row r="9" spans="1:12" x14ac:dyDescent="0.2">
      <c r="A9" s="122"/>
      <c r="B9" s="214" t="s">
        <v>100</v>
      </c>
      <c r="C9" s="106" t="s">
        <v>188</v>
      </c>
      <c r="D9" s="106" t="s">
        <v>123</v>
      </c>
      <c r="E9" s="106" t="s">
        <v>122</v>
      </c>
      <c r="F9" s="236" t="str">
        <f>Swap6M!F12</f>
        <v>EURAB6E4Y_Quote#0000</v>
      </c>
      <c r="G9" s="106" t="s">
        <v>207</v>
      </c>
      <c r="H9" s="237" t="str">
        <f>BasisSwap1MxM!F12</f>
        <v>EUR1E6E4Y_Quote#0000</v>
      </c>
      <c r="I9" s="236" t="str">
        <f t="shared" si="0"/>
        <v>EURAB1EBASIS4Y_Quote</v>
      </c>
      <c r="J9" s="236" t="str">
        <f>_xll.qlCompositeQuote(I9,F9,H9,G9,Permanent,Trigger,ObjectOverwrite)</f>
        <v>EURAB1EBASIS4Y_Quote#0000</v>
      </c>
      <c r="K9" s="245" t="str">
        <f>_xll.ohRangeRetrieveError(J9)</f>
        <v/>
      </c>
      <c r="L9" s="49"/>
    </row>
    <row r="10" spans="1:12" x14ac:dyDescent="0.2">
      <c r="A10" s="122"/>
      <c r="B10" s="214" t="s">
        <v>99</v>
      </c>
      <c r="C10" s="106" t="s">
        <v>188</v>
      </c>
      <c r="D10" s="106" t="s">
        <v>123</v>
      </c>
      <c r="E10" s="106" t="s">
        <v>122</v>
      </c>
      <c r="F10" s="236" t="str">
        <f>Swap6M!F13</f>
        <v>EURAB6E5Y_Quote#0000</v>
      </c>
      <c r="G10" s="106" t="s">
        <v>207</v>
      </c>
      <c r="H10" s="237" t="str">
        <f>BasisSwap1MxM!F13</f>
        <v>EUR1E6E5Y_Quote#0000</v>
      </c>
      <c r="I10" s="236" t="str">
        <f t="shared" si="0"/>
        <v>EURAB1EBASIS5Y_Quote</v>
      </c>
      <c r="J10" s="236" t="str">
        <f>_xll.qlCompositeQuote(I10,F10,H10,G10,Permanent,Trigger,ObjectOverwrite)</f>
        <v>EURAB1EBASIS5Y_Quote#0000</v>
      </c>
      <c r="K10" s="245" t="str">
        <f>_xll.ohRangeRetrieveError(J10)</f>
        <v/>
      </c>
      <c r="L10" s="49"/>
    </row>
    <row r="11" spans="1:12" x14ac:dyDescent="0.2">
      <c r="A11" s="122"/>
      <c r="B11" s="214" t="s">
        <v>98</v>
      </c>
      <c r="C11" s="106" t="s">
        <v>188</v>
      </c>
      <c r="D11" s="106" t="s">
        <v>123</v>
      </c>
      <c r="E11" s="106" t="s">
        <v>122</v>
      </c>
      <c r="F11" s="236" t="str">
        <f>Swap6M!F14</f>
        <v>EURAB6E6Y_Quote#0000</v>
      </c>
      <c r="G11" s="106" t="s">
        <v>207</v>
      </c>
      <c r="H11" s="237" t="str">
        <f>BasisSwap1MxM!F14</f>
        <v>EUR1E6E6Y_Quote#0000</v>
      </c>
      <c r="I11" s="236" t="str">
        <f t="shared" si="0"/>
        <v>EURAB1EBASIS6Y_Quote</v>
      </c>
      <c r="J11" s="236" t="str">
        <f>_xll.qlCompositeQuote(I11,F11,H11,G11,Permanent,Trigger,ObjectOverwrite)</f>
        <v>EURAB1EBASIS6Y_Quote#0000</v>
      </c>
      <c r="K11" s="245" t="str">
        <f>_xll.ohRangeRetrieveError(J11)</f>
        <v/>
      </c>
      <c r="L11" s="49"/>
    </row>
    <row r="12" spans="1:12" x14ac:dyDescent="0.2">
      <c r="A12" s="122"/>
      <c r="B12" s="214" t="s">
        <v>97</v>
      </c>
      <c r="C12" s="106" t="s">
        <v>188</v>
      </c>
      <c r="D12" s="106" t="s">
        <v>123</v>
      </c>
      <c r="E12" s="106" t="s">
        <v>122</v>
      </c>
      <c r="F12" s="236" t="str">
        <f>Swap6M!F15</f>
        <v>EURAB6E7Y_Quote#0000</v>
      </c>
      <c r="G12" s="106" t="s">
        <v>207</v>
      </c>
      <c r="H12" s="237" t="str">
        <f>BasisSwap1MxM!F15</f>
        <v>EUR1E6E7Y_Quote#0000</v>
      </c>
      <c r="I12" s="236" t="str">
        <f t="shared" si="0"/>
        <v>EURAB1EBASIS7Y_Quote</v>
      </c>
      <c r="J12" s="236" t="str">
        <f>_xll.qlCompositeQuote(I12,F12,H12,G12,Permanent,Trigger,ObjectOverwrite)</f>
        <v>EURAB1EBASIS7Y_Quote#0000</v>
      </c>
      <c r="K12" s="245" t="str">
        <f>_xll.ohRangeRetrieveError(J12)</f>
        <v/>
      </c>
      <c r="L12" s="49"/>
    </row>
    <row r="13" spans="1:12" x14ac:dyDescent="0.2">
      <c r="A13" s="122"/>
      <c r="B13" s="214" t="s">
        <v>96</v>
      </c>
      <c r="C13" s="106" t="s">
        <v>188</v>
      </c>
      <c r="D13" s="106" t="s">
        <v>123</v>
      </c>
      <c r="E13" s="106" t="s">
        <v>122</v>
      </c>
      <c r="F13" s="236" t="str">
        <f>Swap6M!F16</f>
        <v>EURAB6E8Y_Quote#0000</v>
      </c>
      <c r="G13" s="106" t="s">
        <v>207</v>
      </c>
      <c r="H13" s="237" t="str">
        <f>BasisSwap1MxM!F16</f>
        <v>EUR1E6E8Y_Quote#0000</v>
      </c>
      <c r="I13" s="236" t="str">
        <f t="shared" si="0"/>
        <v>EURAB1EBASIS8Y_Quote</v>
      </c>
      <c r="J13" s="236" t="str">
        <f>_xll.qlCompositeQuote(I13,F13,H13,G13,Permanent,Trigger,ObjectOverwrite)</f>
        <v>EURAB1EBASIS8Y_Quote#0000</v>
      </c>
      <c r="K13" s="245" t="str">
        <f>_xll.ohRangeRetrieveError(J13)</f>
        <v/>
      </c>
      <c r="L13" s="49"/>
    </row>
    <row r="14" spans="1:12" x14ac:dyDescent="0.2">
      <c r="A14" s="122"/>
      <c r="B14" s="214" t="s">
        <v>95</v>
      </c>
      <c r="C14" s="106" t="s">
        <v>188</v>
      </c>
      <c r="D14" s="106" t="s">
        <v>123</v>
      </c>
      <c r="E14" s="106" t="s">
        <v>122</v>
      </c>
      <c r="F14" s="236" t="str">
        <f>Swap6M!F17</f>
        <v>EURAB6E9Y_Quote#0000</v>
      </c>
      <c r="G14" s="106" t="s">
        <v>207</v>
      </c>
      <c r="H14" s="237" t="str">
        <f>BasisSwap1MxM!F17</f>
        <v>EUR1E6E9Y_Quote#0000</v>
      </c>
      <c r="I14" s="236" t="str">
        <f t="shared" si="0"/>
        <v>EURAB1EBASIS9Y_Quote</v>
      </c>
      <c r="J14" s="236" t="str">
        <f>_xll.qlCompositeQuote(I14,F14,H14,G14,Permanent,Trigger,ObjectOverwrite)</f>
        <v>EURAB1EBASIS9Y_Quote#0000</v>
      </c>
      <c r="K14" s="245" t="str">
        <f>_xll.ohRangeRetrieveError(J14)</f>
        <v/>
      </c>
      <c r="L14" s="49"/>
    </row>
    <row r="15" spans="1:12" x14ac:dyDescent="0.2">
      <c r="A15" s="122"/>
      <c r="B15" s="214" t="s">
        <v>94</v>
      </c>
      <c r="C15" s="106" t="s">
        <v>188</v>
      </c>
      <c r="D15" s="106" t="s">
        <v>123</v>
      </c>
      <c r="E15" s="106" t="s">
        <v>122</v>
      </c>
      <c r="F15" s="236" t="str">
        <f>Swap6M!F18</f>
        <v>EURAB6E10Y_Quote#0000</v>
      </c>
      <c r="G15" s="106" t="s">
        <v>207</v>
      </c>
      <c r="H15" s="237" t="str">
        <f>BasisSwap1MxM!F18</f>
        <v>EUR1E6E10Y_Quote#0000</v>
      </c>
      <c r="I15" s="236" t="str">
        <f t="shared" si="0"/>
        <v>EURAB1EBASIS10Y_Quote</v>
      </c>
      <c r="J15" s="236" t="str">
        <f>_xll.qlCompositeQuote(I15,F15,H15,G15,Permanent,Trigger,ObjectOverwrite)</f>
        <v>EURAB1EBASIS10Y_Quote#0000</v>
      </c>
      <c r="K15" s="245" t="str">
        <f>_xll.ohRangeRetrieveError(J15)</f>
        <v/>
      </c>
      <c r="L15" s="49"/>
    </row>
    <row r="16" spans="1:12" x14ac:dyDescent="0.2">
      <c r="A16" s="122"/>
      <c r="B16" s="214" t="s">
        <v>93</v>
      </c>
      <c r="C16" s="106" t="s">
        <v>188</v>
      </c>
      <c r="D16" s="106" t="s">
        <v>123</v>
      </c>
      <c r="E16" s="106" t="s">
        <v>122</v>
      </c>
      <c r="F16" s="236" t="str">
        <f>Swap6M!F19</f>
        <v>EURAB6E11Y_Quote#0000</v>
      </c>
      <c r="G16" s="106" t="s">
        <v>207</v>
      </c>
      <c r="H16" s="237" t="str">
        <f>BasisSwap1MxM!F19</f>
        <v>EUR1E6E11Y_Quote#0000</v>
      </c>
      <c r="I16" s="236" t="str">
        <f t="shared" si="0"/>
        <v>EURAB1EBASIS11Y_Quote</v>
      </c>
      <c r="J16" s="236" t="str">
        <f>_xll.qlCompositeQuote(I16,F16,H16,G16,Permanent,Trigger,ObjectOverwrite)</f>
        <v>EURAB1EBASIS11Y_Quote#0000</v>
      </c>
      <c r="K16" s="245" t="str">
        <f>_xll.ohRangeRetrieveError(J16)</f>
        <v/>
      </c>
      <c r="L16" s="49"/>
    </row>
    <row r="17" spans="1:12" x14ac:dyDescent="0.2">
      <c r="A17" s="122"/>
      <c r="B17" s="214" t="s">
        <v>92</v>
      </c>
      <c r="C17" s="106" t="s">
        <v>188</v>
      </c>
      <c r="D17" s="106" t="s">
        <v>123</v>
      </c>
      <c r="E17" s="106" t="s">
        <v>122</v>
      </c>
      <c r="F17" s="236" t="str">
        <f>Swap6M!F20</f>
        <v>EURAB6E12Y_Quote#0000</v>
      </c>
      <c r="G17" s="106" t="s">
        <v>207</v>
      </c>
      <c r="H17" s="237" t="str">
        <f>BasisSwap1MxM!F20</f>
        <v>EUR1E6E12Y_Quote#0000</v>
      </c>
      <c r="I17" s="236" t="str">
        <f t="shared" si="0"/>
        <v>EURAB1EBASIS12Y_Quote</v>
      </c>
      <c r="J17" s="236" t="str">
        <f>_xll.qlCompositeQuote(I17,F17,H17,G17,Permanent,Trigger,ObjectOverwrite)</f>
        <v>EURAB1EBASIS12Y_Quote#0000</v>
      </c>
      <c r="K17" s="245" t="str">
        <f>_xll.ohRangeRetrieveError(J17)</f>
        <v/>
      </c>
      <c r="L17" s="49"/>
    </row>
    <row r="18" spans="1:12" x14ac:dyDescent="0.2">
      <c r="A18" s="122"/>
      <c r="B18" s="214" t="s">
        <v>91</v>
      </c>
      <c r="C18" s="106" t="s">
        <v>188</v>
      </c>
      <c r="D18" s="106" t="s">
        <v>123</v>
      </c>
      <c r="E18" s="106" t="s">
        <v>122</v>
      </c>
      <c r="F18" s="236" t="str">
        <f>Swap6M!F21</f>
        <v>EURAB6E13Y_Quote#0000</v>
      </c>
      <c r="G18" s="106" t="s">
        <v>207</v>
      </c>
      <c r="H18" s="237" t="str">
        <f>BasisSwap1MxM!F21</f>
        <v>EUR1E6E13Y_Quote#0000</v>
      </c>
      <c r="I18" s="236" t="str">
        <f t="shared" si="0"/>
        <v>EURAB1EBASIS13Y_Quote</v>
      </c>
      <c r="J18" s="236" t="str">
        <f>_xll.qlCompositeQuote(I18,F18,H18,G18,Permanent,Trigger,ObjectOverwrite)</f>
        <v>EURAB1EBASIS13Y_Quote#0000</v>
      </c>
      <c r="K18" s="245" t="str">
        <f>_xll.ohRangeRetrieveError(J18)</f>
        <v/>
      </c>
      <c r="L18" s="49"/>
    </row>
    <row r="19" spans="1:12" x14ac:dyDescent="0.2">
      <c r="A19" s="122"/>
      <c r="B19" s="214" t="s">
        <v>90</v>
      </c>
      <c r="C19" s="106" t="s">
        <v>188</v>
      </c>
      <c r="D19" s="106" t="s">
        <v>123</v>
      </c>
      <c r="E19" s="106" t="s">
        <v>122</v>
      </c>
      <c r="F19" s="236" t="str">
        <f>Swap6M!F22</f>
        <v>EURAB6E14Y_Quote#0000</v>
      </c>
      <c r="G19" s="106" t="s">
        <v>207</v>
      </c>
      <c r="H19" s="237" t="str">
        <f>BasisSwap1MxM!F22</f>
        <v>EUR1E6E14Y_Quote#0000</v>
      </c>
      <c r="I19" s="236" t="str">
        <f t="shared" si="0"/>
        <v>EURAB1EBASIS14Y_Quote</v>
      </c>
      <c r="J19" s="236" t="str">
        <f>_xll.qlCompositeQuote(I19,F19,H19,G19,Permanent,Trigger,ObjectOverwrite)</f>
        <v>EURAB1EBASIS14Y_Quote#0000</v>
      </c>
      <c r="K19" s="245" t="str">
        <f>_xll.ohRangeRetrieveError(J19)</f>
        <v/>
      </c>
      <c r="L19" s="49"/>
    </row>
    <row r="20" spans="1:12" x14ac:dyDescent="0.2">
      <c r="A20" s="122"/>
      <c r="B20" s="214" t="s">
        <v>89</v>
      </c>
      <c r="C20" s="106" t="s">
        <v>188</v>
      </c>
      <c r="D20" s="106" t="s">
        <v>123</v>
      </c>
      <c r="E20" s="106" t="s">
        <v>122</v>
      </c>
      <c r="F20" s="236" t="str">
        <f>Swap6M!F23</f>
        <v>EURAB6E15Y_Quote#0000</v>
      </c>
      <c r="G20" s="106" t="s">
        <v>207</v>
      </c>
      <c r="H20" s="237" t="str">
        <f>BasisSwap1MxM!F23</f>
        <v>EUR1E6E15Y_Quote#0000</v>
      </c>
      <c r="I20" s="236" t="str">
        <f t="shared" si="0"/>
        <v>EURAB1EBASIS15Y_Quote</v>
      </c>
      <c r="J20" s="236" t="str">
        <f>_xll.qlCompositeQuote(I20,F20,H20,G20,Permanent,Trigger,ObjectOverwrite)</f>
        <v>EURAB1EBASIS15Y_Quote#0000</v>
      </c>
      <c r="K20" s="245" t="str">
        <f>_xll.ohRangeRetrieveError(J20)</f>
        <v/>
      </c>
      <c r="L20" s="49"/>
    </row>
    <row r="21" spans="1:12" x14ac:dyDescent="0.2">
      <c r="A21" s="122"/>
      <c r="B21" s="214" t="s">
        <v>88</v>
      </c>
      <c r="C21" s="106" t="s">
        <v>188</v>
      </c>
      <c r="D21" s="106" t="s">
        <v>123</v>
      </c>
      <c r="E21" s="106" t="s">
        <v>122</v>
      </c>
      <c r="F21" s="236" t="str">
        <f>Swap6M!F24</f>
        <v>EURAB6E16Y_Quote#0000</v>
      </c>
      <c r="G21" s="106" t="s">
        <v>207</v>
      </c>
      <c r="H21" s="237" t="str">
        <f>BasisSwap1MxM!F24</f>
        <v>EUR1E6E16Y_Quote#0000</v>
      </c>
      <c r="I21" s="236" t="str">
        <f t="shared" si="0"/>
        <v>EURAB1EBASIS16Y_Quote</v>
      </c>
      <c r="J21" s="236" t="str">
        <f>_xll.qlCompositeQuote(I21,F21,H21,G21,Permanent,Trigger,ObjectOverwrite)</f>
        <v>EURAB1EBASIS16Y_Quote#0000</v>
      </c>
      <c r="K21" s="245" t="str">
        <f>_xll.ohRangeRetrieveError(J21)</f>
        <v/>
      </c>
      <c r="L21" s="49"/>
    </row>
    <row r="22" spans="1:12" x14ac:dyDescent="0.2">
      <c r="A22" s="122"/>
      <c r="B22" s="214" t="s">
        <v>87</v>
      </c>
      <c r="C22" s="106" t="s">
        <v>188</v>
      </c>
      <c r="D22" s="106" t="s">
        <v>123</v>
      </c>
      <c r="E22" s="106" t="s">
        <v>122</v>
      </c>
      <c r="F22" s="236" t="str">
        <f>Swap6M!F25</f>
        <v>EURAB6E17Y_Quote#0000</v>
      </c>
      <c r="G22" s="106" t="s">
        <v>207</v>
      </c>
      <c r="H22" s="237" t="str">
        <f>BasisSwap1MxM!F25</f>
        <v>EUR1E6E17Y_Quote#0000</v>
      </c>
      <c r="I22" s="236" t="str">
        <f t="shared" si="0"/>
        <v>EURAB1EBASIS17Y_Quote</v>
      </c>
      <c r="J22" s="236" t="str">
        <f>_xll.qlCompositeQuote(I22,F22,H22,G22,Permanent,Trigger,ObjectOverwrite)</f>
        <v>EURAB1EBASIS17Y_Quote#0000</v>
      </c>
      <c r="K22" s="245" t="str">
        <f>_xll.ohRangeRetrieveError(J22)</f>
        <v/>
      </c>
      <c r="L22" s="49"/>
    </row>
    <row r="23" spans="1:12" x14ac:dyDescent="0.2">
      <c r="A23" s="122"/>
      <c r="B23" s="214" t="s">
        <v>86</v>
      </c>
      <c r="C23" s="106" t="s">
        <v>188</v>
      </c>
      <c r="D23" s="106" t="s">
        <v>123</v>
      </c>
      <c r="E23" s="106" t="s">
        <v>122</v>
      </c>
      <c r="F23" s="236" t="str">
        <f>Swap6M!F26</f>
        <v>EURAB6E18Y_Quote#0000</v>
      </c>
      <c r="G23" s="106" t="s">
        <v>207</v>
      </c>
      <c r="H23" s="237" t="str">
        <f>BasisSwap1MxM!F26</f>
        <v>EUR1E6E18Y_Quote#0000</v>
      </c>
      <c r="I23" s="236" t="str">
        <f t="shared" si="0"/>
        <v>EURAB1EBASIS18Y_Quote</v>
      </c>
      <c r="J23" s="236" t="str">
        <f>_xll.qlCompositeQuote(I23,F23,H23,G23,Permanent,Trigger,ObjectOverwrite)</f>
        <v>EURAB1EBASIS18Y_Quote#0000</v>
      </c>
      <c r="K23" s="245" t="str">
        <f>_xll.ohRangeRetrieveError(J23)</f>
        <v/>
      </c>
      <c r="L23" s="49"/>
    </row>
    <row r="24" spans="1:12" x14ac:dyDescent="0.2">
      <c r="A24" s="122"/>
      <c r="B24" s="214" t="s">
        <v>85</v>
      </c>
      <c r="C24" s="106" t="s">
        <v>188</v>
      </c>
      <c r="D24" s="106" t="s">
        <v>123</v>
      </c>
      <c r="E24" s="106" t="s">
        <v>122</v>
      </c>
      <c r="F24" s="236" t="str">
        <f>Swap6M!F27</f>
        <v>EURAB6E19Y_Quote#0000</v>
      </c>
      <c r="G24" s="106" t="s">
        <v>207</v>
      </c>
      <c r="H24" s="237" t="str">
        <f>BasisSwap1MxM!F27</f>
        <v>EUR1E6E19Y_Quote#0000</v>
      </c>
      <c r="I24" s="236" t="str">
        <f t="shared" si="0"/>
        <v>EURAB1EBASIS19Y_Quote</v>
      </c>
      <c r="J24" s="236" t="str">
        <f>_xll.qlCompositeQuote(I24,F24,H24,G24,Permanent,Trigger,ObjectOverwrite)</f>
        <v>EURAB1EBASIS19Y_Quote#0000</v>
      </c>
      <c r="K24" s="245" t="str">
        <f>_xll.ohRangeRetrieveError(J24)</f>
        <v/>
      </c>
      <c r="L24" s="49"/>
    </row>
    <row r="25" spans="1:12" x14ac:dyDescent="0.2">
      <c r="A25" s="122"/>
      <c r="B25" s="214" t="s">
        <v>84</v>
      </c>
      <c r="C25" s="106" t="s">
        <v>188</v>
      </c>
      <c r="D25" s="106" t="s">
        <v>123</v>
      </c>
      <c r="E25" s="106" t="s">
        <v>122</v>
      </c>
      <c r="F25" s="236" t="str">
        <f>Swap6M!F28</f>
        <v>EURAB6E20Y_Quote#0000</v>
      </c>
      <c r="G25" s="106" t="s">
        <v>207</v>
      </c>
      <c r="H25" s="237" t="str">
        <f>BasisSwap1MxM!F28</f>
        <v>EUR1E6E20Y_Quote#0000</v>
      </c>
      <c r="I25" s="236" t="str">
        <f t="shared" si="0"/>
        <v>EURAB1EBASIS20Y_Quote</v>
      </c>
      <c r="J25" s="236" t="str">
        <f>_xll.qlCompositeQuote(I25,F25,H25,G25,Permanent,Trigger,ObjectOverwrite)</f>
        <v>EURAB1EBASIS20Y_Quote#0000</v>
      </c>
      <c r="K25" s="245" t="str">
        <f>_xll.ohRangeRetrieveError(J25)</f>
        <v/>
      </c>
      <c r="L25" s="49"/>
    </row>
    <row r="26" spans="1:12" x14ac:dyDescent="0.2">
      <c r="A26" s="122"/>
      <c r="B26" s="214" t="s">
        <v>83</v>
      </c>
      <c r="C26" s="106" t="s">
        <v>188</v>
      </c>
      <c r="D26" s="106" t="s">
        <v>123</v>
      </c>
      <c r="E26" s="106" t="s">
        <v>122</v>
      </c>
      <c r="F26" s="236" t="str">
        <f>Swap6M!F29</f>
        <v>EURAB6E21Y_Quote#0000</v>
      </c>
      <c r="G26" s="106" t="s">
        <v>207</v>
      </c>
      <c r="H26" s="237" t="str">
        <f>BasisSwap1MxM!F29</f>
        <v>EUR1E6E21Y_Quote#0000</v>
      </c>
      <c r="I26" s="236" t="str">
        <f t="shared" si="0"/>
        <v>EURAB1EBASIS21Y_Quote</v>
      </c>
      <c r="J26" s="236" t="str">
        <f>_xll.qlCompositeQuote(I26,F26,H26,G26,Permanent,Trigger,ObjectOverwrite)</f>
        <v>EURAB1EBASIS21Y_Quote#0000</v>
      </c>
      <c r="K26" s="245" t="str">
        <f>_xll.ohRangeRetrieveError(J26)</f>
        <v/>
      </c>
      <c r="L26" s="49"/>
    </row>
    <row r="27" spans="1:12" x14ac:dyDescent="0.2">
      <c r="A27" s="122"/>
      <c r="B27" s="214" t="s">
        <v>82</v>
      </c>
      <c r="C27" s="106" t="s">
        <v>188</v>
      </c>
      <c r="D27" s="106" t="s">
        <v>123</v>
      </c>
      <c r="E27" s="106" t="s">
        <v>122</v>
      </c>
      <c r="F27" s="236" t="str">
        <f>Swap6M!F30</f>
        <v>EURAB6E22Y_Quote#0000</v>
      </c>
      <c r="G27" s="106" t="s">
        <v>207</v>
      </c>
      <c r="H27" s="237" t="str">
        <f>BasisSwap1MxM!F30</f>
        <v>EUR1E6E22Y_Quote#0000</v>
      </c>
      <c r="I27" s="236" t="str">
        <f t="shared" si="0"/>
        <v>EURAB1EBASIS22Y_Quote</v>
      </c>
      <c r="J27" s="236" t="str">
        <f>_xll.qlCompositeQuote(I27,F27,H27,G27,Permanent,Trigger,ObjectOverwrite)</f>
        <v>EURAB1EBASIS22Y_Quote#0000</v>
      </c>
      <c r="K27" s="245" t="str">
        <f>_xll.ohRangeRetrieveError(J27)</f>
        <v/>
      </c>
      <c r="L27" s="49"/>
    </row>
    <row r="28" spans="1:12" x14ac:dyDescent="0.2">
      <c r="A28" s="122"/>
      <c r="B28" s="214" t="s">
        <v>81</v>
      </c>
      <c r="C28" s="106" t="s">
        <v>188</v>
      </c>
      <c r="D28" s="106" t="s">
        <v>123</v>
      </c>
      <c r="E28" s="106" t="s">
        <v>122</v>
      </c>
      <c r="F28" s="236" t="str">
        <f>Swap6M!F31</f>
        <v>EURAB6E23Y_Quote#0000</v>
      </c>
      <c r="G28" s="106" t="s">
        <v>207</v>
      </c>
      <c r="H28" s="237" t="str">
        <f>BasisSwap1MxM!F31</f>
        <v>EUR1E6E23Y_Quote#0000</v>
      </c>
      <c r="I28" s="236" t="str">
        <f t="shared" si="0"/>
        <v>EURAB1EBASIS23Y_Quote</v>
      </c>
      <c r="J28" s="236" t="str">
        <f>_xll.qlCompositeQuote(I28,F28,H28,G28,Permanent,Trigger,ObjectOverwrite)</f>
        <v>EURAB1EBASIS23Y_Quote#0000</v>
      </c>
      <c r="K28" s="245" t="str">
        <f>_xll.ohRangeRetrieveError(J28)</f>
        <v/>
      </c>
      <c r="L28" s="49"/>
    </row>
    <row r="29" spans="1:12" x14ac:dyDescent="0.2">
      <c r="A29" s="122"/>
      <c r="B29" s="214" t="s">
        <v>80</v>
      </c>
      <c r="C29" s="106" t="s">
        <v>188</v>
      </c>
      <c r="D29" s="106" t="s">
        <v>123</v>
      </c>
      <c r="E29" s="106" t="s">
        <v>122</v>
      </c>
      <c r="F29" s="236" t="str">
        <f>Swap6M!F32</f>
        <v>EURAB6E24Y_Quote#0000</v>
      </c>
      <c r="G29" s="106" t="s">
        <v>207</v>
      </c>
      <c r="H29" s="237" t="str">
        <f>BasisSwap1MxM!F32</f>
        <v>EUR1E6E24Y_Quote#0000</v>
      </c>
      <c r="I29" s="236" t="str">
        <f t="shared" si="0"/>
        <v>EURAB1EBASIS24Y_Quote</v>
      </c>
      <c r="J29" s="236" t="str">
        <f>_xll.qlCompositeQuote(I29,F29,H29,G29,Permanent,Trigger,ObjectOverwrite)</f>
        <v>EURAB1EBASIS24Y_Quote#0000</v>
      </c>
      <c r="K29" s="245" t="str">
        <f>_xll.ohRangeRetrieveError(J29)</f>
        <v/>
      </c>
      <c r="L29" s="49"/>
    </row>
    <row r="30" spans="1:12" x14ac:dyDescent="0.2">
      <c r="A30" s="122"/>
      <c r="B30" s="214" t="s">
        <v>79</v>
      </c>
      <c r="C30" s="106" t="s">
        <v>188</v>
      </c>
      <c r="D30" s="106" t="s">
        <v>123</v>
      </c>
      <c r="E30" s="106" t="s">
        <v>122</v>
      </c>
      <c r="F30" s="236" t="str">
        <f>Swap6M!F33</f>
        <v>EURAB6E25Y_Quote#0000</v>
      </c>
      <c r="G30" s="106" t="s">
        <v>207</v>
      </c>
      <c r="H30" s="237" t="str">
        <f>BasisSwap1MxM!F33</f>
        <v>EUR1E6E25Y_Quote#0000</v>
      </c>
      <c r="I30" s="236" t="str">
        <f t="shared" si="0"/>
        <v>EURAB1EBASIS25Y_Quote</v>
      </c>
      <c r="J30" s="236" t="str">
        <f>_xll.qlCompositeQuote(I30,F30,H30,G30,Permanent,Trigger,ObjectOverwrite)</f>
        <v>EURAB1EBASIS25Y_Quote#0000</v>
      </c>
      <c r="K30" s="245" t="str">
        <f>_xll.ohRangeRetrieveError(J30)</f>
        <v/>
      </c>
      <c r="L30" s="49"/>
    </row>
    <row r="31" spans="1:12" x14ac:dyDescent="0.2">
      <c r="A31" s="122"/>
      <c r="B31" s="214" t="s">
        <v>78</v>
      </c>
      <c r="C31" s="106" t="s">
        <v>188</v>
      </c>
      <c r="D31" s="106" t="s">
        <v>123</v>
      </c>
      <c r="E31" s="106" t="s">
        <v>122</v>
      </c>
      <c r="F31" s="236" t="str">
        <f>Swap6M!F34</f>
        <v>EURAB6E26Y_Quote#0000</v>
      </c>
      <c r="G31" s="106" t="s">
        <v>207</v>
      </c>
      <c r="H31" s="237" t="str">
        <f>BasisSwap1MxM!F34</f>
        <v>EUR1E6E26Y_Quote#0000</v>
      </c>
      <c r="I31" s="236" t="str">
        <f t="shared" si="0"/>
        <v>EURAB1EBASIS26Y_Quote</v>
      </c>
      <c r="J31" s="236" t="str">
        <f>_xll.qlCompositeQuote(I31,F31,H31,G31,Permanent,Trigger,ObjectOverwrite)</f>
        <v>EURAB1EBASIS26Y_Quote#0000</v>
      </c>
      <c r="K31" s="245" t="str">
        <f>_xll.ohRangeRetrieveError(J31)</f>
        <v/>
      </c>
      <c r="L31" s="49"/>
    </row>
    <row r="32" spans="1:12" x14ac:dyDescent="0.2">
      <c r="A32" s="122"/>
      <c r="B32" s="214" t="s">
        <v>77</v>
      </c>
      <c r="C32" s="106" t="s">
        <v>188</v>
      </c>
      <c r="D32" s="106" t="s">
        <v>123</v>
      </c>
      <c r="E32" s="106" t="s">
        <v>122</v>
      </c>
      <c r="F32" s="236" t="str">
        <f>Swap6M!F35</f>
        <v>EURAB6E27Y_Quote#0000</v>
      </c>
      <c r="G32" s="106" t="s">
        <v>207</v>
      </c>
      <c r="H32" s="237" t="str">
        <f>BasisSwap1MxM!F35</f>
        <v>EUR1E6E27Y_Quote#0000</v>
      </c>
      <c r="I32" s="236" t="str">
        <f t="shared" si="0"/>
        <v>EURAB1EBASIS27Y_Quote</v>
      </c>
      <c r="J32" s="236" t="str">
        <f>_xll.qlCompositeQuote(I32,F32,H32,G32,Permanent,Trigger,ObjectOverwrite)</f>
        <v>EURAB1EBASIS27Y_Quote#0000</v>
      </c>
      <c r="K32" s="245" t="str">
        <f>_xll.ohRangeRetrieveError(J32)</f>
        <v/>
      </c>
      <c r="L32" s="49"/>
    </row>
    <row r="33" spans="1:12" x14ac:dyDescent="0.2">
      <c r="A33" s="122"/>
      <c r="B33" s="214" t="s">
        <v>76</v>
      </c>
      <c r="C33" s="106" t="s">
        <v>188</v>
      </c>
      <c r="D33" s="106" t="s">
        <v>123</v>
      </c>
      <c r="E33" s="106" t="s">
        <v>122</v>
      </c>
      <c r="F33" s="236" t="str">
        <f>Swap6M!F36</f>
        <v>EURAB6E28Y_Quote#0000</v>
      </c>
      <c r="G33" s="106" t="s">
        <v>207</v>
      </c>
      <c r="H33" s="237" t="str">
        <f>BasisSwap1MxM!F36</f>
        <v>EUR1E6E28Y_Quote#0000</v>
      </c>
      <c r="I33" s="236" t="str">
        <f t="shared" si="0"/>
        <v>EURAB1EBASIS28Y_Quote</v>
      </c>
      <c r="J33" s="236" t="str">
        <f>_xll.qlCompositeQuote(I33,F33,H33,G33,Permanent,Trigger,ObjectOverwrite)</f>
        <v>EURAB1EBASIS28Y_Quote#0000</v>
      </c>
      <c r="K33" s="245" t="str">
        <f>_xll.ohRangeRetrieveError(J33)</f>
        <v/>
      </c>
      <c r="L33" s="49"/>
    </row>
    <row r="34" spans="1:12" x14ac:dyDescent="0.2">
      <c r="A34" s="122"/>
      <c r="B34" s="214" t="s">
        <v>75</v>
      </c>
      <c r="C34" s="106" t="s">
        <v>188</v>
      </c>
      <c r="D34" s="106" t="s">
        <v>123</v>
      </c>
      <c r="E34" s="106" t="s">
        <v>122</v>
      </c>
      <c r="F34" s="236" t="str">
        <f>Swap6M!F37</f>
        <v>EURAB6E29Y_Quote#0000</v>
      </c>
      <c r="G34" s="106" t="s">
        <v>207</v>
      </c>
      <c r="H34" s="237" t="str">
        <f>BasisSwap1MxM!F37</f>
        <v>EUR1E6E29Y_Quote#0000</v>
      </c>
      <c r="I34" s="236" t="str">
        <f t="shared" si="0"/>
        <v>EURAB1EBASIS29Y_Quote</v>
      </c>
      <c r="J34" s="236" t="str">
        <f>_xll.qlCompositeQuote(I34,F34,H34,G34,Permanent,Trigger,ObjectOverwrite)</f>
        <v>EURAB1EBASIS29Y_Quote#0000</v>
      </c>
      <c r="K34" s="245" t="str">
        <f>_xll.ohRangeRetrieveError(J34)</f>
        <v/>
      </c>
      <c r="L34" s="49"/>
    </row>
    <row r="35" spans="1:12" x14ac:dyDescent="0.2">
      <c r="A35" s="122"/>
      <c r="B35" s="214" t="s">
        <v>74</v>
      </c>
      <c r="C35" s="106" t="s">
        <v>188</v>
      </c>
      <c r="D35" s="106" t="s">
        <v>123</v>
      </c>
      <c r="E35" s="106" t="s">
        <v>122</v>
      </c>
      <c r="F35" s="236" t="str">
        <f>Swap6M!F38</f>
        <v>EURAB6E30Y_Quote#0000</v>
      </c>
      <c r="G35" s="106" t="s">
        <v>207</v>
      </c>
      <c r="H35" s="237" t="str">
        <f>BasisSwap1MxM!F38</f>
        <v>EUR1E6E30Y_Quote#0000</v>
      </c>
      <c r="I35" s="236" t="str">
        <f t="shared" si="0"/>
        <v>EURAB1EBASIS30Y_Quote</v>
      </c>
      <c r="J35" s="236" t="str">
        <f>_xll.qlCompositeQuote(I35,F35,H35,G35,Permanent,Trigger,ObjectOverwrite)</f>
        <v>EURAB1EBASIS30Y_Quote#0000</v>
      </c>
      <c r="K35" s="245" t="str">
        <f>_xll.ohRangeRetrieveError(J35)</f>
        <v/>
      </c>
      <c r="L35" s="49"/>
    </row>
    <row r="36" spans="1:12" x14ac:dyDescent="0.2">
      <c r="A36" s="122"/>
      <c r="B36" s="214" t="s">
        <v>69</v>
      </c>
      <c r="C36" s="106" t="s">
        <v>188</v>
      </c>
      <c r="D36" s="106" t="s">
        <v>123</v>
      </c>
      <c r="E36" s="106" t="s">
        <v>122</v>
      </c>
      <c r="F36" s="236" t="str">
        <f>Swap6M!F39</f>
        <v>EURAB6E35Y_Quote#0000</v>
      </c>
      <c r="G36" s="106" t="s">
        <v>207</v>
      </c>
      <c r="H36" s="237" t="str">
        <f>BasisSwap1MxM!F39</f>
        <v>EUR1E6E35Y_Quote#0000</v>
      </c>
      <c r="I36" s="236" t="str">
        <f t="shared" si="0"/>
        <v>EURAB1EBASIS35Y_Quote</v>
      </c>
      <c r="J36" s="236" t="str">
        <f>_xll.qlCompositeQuote(I36,F36,H36,G36,Permanent,Trigger,ObjectOverwrite)</f>
        <v>EURAB1EBASIS35Y_Quote#0000</v>
      </c>
      <c r="K36" s="245" t="str">
        <f>_xll.ohRangeRetrieveError(J36)</f>
        <v/>
      </c>
      <c r="L36" s="49"/>
    </row>
    <row r="37" spans="1:12" x14ac:dyDescent="0.2">
      <c r="A37" s="122"/>
      <c r="B37" s="214" t="s">
        <v>64</v>
      </c>
      <c r="C37" s="106" t="s">
        <v>188</v>
      </c>
      <c r="D37" s="106" t="s">
        <v>123</v>
      </c>
      <c r="E37" s="106" t="s">
        <v>122</v>
      </c>
      <c r="F37" s="236" t="str">
        <f>Swap6M!F40</f>
        <v>EURAB6E40Y_Quote#0000</v>
      </c>
      <c r="G37" s="106" t="s">
        <v>207</v>
      </c>
      <c r="H37" s="237" t="str">
        <f>BasisSwap1MxM!F40</f>
        <v>EUR1E6E40Y_Quote#0000</v>
      </c>
      <c r="I37" s="236" t="str">
        <f t="shared" si="0"/>
        <v>EURAB1EBASIS40Y_Quote</v>
      </c>
      <c r="J37" s="236" t="str">
        <f>_xll.qlCompositeQuote(I37,F37,H37,G37,Permanent,Trigger,ObjectOverwrite)</f>
        <v>EURAB1EBASIS40Y_Quote#0000</v>
      </c>
      <c r="K37" s="245" t="str">
        <f>_xll.ohRangeRetrieveError(J37)</f>
        <v/>
      </c>
      <c r="L37" s="49"/>
    </row>
    <row r="38" spans="1:12" x14ac:dyDescent="0.2">
      <c r="A38" s="122"/>
      <c r="B38" s="214" t="s">
        <v>54</v>
      </c>
      <c r="C38" s="106" t="s">
        <v>188</v>
      </c>
      <c r="D38" s="106" t="s">
        <v>123</v>
      </c>
      <c r="E38" s="106" t="s">
        <v>122</v>
      </c>
      <c r="F38" s="236" t="str">
        <f>Swap6M!F41</f>
        <v>EURAB6E50Y_Quote#0000</v>
      </c>
      <c r="G38" s="106" t="s">
        <v>207</v>
      </c>
      <c r="H38" s="237" t="str">
        <f>BasisSwap1MxM!F41</f>
        <v>EUR1E6E50Y_Quote#0000</v>
      </c>
      <c r="I38" s="236" t="str">
        <f t="shared" si="0"/>
        <v>EURAB1EBASIS50Y_Quote</v>
      </c>
      <c r="J38" s="236" t="str">
        <f>_xll.qlCompositeQuote(I38,F38,H38,G38,Permanent,Trigger,ObjectOverwrite)</f>
        <v>EURAB1EBASIS50Y_Quote#0000</v>
      </c>
      <c r="K38" s="245" t="str">
        <f>_xll.ohRangeRetrieveError(J38)</f>
        <v/>
      </c>
      <c r="L38" s="49"/>
    </row>
    <row r="39" spans="1:12" x14ac:dyDescent="0.2">
      <c r="A39" s="122"/>
      <c r="B39" s="214" t="s">
        <v>44</v>
      </c>
      <c r="C39" s="106" t="s">
        <v>188</v>
      </c>
      <c r="D39" s="106" t="s">
        <v>123</v>
      </c>
      <c r="E39" s="106" t="s">
        <v>122</v>
      </c>
      <c r="F39" s="236" t="str">
        <f>Swap6M!F42</f>
        <v>EURAB6E60Y_Quote#0000</v>
      </c>
      <c r="G39" s="106" t="s">
        <v>207</v>
      </c>
      <c r="H39" s="237" t="str">
        <f>BasisSwap1MxM!F42</f>
        <v>EUR1E6E60Y_Quote#0000</v>
      </c>
      <c r="I39" s="236" t="str">
        <f t="shared" si="0"/>
        <v>EURAB1EBASIS60Y_Quote</v>
      </c>
      <c r="J39" s="236" t="str">
        <f>_xll.qlCompositeQuote(I39,F39,H39,G39,Permanent,Trigger,ObjectOverwrite)</f>
        <v>EURAB1EBASIS60Y_Quote#0000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20.140625" style="68" bestFit="1" customWidth="1"/>
    <col min="7" max="7" width="8" style="68" bestFit="1" customWidth="1"/>
    <col min="8" max="8" width="19.710937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129</v>
      </c>
      <c r="E3" s="106" t="s">
        <v>122</v>
      </c>
      <c r="F3" s="236" t="str">
        <f>Swap6M!F6</f>
        <v>EURAB6E1Y_Quote#0000</v>
      </c>
      <c r="G3" s="106" t="s">
        <v>207</v>
      </c>
      <c r="H3" s="237" t="str">
        <f>BasisSwap3M6M!F6</f>
        <v>EUR3E6E1Y_Quote#0000</v>
      </c>
      <c r="I3" s="236" t="str">
        <f t="shared" ref="I3:I39" si="0">Currency&amp;$C3&amp;$D3&amp;"BASIS"&amp;$B3&amp;QuoteSuffix</f>
        <v>EURAB3EBASIS1Y_Quote</v>
      </c>
      <c r="J3" s="236" t="str">
        <f>_xll.qlCompositeQuote(I3,F3,H3,G3,Permanent,Trigger,ObjectOverwrite)</f>
        <v>EURAB3EBASIS1Y_Quote#0000</v>
      </c>
      <c r="K3" s="245" t="str">
        <f>_xll.ohRangeRetrieveError(J3)</f>
        <v/>
      </c>
      <c r="L3" s="49"/>
      <c r="N3" s="68" t="str">
        <f>_xll.ohObjectCallerAddress(H3)</f>
        <v>[EUR_Market.xlsm]BasisSwap3M6M!R6C6</v>
      </c>
    </row>
    <row r="4" spans="1:14" x14ac:dyDescent="0.2">
      <c r="A4" s="122"/>
      <c r="B4" s="214" t="s">
        <v>127</v>
      </c>
      <c r="C4" s="106" t="s">
        <v>188</v>
      </c>
      <c r="D4" s="106" t="s">
        <v>129</v>
      </c>
      <c r="E4" s="106" t="s">
        <v>122</v>
      </c>
      <c r="F4" s="236" t="str">
        <f>Swap6M!F7</f>
        <v>EURAB6E15M_Quote#0000</v>
      </c>
      <c r="G4" s="106" t="s">
        <v>207</v>
      </c>
      <c r="H4" s="237" t="str">
        <f>BasisSwap3M6M!F7</f>
        <v>EUR3E6E15M_Quote#0000</v>
      </c>
      <c r="I4" s="236" t="str">
        <f t="shared" si="0"/>
        <v>EURAB3EBASIS15M_Quote</v>
      </c>
      <c r="J4" s="236" t="str">
        <f>_xll.qlCompositeQuote(I4,F4,H4,G4,Permanent,Trigger,ObjectOverwrite)</f>
        <v>EURAB3EBASIS15M_Quote#0000</v>
      </c>
      <c r="K4" s="245" t="str">
        <f>_xll.ohRangeRetrieveError(J4)</f>
        <v/>
      </c>
      <c r="L4" s="49"/>
    </row>
    <row r="5" spans="1:14" x14ac:dyDescent="0.2">
      <c r="A5" s="122"/>
      <c r="B5" s="214" t="s">
        <v>126</v>
      </c>
      <c r="C5" s="106" t="s">
        <v>188</v>
      </c>
      <c r="D5" s="106" t="s">
        <v>129</v>
      </c>
      <c r="E5" s="106" t="s">
        <v>122</v>
      </c>
      <c r="F5" s="236" t="str">
        <f>Swap6M!F8</f>
        <v>EURAB6E18M_Quote#0000</v>
      </c>
      <c r="G5" s="106" t="s">
        <v>207</v>
      </c>
      <c r="H5" s="237" t="str">
        <f>BasisSwap3M6M!F8</f>
        <v>EUR3E6E18M_Quote#0000</v>
      </c>
      <c r="I5" s="236" t="str">
        <f t="shared" si="0"/>
        <v>EURAB3EBASIS18M_Quote</v>
      </c>
      <c r="J5" s="236" t="str">
        <f>_xll.qlCompositeQuote(I5,F5,H5,G5,Permanent,Trigger,ObjectOverwrite)</f>
        <v>EURAB3EBASIS18M_Quote#0000</v>
      </c>
      <c r="K5" s="245" t="str">
        <f>_xll.ohRangeRetrieveError(J5)</f>
        <v/>
      </c>
      <c r="L5" s="49"/>
    </row>
    <row r="6" spans="1:14" x14ac:dyDescent="0.2">
      <c r="A6" s="122"/>
      <c r="B6" s="214" t="s">
        <v>125</v>
      </c>
      <c r="C6" s="106" t="s">
        <v>188</v>
      </c>
      <c r="D6" s="106" t="s">
        <v>129</v>
      </c>
      <c r="E6" s="106" t="s">
        <v>122</v>
      </c>
      <c r="F6" s="236" t="str">
        <f>Swap6M!F9</f>
        <v>EURAB6E21M_Quote#0000</v>
      </c>
      <c r="G6" s="106" t="s">
        <v>207</v>
      </c>
      <c r="H6" s="237" t="str">
        <f>BasisSwap3M6M!F9</f>
        <v>EUR3E6E21M_Quote#0000</v>
      </c>
      <c r="I6" s="236" t="str">
        <f t="shared" si="0"/>
        <v>EURAB3EBASIS21M_Quote</v>
      </c>
      <c r="J6" s="236" t="str">
        <f>_xll.qlCompositeQuote(I6,F6,H6,G6,Permanent,Trigger,ObjectOverwrite)</f>
        <v>EURAB3EBASIS21M_Quote#0000</v>
      </c>
      <c r="K6" s="245" t="str">
        <f>_xll.ohRangeRetrieveError(J6)</f>
        <v/>
      </c>
      <c r="L6" s="49"/>
    </row>
    <row r="7" spans="1:14" x14ac:dyDescent="0.2">
      <c r="A7" s="122"/>
      <c r="B7" s="214" t="s">
        <v>102</v>
      </c>
      <c r="C7" s="106" t="s">
        <v>188</v>
      </c>
      <c r="D7" s="106" t="s">
        <v>129</v>
      </c>
      <c r="E7" s="106" t="s">
        <v>122</v>
      </c>
      <c r="F7" s="236" t="str">
        <f>Swap6M!F10</f>
        <v>EURAB6E2Y_Quote#0000</v>
      </c>
      <c r="G7" s="106" t="s">
        <v>207</v>
      </c>
      <c r="H7" s="237" t="str">
        <f>BasisSwap3M6M!F10</f>
        <v>EUR3E6E2Y_Quote#0000</v>
      </c>
      <c r="I7" s="236" t="str">
        <f t="shared" si="0"/>
        <v>EURAB3EBASIS2Y_Quote</v>
      </c>
      <c r="J7" s="236" t="str">
        <f>_xll.qlCompositeQuote(I7,F7,H7,G7,Permanent,Trigger,ObjectOverwrite)</f>
        <v>EURAB3EBASIS2Y_Quote#0000</v>
      </c>
      <c r="K7" s="245" t="str">
        <f>_xll.ohRangeRetrieveError(J7)</f>
        <v/>
      </c>
      <c r="L7" s="49"/>
    </row>
    <row r="8" spans="1:14" x14ac:dyDescent="0.2">
      <c r="A8" s="122"/>
      <c r="B8" s="214" t="s">
        <v>101</v>
      </c>
      <c r="C8" s="106" t="s">
        <v>188</v>
      </c>
      <c r="D8" s="106" t="s">
        <v>129</v>
      </c>
      <c r="E8" s="106" t="s">
        <v>122</v>
      </c>
      <c r="F8" s="236" t="str">
        <f>Swap6M!F11</f>
        <v>EURAB6E3Y_Quote#0000</v>
      </c>
      <c r="G8" s="106" t="s">
        <v>207</v>
      </c>
      <c r="H8" s="237" t="str">
        <f>BasisSwap3M6M!F11</f>
        <v>EUR3E6E3Y_Quote#0000</v>
      </c>
      <c r="I8" s="236" t="str">
        <f t="shared" si="0"/>
        <v>EURAB3EBASIS3Y_Quote</v>
      </c>
      <c r="J8" s="236" t="str">
        <f>_xll.qlCompositeQuote(I8,F8,H8,G8,Permanent,Trigger,ObjectOverwrite)</f>
        <v>EURAB3EBASIS3Y_Quote#0000</v>
      </c>
      <c r="K8" s="245" t="str">
        <f>_xll.ohRangeRetrieveError(J8)</f>
        <v/>
      </c>
      <c r="L8" s="49"/>
    </row>
    <row r="9" spans="1:14" x14ac:dyDescent="0.2">
      <c r="A9" s="122"/>
      <c r="B9" s="214" t="s">
        <v>100</v>
      </c>
      <c r="C9" s="106" t="s">
        <v>188</v>
      </c>
      <c r="D9" s="106" t="s">
        <v>129</v>
      </c>
      <c r="E9" s="106" t="s">
        <v>122</v>
      </c>
      <c r="F9" s="236" t="str">
        <f>Swap6M!F12</f>
        <v>EURAB6E4Y_Quote#0000</v>
      </c>
      <c r="G9" s="106" t="s">
        <v>207</v>
      </c>
      <c r="H9" s="237" t="str">
        <f>BasisSwap3M6M!F12</f>
        <v>EUR3E6E4Y_Quote#0000</v>
      </c>
      <c r="I9" s="236" t="str">
        <f t="shared" si="0"/>
        <v>EURAB3EBASIS4Y_Quote</v>
      </c>
      <c r="J9" s="236" t="str">
        <f>_xll.qlCompositeQuote(I9,F9,H9,G9,Permanent,Trigger,ObjectOverwrite)</f>
        <v>EURAB3EBASIS4Y_Quote#0000</v>
      </c>
      <c r="K9" s="245" t="str">
        <f>_xll.ohRangeRetrieveError(J9)</f>
        <v/>
      </c>
      <c r="L9" s="49"/>
    </row>
    <row r="10" spans="1:14" x14ac:dyDescent="0.2">
      <c r="A10" s="122"/>
      <c r="B10" s="214" t="s">
        <v>99</v>
      </c>
      <c r="C10" s="106" t="s">
        <v>188</v>
      </c>
      <c r="D10" s="106" t="s">
        <v>129</v>
      </c>
      <c r="E10" s="106" t="s">
        <v>122</v>
      </c>
      <c r="F10" s="236" t="str">
        <f>Swap6M!F13</f>
        <v>EURAB6E5Y_Quote#0000</v>
      </c>
      <c r="G10" s="106" t="s">
        <v>207</v>
      </c>
      <c r="H10" s="237" t="str">
        <f>BasisSwap3M6M!F13</f>
        <v>EUR3E6E5Y_Quote#0000</v>
      </c>
      <c r="I10" s="236" t="str">
        <f t="shared" si="0"/>
        <v>EURAB3EBASIS5Y_Quote</v>
      </c>
      <c r="J10" s="236" t="str">
        <f>_xll.qlCompositeQuote(I10,F10,H10,G10,Permanent,Trigger,ObjectOverwrite)</f>
        <v>EURAB3EBASIS5Y_Quote#0000</v>
      </c>
      <c r="K10" s="245" t="str">
        <f>_xll.ohRangeRetrieveError(J10)</f>
        <v/>
      </c>
      <c r="L10" s="49"/>
    </row>
    <row r="11" spans="1:14" x14ac:dyDescent="0.2">
      <c r="A11" s="122"/>
      <c r="B11" s="214" t="s">
        <v>98</v>
      </c>
      <c r="C11" s="106" t="s">
        <v>188</v>
      </c>
      <c r="D11" s="106" t="s">
        <v>129</v>
      </c>
      <c r="E11" s="106" t="s">
        <v>122</v>
      </c>
      <c r="F11" s="236" t="str">
        <f>Swap6M!F14</f>
        <v>EURAB6E6Y_Quote#0000</v>
      </c>
      <c r="G11" s="106" t="s">
        <v>207</v>
      </c>
      <c r="H11" s="237" t="str">
        <f>BasisSwap3M6M!F14</f>
        <v>EUR3E6E6Y_Quote#0000</v>
      </c>
      <c r="I11" s="236" t="str">
        <f t="shared" si="0"/>
        <v>EURAB3EBASIS6Y_Quote</v>
      </c>
      <c r="J11" s="236" t="str">
        <f>_xll.qlCompositeQuote(I11,F11,H11,G11,Permanent,Trigger,ObjectOverwrite)</f>
        <v>EURAB3EBASIS6Y_Quote#0000</v>
      </c>
      <c r="K11" s="245" t="str">
        <f>_xll.ohRangeRetrieveError(J11)</f>
        <v/>
      </c>
      <c r="L11" s="49"/>
    </row>
    <row r="12" spans="1:14" x14ac:dyDescent="0.2">
      <c r="A12" s="122"/>
      <c r="B12" s="214" t="s">
        <v>97</v>
      </c>
      <c r="C12" s="106" t="s">
        <v>188</v>
      </c>
      <c r="D12" s="106" t="s">
        <v>129</v>
      </c>
      <c r="E12" s="106" t="s">
        <v>122</v>
      </c>
      <c r="F12" s="236" t="str">
        <f>Swap6M!F15</f>
        <v>EURAB6E7Y_Quote#0000</v>
      </c>
      <c r="G12" s="106" t="s">
        <v>207</v>
      </c>
      <c r="H12" s="237" t="str">
        <f>BasisSwap3M6M!F15</f>
        <v>EUR3E6E7Y_Quote#0000</v>
      </c>
      <c r="I12" s="236" t="str">
        <f t="shared" si="0"/>
        <v>EURAB3EBASIS7Y_Quote</v>
      </c>
      <c r="J12" s="236" t="str">
        <f>_xll.qlCompositeQuote(I12,F12,H12,G12,Permanent,Trigger,ObjectOverwrite)</f>
        <v>EURAB3EBASIS7Y_Quote#0000</v>
      </c>
      <c r="K12" s="245" t="str">
        <f>_xll.ohRangeRetrieveError(J12)</f>
        <v/>
      </c>
      <c r="L12" s="49"/>
    </row>
    <row r="13" spans="1:14" x14ac:dyDescent="0.2">
      <c r="A13" s="122"/>
      <c r="B13" s="214" t="s">
        <v>96</v>
      </c>
      <c r="C13" s="106" t="s">
        <v>188</v>
      </c>
      <c r="D13" s="106" t="s">
        <v>129</v>
      </c>
      <c r="E13" s="106" t="s">
        <v>122</v>
      </c>
      <c r="F13" s="236" t="str">
        <f>Swap6M!F16</f>
        <v>EURAB6E8Y_Quote#0000</v>
      </c>
      <c r="G13" s="106" t="s">
        <v>207</v>
      </c>
      <c r="H13" s="237" t="str">
        <f>BasisSwap3M6M!F16</f>
        <v>EUR3E6E8Y_Quote#0000</v>
      </c>
      <c r="I13" s="236" t="str">
        <f t="shared" si="0"/>
        <v>EURAB3EBASIS8Y_Quote</v>
      </c>
      <c r="J13" s="236" t="str">
        <f>_xll.qlCompositeQuote(I13,F13,H13,G13,Permanent,Trigger,ObjectOverwrite)</f>
        <v>EURAB3EBASIS8Y_Quote#0000</v>
      </c>
      <c r="K13" s="245" t="str">
        <f>_xll.ohRangeRetrieveError(J13)</f>
        <v/>
      </c>
      <c r="L13" s="49"/>
    </row>
    <row r="14" spans="1:14" x14ac:dyDescent="0.2">
      <c r="A14" s="122"/>
      <c r="B14" s="214" t="s">
        <v>95</v>
      </c>
      <c r="C14" s="106" t="s">
        <v>188</v>
      </c>
      <c r="D14" s="106" t="s">
        <v>129</v>
      </c>
      <c r="E14" s="106" t="s">
        <v>122</v>
      </c>
      <c r="F14" s="236" t="str">
        <f>Swap6M!F17</f>
        <v>EURAB6E9Y_Quote#0000</v>
      </c>
      <c r="G14" s="106" t="s">
        <v>207</v>
      </c>
      <c r="H14" s="237" t="str">
        <f>BasisSwap3M6M!F17</f>
        <v>EUR3E6E9Y_Quote#0000</v>
      </c>
      <c r="I14" s="236" t="str">
        <f t="shared" si="0"/>
        <v>EURAB3EBASIS9Y_Quote</v>
      </c>
      <c r="J14" s="236" t="str">
        <f>_xll.qlCompositeQuote(I14,F14,H14,G14,Permanent,Trigger,ObjectOverwrite)</f>
        <v>EURAB3EBASIS9Y_Quote#0000</v>
      </c>
      <c r="K14" s="245" t="str">
        <f>_xll.ohRangeRetrieveError(J14)</f>
        <v/>
      </c>
      <c r="L14" s="49"/>
    </row>
    <row r="15" spans="1:14" x14ac:dyDescent="0.2">
      <c r="A15" s="122"/>
      <c r="B15" s="214" t="s">
        <v>94</v>
      </c>
      <c r="C15" s="106" t="s">
        <v>188</v>
      </c>
      <c r="D15" s="106" t="s">
        <v>129</v>
      </c>
      <c r="E15" s="106" t="s">
        <v>122</v>
      </c>
      <c r="F15" s="236" t="str">
        <f>Swap6M!F18</f>
        <v>EURAB6E10Y_Quote#0000</v>
      </c>
      <c r="G15" s="106" t="s">
        <v>207</v>
      </c>
      <c r="H15" s="237" t="str">
        <f>BasisSwap3M6M!F18</f>
        <v>EUR3E6E10Y_Quote#0000</v>
      </c>
      <c r="I15" s="236" t="str">
        <f t="shared" si="0"/>
        <v>EURAB3EBASIS10Y_Quote</v>
      </c>
      <c r="J15" s="236" t="str">
        <f>_xll.qlCompositeQuote(I15,F15,H15,G15,Permanent,Trigger,ObjectOverwrite)</f>
        <v>EURAB3EBASIS10Y_Quote#0000</v>
      </c>
      <c r="K15" s="245" t="str">
        <f>_xll.ohRangeRetrieveError(J15)</f>
        <v/>
      </c>
      <c r="L15" s="49"/>
    </row>
    <row r="16" spans="1:14" x14ac:dyDescent="0.2">
      <c r="A16" s="122"/>
      <c r="B16" s="214" t="s">
        <v>93</v>
      </c>
      <c r="C16" s="106" t="s">
        <v>188</v>
      </c>
      <c r="D16" s="106" t="s">
        <v>129</v>
      </c>
      <c r="E16" s="106" t="s">
        <v>122</v>
      </c>
      <c r="F16" s="236" t="str">
        <f>Swap6M!F19</f>
        <v>EURAB6E11Y_Quote#0000</v>
      </c>
      <c r="G16" s="106" t="s">
        <v>207</v>
      </c>
      <c r="H16" s="237" t="str">
        <f>BasisSwap3M6M!F19</f>
        <v>EUR3E6E11Y_Quote#0000</v>
      </c>
      <c r="I16" s="236" t="str">
        <f t="shared" si="0"/>
        <v>EURAB3EBASIS11Y_Quote</v>
      </c>
      <c r="J16" s="236" t="str">
        <f>_xll.qlCompositeQuote(I16,F16,H16,G16,Permanent,Trigger,ObjectOverwrite)</f>
        <v>EURAB3EBASIS11Y_Quote#0000</v>
      </c>
      <c r="K16" s="245" t="str">
        <f>_xll.ohRangeRetrieveError(J16)</f>
        <v/>
      </c>
      <c r="L16" s="49"/>
    </row>
    <row r="17" spans="1:12" x14ac:dyDescent="0.2">
      <c r="A17" s="122"/>
      <c r="B17" s="214" t="s">
        <v>92</v>
      </c>
      <c r="C17" s="106" t="s">
        <v>188</v>
      </c>
      <c r="D17" s="106" t="s">
        <v>129</v>
      </c>
      <c r="E17" s="106" t="s">
        <v>122</v>
      </c>
      <c r="F17" s="236" t="str">
        <f>Swap6M!F20</f>
        <v>EURAB6E12Y_Quote#0000</v>
      </c>
      <c r="G17" s="106" t="s">
        <v>207</v>
      </c>
      <c r="H17" s="237" t="str">
        <f>BasisSwap3M6M!F20</f>
        <v>EUR3E6E12Y_Quote#0000</v>
      </c>
      <c r="I17" s="236" t="str">
        <f t="shared" si="0"/>
        <v>EURAB3EBASIS12Y_Quote</v>
      </c>
      <c r="J17" s="236" t="str">
        <f>_xll.qlCompositeQuote(I17,F17,H17,G17,Permanent,Trigger,ObjectOverwrite)</f>
        <v>EURAB3EBASIS12Y_Quote#0000</v>
      </c>
      <c r="K17" s="245" t="str">
        <f>_xll.ohRangeRetrieveError(J17)</f>
        <v/>
      </c>
      <c r="L17" s="49"/>
    </row>
    <row r="18" spans="1:12" x14ac:dyDescent="0.2">
      <c r="A18" s="122"/>
      <c r="B18" s="214" t="s">
        <v>91</v>
      </c>
      <c r="C18" s="106" t="s">
        <v>188</v>
      </c>
      <c r="D18" s="106" t="s">
        <v>129</v>
      </c>
      <c r="E18" s="106" t="s">
        <v>122</v>
      </c>
      <c r="F18" s="236" t="str">
        <f>Swap6M!F21</f>
        <v>EURAB6E13Y_Quote#0000</v>
      </c>
      <c r="G18" s="106" t="s">
        <v>207</v>
      </c>
      <c r="H18" s="237" t="str">
        <f>BasisSwap3M6M!F21</f>
        <v>EUR3E6E13Y_Quote#0000</v>
      </c>
      <c r="I18" s="236" t="str">
        <f t="shared" si="0"/>
        <v>EURAB3EBASIS13Y_Quote</v>
      </c>
      <c r="J18" s="236" t="str">
        <f>_xll.qlCompositeQuote(I18,F18,H18,G18,Permanent,Trigger,ObjectOverwrite)</f>
        <v>EURAB3EBASIS13Y_Quote#0000</v>
      </c>
      <c r="K18" s="245" t="str">
        <f>_xll.ohRangeRetrieveError(J18)</f>
        <v/>
      </c>
      <c r="L18" s="49"/>
    </row>
    <row r="19" spans="1:12" x14ac:dyDescent="0.2">
      <c r="A19" s="122"/>
      <c r="B19" s="214" t="s">
        <v>90</v>
      </c>
      <c r="C19" s="106" t="s">
        <v>188</v>
      </c>
      <c r="D19" s="106" t="s">
        <v>129</v>
      </c>
      <c r="E19" s="106" t="s">
        <v>122</v>
      </c>
      <c r="F19" s="236" t="str">
        <f>Swap6M!F22</f>
        <v>EURAB6E14Y_Quote#0000</v>
      </c>
      <c r="G19" s="106" t="s">
        <v>207</v>
      </c>
      <c r="H19" s="237" t="str">
        <f>BasisSwap3M6M!F22</f>
        <v>EUR3E6E14Y_Quote#0000</v>
      </c>
      <c r="I19" s="236" t="str">
        <f t="shared" si="0"/>
        <v>EURAB3EBASIS14Y_Quote</v>
      </c>
      <c r="J19" s="236" t="str">
        <f>_xll.qlCompositeQuote(I19,F19,H19,G19,Permanent,Trigger,ObjectOverwrite)</f>
        <v>EURAB3EBASIS14Y_Quote#0000</v>
      </c>
      <c r="K19" s="245" t="str">
        <f>_xll.ohRangeRetrieveError(J19)</f>
        <v/>
      </c>
      <c r="L19" s="49"/>
    </row>
    <row r="20" spans="1:12" x14ac:dyDescent="0.2">
      <c r="A20" s="122"/>
      <c r="B20" s="214" t="s">
        <v>89</v>
      </c>
      <c r="C20" s="106" t="s">
        <v>188</v>
      </c>
      <c r="D20" s="106" t="s">
        <v>129</v>
      </c>
      <c r="E20" s="106" t="s">
        <v>122</v>
      </c>
      <c r="F20" s="236" t="str">
        <f>Swap6M!F23</f>
        <v>EURAB6E15Y_Quote#0000</v>
      </c>
      <c r="G20" s="106" t="s">
        <v>207</v>
      </c>
      <c r="H20" s="237" t="str">
        <f>BasisSwap3M6M!F23</f>
        <v>EUR3E6E15Y_Quote#0000</v>
      </c>
      <c r="I20" s="236" t="str">
        <f t="shared" si="0"/>
        <v>EURAB3EBASIS15Y_Quote</v>
      </c>
      <c r="J20" s="236" t="str">
        <f>_xll.qlCompositeQuote(I20,F20,H20,G20,Permanent,Trigger,ObjectOverwrite)</f>
        <v>EURAB3EBASIS15Y_Quote#0000</v>
      </c>
      <c r="K20" s="245" t="str">
        <f>_xll.ohRangeRetrieveError(J20)</f>
        <v/>
      </c>
      <c r="L20" s="49"/>
    </row>
    <row r="21" spans="1:12" x14ac:dyDescent="0.2">
      <c r="A21" s="122"/>
      <c r="B21" s="214" t="s">
        <v>88</v>
      </c>
      <c r="C21" s="106" t="s">
        <v>188</v>
      </c>
      <c r="D21" s="106" t="s">
        <v>129</v>
      </c>
      <c r="E21" s="106" t="s">
        <v>122</v>
      </c>
      <c r="F21" s="236" t="str">
        <f>Swap6M!F24</f>
        <v>EURAB6E16Y_Quote#0000</v>
      </c>
      <c r="G21" s="106" t="s">
        <v>207</v>
      </c>
      <c r="H21" s="237" t="str">
        <f>BasisSwap3M6M!F24</f>
        <v>EUR3E6E16Y_Quote#0000</v>
      </c>
      <c r="I21" s="236" t="str">
        <f t="shared" si="0"/>
        <v>EURAB3EBASIS16Y_Quote</v>
      </c>
      <c r="J21" s="236" t="str">
        <f>_xll.qlCompositeQuote(I21,F21,H21,G21,Permanent,Trigger,ObjectOverwrite)</f>
        <v>EURAB3EBASIS16Y_Quote#0000</v>
      </c>
      <c r="K21" s="245" t="str">
        <f>_xll.ohRangeRetrieveError(J21)</f>
        <v/>
      </c>
      <c r="L21" s="49"/>
    </row>
    <row r="22" spans="1:12" x14ac:dyDescent="0.2">
      <c r="A22" s="122"/>
      <c r="B22" s="214" t="s">
        <v>87</v>
      </c>
      <c r="C22" s="106" t="s">
        <v>188</v>
      </c>
      <c r="D22" s="106" t="s">
        <v>129</v>
      </c>
      <c r="E22" s="106" t="s">
        <v>122</v>
      </c>
      <c r="F22" s="236" t="str">
        <f>Swap6M!F25</f>
        <v>EURAB6E17Y_Quote#0000</v>
      </c>
      <c r="G22" s="106" t="s">
        <v>207</v>
      </c>
      <c r="H22" s="237" t="str">
        <f>BasisSwap3M6M!F25</f>
        <v>EUR3E6E17Y_Quote#0000</v>
      </c>
      <c r="I22" s="236" t="str">
        <f t="shared" si="0"/>
        <v>EURAB3EBASIS17Y_Quote</v>
      </c>
      <c r="J22" s="236" t="str">
        <f>_xll.qlCompositeQuote(I22,F22,H22,G22,Permanent,Trigger,ObjectOverwrite)</f>
        <v>EURAB3EBASIS17Y_Quote#0000</v>
      </c>
      <c r="K22" s="245" t="str">
        <f>_xll.ohRangeRetrieveError(J22)</f>
        <v/>
      </c>
      <c r="L22" s="49"/>
    </row>
    <row r="23" spans="1:12" x14ac:dyDescent="0.2">
      <c r="A23" s="122"/>
      <c r="B23" s="214" t="s">
        <v>86</v>
      </c>
      <c r="C23" s="106" t="s">
        <v>188</v>
      </c>
      <c r="D23" s="106" t="s">
        <v>129</v>
      </c>
      <c r="E23" s="106" t="s">
        <v>122</v>
      </c>
      <c r="F23" s="236" t="str">
        <f>Swap6M!F26</f>
        <v>EURAB6E18Y_Quote#0000</v>
      </c>
      <c r="G23" s="106" t="s">
        <v>207</v>
      </c>
      <c r="H23" s="237" t="str">
        <f>BasisSwap3M6M!F26</f>
        <v>EUR3E6E18Y_Quote#0000</v>
      </c>
      <c r="I23" s="236" t="str">
        <f t="shared" si="0"/>
        <v>EURAB3EBASIS18Y_Quote</v>
      </c>
      <c r="J23" s="236" t="str">
        <f>_xll.qlCompositeQuote(I23,F23,H23,G23,Permanent,Trigger,ObjectOverwrite)</f>
        <v>EURAB3EBASIS18Y_Quote#0000</v>
      </c>
      <c r="K23" s="245" t="str">
        <f>_xll.ohRangeRetrieveError(J23)</f>
        <v/>
      </c>
      <c r="L23" s="49"/>
    </row>
    <row r="24" spans="1:12" x14ac:dyDescent="0.2">
      <c r="A24" s="122"/>
      <c r="B24" s="214" t="s">
        <v>85</v>
      </c>
      <c r="C24" s="106" t="s">
        <v>188</v>
      </c>
      <c r="D24" s="106" t="s">
        <v>129</v>
      </c>
      <c r="E24" s="106" t="s">
        <v>122</v>
      </c>
      <c r="F24" s="236" t="str">
        <f>Swap6M!F27</f>
        <v>EURAB6E19Y_Quote#0000</v>
      </c>
      <c r="G24" s="106" t="s">
        <v>207</v>
      </c>
      <c r="H24" s="237" t="str">
        <f>BasisSwap3M6M!F27</f>
        <v>EUR3E6E19Y_Quote#0000</v>
      </c>
      <c r="I24" s="236" t="str">
        <f t="shared" si="0"/>
        <v>EURAB3EBASIS19Y_Quote</v>
      </c>
      <c r="J24" s="236" t="str">
        <f>_xll.qlCompositeQuote(I24,F24,H24,G24,Permanent,Trigger,ObjectOverwrite)</f>
        <v>EURAB3EBASIS19Y_Quote#0000</v>
      </c>
      <c r="K24" s="245" t="str">
        <f>_xll.ohRangeRetrieveError(J24)</f>
        <v/>
      </c>
      <c r="L24" s="49"/>
    </row>
    <row r="25" spans="1:12" x14ac:dyDescent="0.2">
      <c r="A25" s="122"/>
      <c r="B25" s="214" t="s">
        <v>84</v>
      </c>
      <c r="C25" s="106" t="s">
        <v>188</v>
      </c>
      <c r="D25" s="106" t="s">
        <v>129</v>
      </c>
      <c r="E25" s="106" t="s">
        <v>122</v>
      </c>
      <c r="F25" s="236" t="str">
        <f>Swap6M!F28</f>
        <v>EURAB6E20Y_Quote#0000</v>
      </c>
      <c r="G25" s="106" t="s">
        <v>207</v>
      </c>
      <c r="H25" s="237" t="str">
        <f>BasisSwap3M6M!F28</f>
        <v>EUR3E6E20Y_Quote#0000</v>
      </c>
      <c r="I25" s="236" t="str">
        <f t="shared" si="0"/>
        <v>EURAB3EBASIS20Y_Quote</v>
      </c>
      <c r="J25" s="236" t="str">
        <f>_xll.qlCompositeQuote(I25,F25,H25,G25,Permanent,Trigger,ObjectOverwrite)</f>
        <v>EURAB3EBASIS20Y_Quote#0000</v>
      </c>
      <c r="K25" s="245" t="str">
        <f>_xll.ohRangeRetrieveError(J25)</f>
        <v/>
      </c>
      <c r="L25" s="49"/>
    </row>
    <row r="26" spans="1:12" x14ac:dyDescent="0.2">
      <c r="A26" s="122"/>
      <c r="B26" s="214" t="s">
        <v>83</v>
      </c>
      <c r="C26" s="106" t="s">
        <v>188</v>
      </c>
      <c r="D26" s="106" t="s">
        <v>129</v>
      </c>
      <c r="E26" s="106" t="s">
        <v>122</v>
      </c>
      <c r="F26" s="236" t="str">
        <f>Swap6M!F29</f>
        <v>EURAB6E21Y_Quote#0000</v>
      </c>
      <c r="G26" s="106" t="s">
        <v>207</v>
      </c>
      <c r="H26" s="237" t="str">
        <f>BasisSwap3M6M!F29</f>
        <v>EUR3E6E21Y_Quote#0000</v>
      </c>
      <c r="I26" s="236" t="str">
        <f t="shared" si="0"/>
        <v>EURAB3EBASIS21Y_Quote</v>
      </c>
      <c r="J26" s="236" t="str">
        <f>_xll.qlCompositeQuote(I26,F26,H26,G26,Permanent,Trigger,ObjectOverwrite)</f>
        <v>EURAB3EBASIS21Y_Quote#0000</v>
      </c>
      <c r="K26" s="245" t="str">
        <f>_xll.ohRangeRetrieveError(J26)</f>
        <v/>
      </c>
      <c r="L26" s="49"/>
    </row>
    <row r="27" spans="1:12" x14ac:dyDescent="0.2">
      <c r="A27" s="122"/>
      <c r="B27" s="214" t="s">
        <v>82</v>
      </c>
      <c r="C27" s="106" t="s">
        <v>188</v>
      </c>
      <c r="D27" s="106" t="s">
        <v>129</v>
      </c>
      <c r="E27" s="106" t="s">
        <v>122</v>
      </c>
      <c r="F27" s="236" t="str">
        <f>Swap6M!F30</f>
        <v>EURAB6E22Y_Quote#0000</v>
      </c>
      <c r="G27" s="106" t="s">
        <v>207</v>
      </c>
      <c r="H27" s="237" t="str">
        <f>BasisSwap3M6M!F30</f>
        <v>EUR3E6E22Y_Quote#0000</v>
      </c>
      <c r="I27" s="236" t="str">
        <f t="shared" si="0"/>
        <v>EURAB3EBASIS22Y_Quote</v>
      </c>
      <c r="J27" s="236" t="str">
        <f>_xll.qlCompositeQuote(I27,F27,H27,G27,Permanent,Trigger,ObjectOverwrite)</f>
        <v>EURAB3EBASIS22Y_Quote#0000</v>
      </c>
      <c r="K27" s="245" t="str">
        <f>_xll.ohRangeRetrieveError(J27)</f>
        <v/>
      </c>
      <c r="L27" s="49"/>
    </row>
    <row r="28" spans="1:12" x14ac:dyDescent="0.2">
      <c r="A28" s="122"/>
      <c r="B28" s="214" t="s">
        <v>81</v>
      </c>
      <c r="C28" s="106" t="s">
        <v>188</v>
      </c>
      <c r="D28" s="106" t="s">
        <v>129</v>
      </c>
      <c r="E28" s="106" t="s">
        <v>122</v>
      </c>
      <c r="F28" s="236" t="str">
        <f>Swap6M!F31</f>
        <v>EURAB6E23Y_Quote#0000</v>
      </c>
      <c r="G28" s="106" t="s">
        <v>207</v>
      </c>
      <c r="H28" s="237" t="str">
        <f>BasisSwap3M6M!F31</f>
        <v>EUR3E6E23Y_Quote#0000</v>
      </c>
      <c r="I28" s="236" t="str">
        <f t="shared" si="0"/>
        <v>EURAB3EBASIS23Y_Quote</v>
      </c>
      <c r="J28" s="236" t="str">
        <f>_xll.qlCompositeQuote(I28,F28,H28,G28,Permanent,Trigger,ObjectOverwrite)</f>
        <v>EURAB3EBASIS23Y_Quote#0000</v>
      </c>
      <c r="K28" s="245" t="str">
        <f>_xll.ohRangeRetrieveError(J28)</f>
        <v/>
      </c>
      <c r="L28" s="49"/>
    </row>
    <row r="29" spans="1:12" x14ac:dyDescent="0.2">
      <c r="A29" s="122"/>
      <c r="B29" s="214" t="s">
        <v>80</v>
      </c>
      <c r="C29" s="106" t="s">
        <v>188</v>
      </c>
      <c r="D29" s="106" t="s">
        <v>129</v>
      </c>
      <c r="E29" s="106" t="s">
        <v>122</v>
      </c>
      <c r="F29" s="236" t="str">
        <f>Swap6M!F32</f>
        <v>EURAB6E24Y_Quote#0000</v>
      </c>
      <c r="G29" s="106" t="s">
        <v>207</v>
      </c>
      <c r="H29" s="237" t="str">
        <f>BasisSwap3M6M!F32</f>
        <v>EUR3E6E24Y_Quote#0000</v>
      </c>
      <c r="I29" s="236" t="str">
        <f t="shared" si="0"/>
        <v>EURAB3EBASIS24Y_Quote</v>
      </c>
      <c r="J29" s="236" t="str">
        <f>_xll.qlCompositeQuote(I29,F29,H29,G29,Permanent,Trigger,ObjectOverwrite)</f>
        <v>EURAB3EBASIS24Y_Quote#0000</v>
      </c>
      <c r="K29" s="245" t="str">
        <f>_xll.ohRangeRetrieveError(J29)</f>
        <v/>
      </c>
      <c r="L29" s="49"/>
    </row>
    <row r="30" spans="1:12" x14ac:dyDescent="0.2">
      <c r="A30" s="122"/>
      <c r="B30" s="214" t="s">
        <v>79</v>
      </c>
      <c r="C30" s="106" t="s">
        <v>188</v>
      </c>
      <c r="D30" s="106" t="s">
        <v>129</v>
      </c>
      <c r="E30" s="106" t="s">
        <v>122</v>
      </c>
      <c r="F30" s="236" t="str">
        <f>Swap6M!F33</f>
        <v>EURAB6E25Y_Quote#0000</v>
      </c>
      <c r="G30" s="106" t="s">
        <v>207</v>
      </c>
      <c r="H30" s="237" t="str">
        <f>BasisSwap3M6M!F33</f>
        <v>EUR3E6E25Y_Quote#0000</v>
      </c>
      <c r="I30" s="236" t="str">
        <f t="shared" si="0"/>
        <v>EURAB3EBASIS25Y_Quote</v>
      </c>
      <c r="J30" s="236" t="str">
        <f>_xll.qlCompositeQuote(I30,F30,H30,G30,Permanent,Trigger,ObjectOverwrite)</f>
        <v>EURAB3EBASIS25Y_Quote#0000</v>
      </c>
      <c r="K30" s="245" t="str">
        <f>_xll.ohRangeRetrieveError(J30)</f>
        <v/>
      </c>
      <c r="L30" s="49"/>
    </row>
    <row r="31" spans="1:12" x14ac:dyDescent="0.2">
      <c r="A31" s="122"/>
      <c r="B31" s="214" t="s">
        <v>78</v>
      </c>
      <c r="C31" s="106" t="s">
        <v>188</v>
      </c>
      <c r="D31" s="106" t="s">
        <v>129</v>
      </c>
      <c r="E31" s="106" t="s">
        <v>122</v>
      </c>
      <c r="F31" s="236" t="str">
        <f>Swap6M!F34</f>
        <v>EURAB6E26Y_Quote#0000</v>
      </c>
      <c r="G31" s="106" t="s">
        <v>207</v>
      </c>
      <c r="H31" s="237" t="str">
        <f>BasisSwap3M6M!F34</f>
        <v>EUR3E6E26Y_Quote#0000</v>
      </c>
      <c r="I31" s="236" t="str">
        <f t="shared" si="0"/>
        <v>EURAB3EBASIS26Y_Quote</v>
      </c>
      <c r="J31" s="236" t="str">
        <f>_xll.qlCompositeQuote(I31,F31,H31,G31,Permanent,Trigger,ObjectOverwrite)</f>
        <v>EURAB3EBASIS26Y_Quote#0000</v>
      </c>
      <c r="K31" s="245" t="str">
        <f>_xll.ohRangeRetrieveError(J31)</f>
        <v/>
      </c>
      <c r="L31" s="49"/>
    </row>
    <row r="32" spans="1:12" x14ac:dyDescent="0.2">
      <c r="A32" s="122"/>
      <c r="B32" s="214" t="s">
        <v>77</v>
      </c>
      <c r="C32" s="106" t="s">
        <v>188</v>
      </c>
      <c r="D32" s="106" t="s">
        <v>129</v>
      </c>
      <c r="E32" s="106" t="s">
        <v>122</v>
      </c>
      <c r="F32" s="236" t="str">
        <f>Swap6M!F35</f>
        <v>EURAB6E27Y_Quote#0000</v>
      </c>
      <c r="G32" s="106" t="s">
        <v>207</v>
      </c>
      <c r="H32" s="237" t="str">
        <f>BasisSwap3M6M!F35</f>
        <v>EUR3E6E27Y_Quote#0000</v>
      </c>
      <c r="I32" s="236" t="str">
        <f t="shared" si="0"/>
        <v>EURAB3EBASIS27Y_Quote</v>
      </c>
      <c r="J32" s="236" t="str">
        <f>_xll.qlCompositeQuote(I32,F32,H32,G32,Permanent,Trigger,ObjectOverwrite)</f>
        <v>EURAB3EBASIS27Y_Quote#0000</v>
      </c>
      <c r="K32" s="245" t="str">
        <f>_xll.ohRangeRetrieveError(J32)</f>
        <v/>
      </c>
      <c r="L32" s="49"/>
    </row>
    <row r="33" spans="1:12" x14ac:dyDescent="0.2">
      <c r="A33" s="122"/>
      <c r="B33" s="214" t="s">
        <v>76</v>
      </c>
      <c r="C33" s="106" t="s">
        <v>188</v>
      </c>
      <c r="D33" s="106" t="s">
        <v>129</v>
      </c>
      <c r="E33" s="106" t="s">
        <v>122</v>
      </c>
      <c r="F33" s="236" t="str">
        <f>Swap6M!F36</f>
        <v>EURAB6E28Y_Quote#0000</v>
      </c>
      <c r="G33" s="106" t="s">
        <v>207</v>
      </c>
      <c r="H33" s="237" t="str">
        <f>BasisSwap3M6M!F36</f>
        <v>EUR3E6E28Y_Quote#0000</v>
      </c>
      <c r="I33" s="236" t="str">
        <f t="shared" si="0"/>
        <v>EURAB3EBASIS28Y_Quote</v>
      </c>
      <c r="J33" s="236" t="str">
        <f>_xll.qlCompositeQuote(I33,F33,H33,G33,Permanent,Trigger,ObjectOverwrite)</f>
        <v>EURAB3EBASIS28Y_Quote#0000</v>
      </c>
      <c r="K33" s="245" t="str">
        <f>_xll.ohRangeRetrieveError(J33)</f>
        <v/>
      </c>
      <c r="L33" s="49"/>
    </row>
    <row r="34" spans="1:12" x14ac:dyDescent="0.2">
      <c r="A34" s="122"/>
      <c r="B34" s="214" t="s">
        <v>75</v>
      </c>
      <c r="C34" s="106" t="s">
        <v>188</v>
      </c>
      <c r="D34" s="106" t="s">
        <v>129</v>
      </c>
      <c r="E34" s="106" t="s">
        <v>122</v>
      </c>
      <c r="F34" s="236" t="str">
        <f>Swap6M!F37</f>
        <v>EURAB6E29Y_Quote#0000</v>
      </c>
      <c r="G34" s="106" t="s">
        <v>207</v>
      </c>
      <c r="H34" s="237" t="str">
        <f>BasisSwap3M6M!F37</f>
        <v>EUR3E6E29Y_Quote#0000</v>
      </c>
      <c r="I34" s="236" t="str">
        <f t="shared" si="0"/>
        <v>EURAB3EBASIS29Y_Quote</v>
      </c>
      <c r="J34" s="236" t="str">
        <f>_xll.qlCompositeQuote(I34,F34,H34,G34,Permanent,Trigger,ObjectOverwrite)</f>
        <v>EURAB3EBASIS29Y_Quote#0000</v>
      </c>
      <c r="K34" s="245" t="str">
        <f>_xll.ohRangeRetrieveError(J34)</f>
        <v/>
      </c>
      <c r="L34" s="49"/>
    </row>
    <row r="35" spans="1:12" x14ac:dyDescent="0.2">
      <c r="A35" s="122"/>
      <c r="B35" s="214" t="s">
        <v>74</v>
      </c>
      <c r="C35" s="106" t="s">
        <v>188</v>
      </c>
      <c r="D35" s="106" t="s">
        <v>129</v>
      </c>
      <c r="E35" s="106" t="s">
        <v>122</v>
      </c>
      <c r="F35" s="236" t="str">
        <f>Swap6M!F38</f>
        <v>EURAB6E30Y_Quote#0000</v>
      </c>
      <c r="G35" s="106" t="s">
        <v>207</v>
      </c>
      <c r="H35" s="237" t="str">
        <f>BasisSwap3M6M!F38</f>
        <v>EUR3E6E30Y_Quote#0000</v>
      </c>
      <c r="I35" s="236" t="str">
        <f t="shared" si="0"/>
        <v>EURAB3EBASIS30Y_Quote</v>
      </c>
      <c r="J35" s="236" t="str">
        <f>_xll.qlCompositeQuote(I35,F35,H35,G35,Permanent,Trigger,ObjectOverwrite)</f>
        <v>EURAB3EBASIS30Y_Quote#0000</v>
      </c>
      <c r="K35" s="245" t="str">
        <f>_xll.ohRangeRetrieveError(J35)</f>
        <v/>
      </c>
      <c r="L35" s="49"/>
    </row>
    <row r="36" spans="1:12" x14ac:dyDescent="0.2">
      <c r="A36" s="122"/>
      <c r="B36" s="214" t="s">
        <v>69</v>
      </c>
      <c r="C36" s="106" t="s">
        <v>188</v>
      </c>
      <c r="D36" s="106" t="s">
        <v>129</v>
      </c>
      <c r="E36" s="106" t="s">
        <v>122</v>
      </c>
      <c r="F36" s="236" t="str">
        <f>Swap6M!F39</f>
        <v>EURAB6E35Y_Quote#0000</v>
      </c>
      <c r="G36" s="106" t="s">
        <v>207</v>
      </c>
      <c r="H36" s="237" t="str">
        <f>BasisSwap3M6M!F39</f>
        <v>EUR3E6E35Y_Quote#0000</v>
      </c>
      <c r="I36" s="236" t="str">
        <f t="shared" si="0"/>
        <v>EURAB3EBASIS35Y_Quote</v>
      </c>
      <c r="J36" s="236" t="str">
        <f>_xll.qlCompositeQuote(I36,F36,H36,G36,Permanent,Trigger,ObjectOverwrite)</f>
        <v>EURAB3EBASIS35Y_Quote#0000</v>
      </c>
      <c r="K36" s="245" t="str">
        <f>_xll.ohRangeRetrieveError(J36)</f>
        <v/>
      </c>
      <c r="L36" s="49"/>
    </row>
    <row r="37" spans="1:12" x14ac:dyDescent="0.2">
      <c r="A37" s="122"/>
      <c r="B37" s="214" t="s">
        <v>64</v>
      </c>
      <c r="C37" s="106" t="s">
        <v>188</v>
      </c>
      <c r="D37" s="106" t="s">
        <v>129</v>
      </c>
      <c r="E37" s="106" t="s">
        <v>122</v>
      </c>
      <c r="F37" s="236" t="str">
        <f>Swap6M!F40</f>
        <v>EURAB6E40Y_Quote#0000</v>
      </c>
      <c r="G37" s="106" t="s">
        <v>207</v>
      </c>
      <c r="H37" s="237" t="str">
        <f>BasisSwap3M6M!F40</f>
        <v>EUR3E6E40Y_Quote#0000</v>
      </c>
      <c r="I37" s="236" t="str">
        <f t="shared" si="0"/>
        <v>EURAB3EBASIS40Y_Quote</v>
      </c>
      <c r="J37" s="236" t="str">
        <f>_xll.qlCompositeQuote(I37,F37,H37,G37,Permanent,Trigger,ObjectOverwrite)</f>
        <v>EURAB3EBASIS40Y_Quote#0000</v>
      </c>
      <c r="K37" s="245" t="str">
        <f>_xll.ohRangeRetrieveError(J37)</f>
        <v/>
      </c>
      <c r="L37" s="49"/>
    </row>
    <row r="38" spans="1:12" x14ac:dyDescent="0.2">
      <c r="A38" s="122"/>
      <c r="B38" s="214" t="s">
        <v>54</v>
      </c>
      <c r="C38" s="106" t="s">
        <v>188</v>
      </c>
      <c r="D38" s="106" t="s">
        <v>129</v>
      </c>
      <c r="E38" s="106" t="s">
        <v>122</v>
      </c>
      <c r="F38" s="236" t="str">
        <f>Swap6M!F41</f>
        <v>EURAB6E50Y_Quote#0000</v>
      </c>
      <c r="G38" s="106" t="s">
        <v>207</v>
      </c>
      <c r="H38" s="237" t="str">
        <f>BasisSwap3M6M!F41</f>
        <v>EUR3E6E50Y_Quote#0000</v>
      </c>
      <c r="I38" s="236" t="str">
        <f t="shared" si="0"/>
        <v>EURAB3EBASIS50Y_Quote</v>
      </c>
      <c r="J38" s="236" t="str">
        <f>_xll.qlCompositeQuote(I38,F38,H38,G38,Permanent,Trigger,ObjectOverwrite)</f>
        <v>EURAB3EBASIS50Y_Quote#0000</v>
      </c>
      <c r="K38" s="245" t="str">
        <f>_xll.ohRangeRetrieveError(J38)</f>
        <v/>
      </c>
      <c r="L38" s="49"/>
    </row>
    <row r="39" spans="1:12" x14ac:dyDescent="0.2">
      <c r="A39" s="122"/>
      <c r="B39" s="214" t="s">
        <v>44</v>
      </c>
      <c r="C39" s="106" t="s">
        <v>188</v>
      </c>
      <c r="D39" s="106" t="s">
        <v>129</v>
      </c>
      <c r="E39" s="106" t="s">
        <v>122</v>
      </c>
      <c r="F39" s="236" t="str">
        <f>Swap6M!F42</f>
        <v>EURAB6E60Y_Quote#0000</v>
      </c>
      <c r="G39" s="106" t="s">
        <v>207</v>
      </c>
      <c r="H39" s="237" t="str">
        <f>BasisSwap3M6M!F42</f>
        <v>EUR3E6E60Y_Quote#0000</v>
      </c>
      <c r="I39" s="236" t="str">
        <f t="shared" si="0"/>
        <v>EURAB3EBASIS60Y_Quote</v>
      </c>
      <c r="J39" s="236" t="str">
        <f>_xll.qlCompositeQuote(I39,F39,H39,G39,Permanent,Trigger,ObjectOverwrite)</f>
        <v>EURAB3EBASIS60Y_Quote#0000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t="e">
        <f ca="1">IF(Serialize,_xll.ohObjectSave(J3:J39,SerializationPath&amp;I2,FileOverwrite,Serialize),"---")</f>
        <v>#NUM!</v>
      </c>
      <c r="K2" s="239" t="e">
        <f ca="1">_xll.ohRangeRetrieveError(J2)</f>
        <v>#NUM!</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e">
        <f>_xll.qlCompositeQuote(I3,F3,H3,G3,Permanent,Trigger,ObjectOverwrite)</f>
        <v>#NUM!</v>
      </c>
      <c r="K3" s="245" t="e">
        <f ca="1">_xll.ohRangeRetrieveError(J3)</f>
        <v>#NUM!</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e">
        <f>_xll.qlCompositeQuote(I4,F4,H4,G4,Permanent,Trigger,ObjectOverwrite)</f>
        <v>#NUM!</v>
      </c>
      <c r="K4" s="245" t="e">
        <f ca="1">_xll.ohRangeRetrieveError(J4)</f>
        <v>#NUM!</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e">
        <f>_xll.qlCompositeQuote(I5,F5,H5,G5,Permanent,Trigger,ObjectOverwrite)</f>
        <v>#NUM!</v>
      </c>
      <c r="K5" s="245" t="e">
        <f ca="1">_xll.ohRangeRetrieveError(J5)</f>
        <v>#NUM!</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e">
        <f>_xll.qlCompositeQuote(I6,F6,H6,G6,Permanent,Trigger,ObjectOverwrite)</f>
        <v>#NUM!</v>
      </c>
      <c r="K6" s="245" t="e">
        <f ca="1">_xll.ohRangeRetrieveError(J6)</f>
        <v>#NUM!</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e">
        <f>_xll.qlCompositeQuote(I7,F7,H7,G7,Permanent,Trigger,ObjectOverwrite)</f>
        <v>#NUM!</v>
      </c>
      <c r="K7" s="245" t="e">
        <f ca="1">_xll.ohRangeRetrieveError(J7)</f>
        <v>#NUM!</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e">
        <f>_xll.qlCompositeQuote(I8,F8,H8,G8,Permanent,Trigger,ObjectOverwrite)</f>
        <v>#NUM!</v>
      </c>
      <c r="K8" s="245" t="e">
        <f ca="1">_xll.ohRangeRetrieveError(J8)</f>
        <v>#NUM!</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e">
        <f>_xll.qlCompositeQuote(I9,F9,H9,G9,Permanent,Trigger,ObjectOverwrite)</f>
        <v>#NUM!</v>
      </c>
      <c r="K9" s="245" t="e">
        <f ca="1">_xll.ohRangeRetrieveError(J9)</f>
        <v>#NUM!</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e">
        <f>_xll.qlCompositeQuote(I10,F10,H10,G10,Permanent,Trigger,ObjectOverwrite)</f>
        <v>#NUM!</v>
      </c>
      <c r="K10" s="245" t="e">
        <f ca="1">_xll.ohRangeRetrieveError(J10)</f>
        <v>#NUM!</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e">
        <f>_xll.qlCompositeQuote(I11,F11,H11,G11,Permanent,Trigger,ObjectOverwrite)</f>
        <v>#NUM!</v>
      </c>
      <c r="K11" s="245" t="e">
        <f ca="1">_xll.ohRangeRetrieveError(J11)</f>
        <v>#NUM!</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e">
        <f>_xll.qlCompositeQuote(I12,F12,H12,G12,Permanent,Trigger,ObjectOverwrite)</f>
        <v>#NUM!</v>
      </c>
      <c r="K12" s="245" t="e">
        <f ca="1">_xll.ohRangeRetrieveError(J12)</f>
        <v>#NUM!</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e">
        <f>_xll.qlCompositeQuote(I13,F13,H13,G13,Permanent,Trigger,ObjectOverwrite)</f>
        <v>#NUM!</v>
      </c>
      <c r="K13" s="245" t="e">
        <f ca="1">_xll.ohRangeRetrieveError(J13)</f>
        <v>#NUM!</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e">
        <f>_xll.qlCompositeQuote(I14,F14,H14,G14,Permanent,Trigger,ObjectOverwrite)</f>
        <v>#NUM!</v>
      </c>
      <c r="K14" s="245" t="e">
        <f ca="1">_xll.ohRangeRetrieveError(J14)</f>
        <v>#NUM!</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e">
        <f>_xll.qlCompositeQuote(I15,F15,H15,G15,Permanent,Trigger,ObjectOverwrite)</f>
        <v>#NUM!</v>
      </c>
      <c r="K15" s="245" t="e">
        <f ca="1">_xll.ohRangeRetrieveError(J15)</f>
        <v>#NUM!</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e">
        <f>_xll.qlCompositeQuote(I16,F16,H16,G16,Permanent,Trigger,ObjectOverwrite)</f>
        <v>#NUM!</v>
      </c>
      <c r="K16" s="245" t="e">
        <f ca="1">_xll.ohRangeRetrieveError(J16)</f>
        <v>#NUM!</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e">
        <f>_xll.qlCompositeQuote(I17,F17,H17,G17,Permanent,Trigger,ObjectOverwrite)</f>
        <v>#NUM!</v>
      </c>
      <c r="K17" s="245" t="e">
        <f ca="1">_xll.ohRangeRetrieveError(J17)</f>
        <v>#NUM!</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e">
        <f>_xll.qlCompositeQuote(I18,F18,H18,G18,Permanent,Trigger,ObjectOverwrite)</f>
        <v>#NUM!</v>
      </c>
      <c r="K18" s="245" t="e">
        <f ca="1">_xll.ohRangeRetrieveError(J18)</f>
        <v>#NUM!</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e">
        <f>_xll.qlCompositeQuote(I19,F19,H19,G19,Permanent,Trigger,ObjectOverwrite)</f>
        <v>#NUM!</v>
      </c>
      <c r="K19" s="245" t="e">
        <f ca="1">_xll.ohRangeRetrieveError(J19)</f>
        <v>#NUM!</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e">
        <f>_xll.qlCompositeQuote(I20,F20,H20,G20,Permanent,Trigger,ObjectOverwrite)</f>
        <v>#NUM!</v>
      </c>
      <c r="K20" s="245" t="e">
        <f ca="1">_xll.ohRangeRetrieveError(J20)</f>
        <v>#NUM!</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e">
        <f>_xll.qlCompositeQuote(I21,F21,H21,G21,Permanent,Trigger,ObjectOverwrite)</f>
        <v>#NUM!</v>
      </c>
      <c r="K21" s="245" t="e">
        <f ca="1">_xll.ohRangeRetrieveError(J21)</f>
        <v>#NUM!</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e">
        <f>_xll.qlCompositeQuote(I22,F22,H22,G22,Permanent,Trigger,ObjectOverwrite)</f>
        <v>#NUM!</v>
      </c>
      <c r="K22" s="245" t="e">
        <f ca="1">_xll.ohRangeRetrieveError(J22)</f>
        <v>#NUM!</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e">
        <f>_xll.qlCompositeQuote(I23,F23,H23,G23,Permanent,Trigger,ObjectOverwrite)</f>
        <v>#NUM!</v>
      </c>
      <c r="K23" s="245" t="e">
        <f ca="1">_xll.ohRangeRetrieveError(J23)</f>
        <v>#NUM!</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e">
        <f>_xll.qlCompositeQuote(I24,F24,H24,G24,Permanent,Trigger,ObjectOverwrite)</f>
        <v>#NUM!</v>
      </c>
      <c r="K24" s="245" t="e">
        <f ca="1">_xll.ohRangeRetrieveError(J24)</f>
        <v>#NUM!</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e">
        <f>_xll.qlCompositeQuote(I25,F25,H25,G25,Permanent,Trigger,ObjectOverwrite)</f>
        <v>#NUM!</v>
      </c>
      <c r="K25" s="245" t="e">
        <f ca="1">_xll.ohRangeRetrieveError(J25)</f>
        <v>#NUM!</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e">
        <f>_xll.qlCompositeQuote(I26,F26,H26,G26,Permanent,Trigger,ObjectOverwrite)</f>
        <v>#NUM!</v>
      </c>
      <c r="K26" s="245" t="e">
        <f ca="1">_xll.ohRangeRetrieveError(J26)</f>
        <v>#NUM!</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e">
        <f>_xll.qlCompositeQuote(I27,F27,H27,G27,Permanent,Trigger,ObjectOverwrite)</f>
        <v>#NUM!</v>
      </c>
      <c r="K27" s="245" t="e">
        <f ca="1">_xll.ohRangeRetrieveError(J27)</f>
        <v>#NUM!</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e">
        <f>_xll.qlCompositeQuote(I28,F28,H28,G28,Permanent,Trigger,ObjectOverwrite)</f>
        <v>#NUM!</v>
      </c>
      <c r="K28" s="245" t="e">
        <f ca="1">_xll.ohRangeRetrieveError(J28)</f>
        <v>#NUM!</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e">
        <f>_xll.qlCompositeQuote(I29,F29,H29,G29,Permanent,Trigger,ObjectOverwrite)</f>
        <v>#NUM!</v>
      </c>
      <c r="K29" s="245" t="e">
        <f ca="1">_xll.ohRangeRetrieveError(J29)</f>
        <v>#NUM!</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e">
        <f>_xll.qlCompositeQuote(I30,F30,H30,G30,Permanent,Trigger,ObjectOverwrite)</f>
        <v>#NUM!</v>
      </c>
      <c r="K30" s="245" t="e">
        <f ca="1">_xll.ohRangeRetrieveError(J30)</f>
        <v>#NUM!</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e">
        <f>_xll.qlCompositeQuote(I31,F31,H31,G31,Permanent,Trigger,ObjectOverwrite)</f>
        <v>#NUM!</v>
      </c>
      <c r="K31" s="245" t="e">
        <f ca="1">_xll.ohRangeRetrieveError(J31)</f>
        <v>#NUM!</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e">
        <f>_xll.qlCompositeQuote(I32,F32,H32,G32,Permanent,Trigger,ObjectOverwrite)</f>
        <v>#NUM!</v>
      </c>
      <c r="K32" s="245" t="e">
        <f ca="1">_xll.ohRangeRetrieveError(J32)</f>
        <v>#NUM!</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e">
        <f>_xll.qlCompositeQuote(I33,F33,H33,G33,Permanent,Trigger,ObjectOverwrite)</f>
        <v>#NUM!</v>
      </c>
      <c r="K33" s="245" t="e">
        <f ca="1">_xll.ohRangeRetrieveError(J33)</f>
        <v>#NUM!</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e">
        <f>_xll.qlCompositeQuote(I34,F34,H34,G34,Permanent,Trigger,ObjectOverwrite)</f>
        <v>#NUM!</v>
      </c>
      <c r="K34" s="245" t="e">
        <f ca="1">_xll.ohRangeRetrieveError(J34)</f>
        <v>#NUM!</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e">
        <f>_xll.qlCompositeQuote(I35,F35,H35,G35,Permanent,Trigger,ObjectOverwrite)</f>
        <v>#NUM!</v>
      </c>
      <c r="K35" s="245" t="e">
        <f ca="1">_xll.ohRangeRetrieveError(J35)</f>
        <v>#NUM!</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e">
        <f>_xll.qlCompositeQuote(I36,F36,H36,G36,Permanent,Trigger,ObjectOverwrite)</f>
        <v>#NUM!</v>
      </c>
      <c r="K36" s="245" t="e">
        <f ca="1">_xll.ohRangeRetrieveError(J36)</f>
        <v>#NUM!</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e">
        <f>_xll.qlCompositeQuote(I37,F37,H37,G37,Permanent,Trigger,ObjectOverwrite)</f>
        <v>#NUM!</v>
      </c>
      <c r="K37" s="245" t="e">
        <f ca="1">_xll.ohRangeRetrieveError(J37)</f>
        <v>#NUM!</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e">
        <f>_xll.qlCompositeQuote(I38,F38,H38,G38,Permanent,Trigger,ObjectOverwrite)</f>
        <v>#NUM!</v>
      </c>
      <c r="K38" s="245" t="e">
        <f ca="1">_xll.ohRangeRetrieveError(J38)</f>
        <v>#NUM!</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e">
        <f>_xll.qlCompositeQuote(I39,F39,H39,G39,Permanent,Trigger,ObjectOverwrite)</f>
        <v>#NUM!</v>
      </c>
      <c r="K39" s="245" t="e">
        <f ca="1">_xll.ohRangeRetrieveError(J39)</f>
        <v>#NUM!</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N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20.57031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4" x14ac:dyDescent="0.2">
      <c r="A1" s="216" t="s">
        <v>211</v>
      </c>
      <c r="B1" s="199"/>
      <c r="C1" s="199"/>
      <c r="D1" s="199"/>
      <c r="E1" s="199"/>
      <c r="F1" s="199"/>
      <c r="G1" s="199"/>
      <c r="H1" s="199"/>
      <c r="I1" s="154"/>
      <c r="J1" s="215"/>
      <c r="K1" s="154"/>
      <c r="L1" s="196"/>
    </row>
    <row r="2" spans="1:14"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4" x14ac:dyDescent="0.2">
      <c r="A3" s="122"/>
      <c r="B3" s="214" t="s">
        <v>21</v>
      </c>
      <c r="C3" s="106" t="s">
        <v>188</v>
      </c>
      <c r="D3" s="106" t="s">
        <v>131</v>
      </c>
      <c r="E3" s="106" t="s">
        <v>122</v>
      </c>
      <c r="F3" s="236" t="str">
        <f t="shared" ref="F3:F39" si="0">Currency&amp;$C3&amp;E3&amp;$B3&amp;QuoteSuffix</f>
        <v>EURAB6E1Y_Quote</v>
      </c>
      <c r="G3" s="106" t="s">
        <v>210</v>
      </c>
      <c r="H3" s="237" t="str">
        <f>BasisSwapxM12M!F6</f>
        <v>EUR6E12E1Y_Quote#0000</v>
      </c>
      <c r="I3" s="236" t="str">
        <f t="shared" ref="I3:I39" si="1">Currency&amp;$C3&amp;$D3&amp;"BASIS"&amp;$B3&amp;QuoteSuffix</f>
        <v>EURAB12EBASIS1Y_Quote</v>
      </c>
      <c r="J3" s="236" t="str">
        <f>_xll.qlCompositeQuote(I3,F3,H3,G3,Permanent,Trigger,ObjectOverwrite)</f>
        <v>EURAB12EBASIS1Y_Quote#0000</v>
      </c>
      <c r="K3" s="245" t="str">
        <f>_xll.ohRangeRetrieveError(J3)</f>
        <v/>
      </c>
      <c r="L3" s="49"/>
      <c r="N3" s="68" t="str">
        <f>_xll.ohObjectCallerAddress(H3)</f>
        <v>[EUR_Market.xlsm]BasisSwapxM12M!R6C6</v>
      </c>
    </row>
    <row r="4" spans="1:14" x14ac:dyDescent="0.2">
      <c r="A4" s="122"/>
      <c r="B4" s="214" t="s">
        <v>127</v>
      </c>
      <c r="C4" s="106" t="s">
        <v>188</v>
      </c>
      <c r="D4" s="106" t="s">
        <v>131</v>
      </c>
      <c r="E4" s="106" t="s">
        <v>122</v>
      </c>
      <c r="F4" s="236" t="str">
        <f t="shared" si="0"/>
        <v>EURAB6E15M_Quote</v>
      </c>
      <c r="G4" s="106" t="s">
        <v>210</v>
      </c>
      <c r="H4" s="237" t="str">
        <f>BasisSwapxM12M!F7</f>
        <v>EUR6E12E15M_Quote#0000</v>
      </c>
      <c r="I4" s="236" t="str">
        <f t="shared" si="1"/>
        <v>EURAB12EBASIS15M_Quote</v>
      </c>
      <c r="J4" s="236" t="str">
        <f>_xll.qlCompositeQuote(I4,F4,H4,G4,Permanent,Trigger,ObjectOverwrite)</f>
        <v>EURAB12EBASIS15M_Quote#0000</v>
      </c>
      <c r="K4" s="245" t="str">
        <f>_xll.ohRangeRetrieveError(J4)</f>
        <v/>
      </c>
      <c r="L4" s="49"/>
    </row>
    <row r="5" spans="1:14" x14ac:dyDescent="0.2">
      <c r="A5" s="122"/>
      <c r="B5" s="214" t="s">
        <v>126</v>
      </c>
      <c r="C5" s="106" t="s">
        <v>188</v>
      </c>
      <c r="D5" s="106" t="s">
        <v>131</v>
      </c>
      <c r="E5" s="106" t="s">
        <v>122</v>
      </c>
      <c r="F5" s="236" t="str">
        <f t="shared" si="0"/>
        <v>EURAB6E18M_Quote</v>
      </c>
      <c r="G5" s="106" t="s">
        <v>210</v>
      </c>
      <c r="H5" s="237" t="str">
        <f>BasisSwapxM12M!F8</f>
        <v>EUR6E12E18M_Quote#0000</v>
      </c>
      <c r="I5" s="236" t="str">
        <f t="shared" si="1"/>
        <v>EURAB12EBASIS18M_Quote</v>
      </c>
      <c r="J5" s="236" t="str">
        <f>_xll.qlCompositeQuote(I5,F5,H5,G5,Permanent,Trigger,ObjectOverwrite)</f>
        <v>EURAB12EBASIS18M_Quote#0000</v>
      </c>
      <c r="K5" s="245" t="str">
        <f>_xll.ohRangeRetrieveError(J5)</f>
        <v/>
      </c>
      <c r="L5" s="49"/>
    </row>
    <row r="6" spans="1:14" x14ac:dyDescent="0.2">
      <c r="A6" s="122"/>
      <c r="B6" s="214" t="s">
        <v>125</v>
      </c>
      <c r="C6" s="106" t="s">
        <v>188</v>
      </c>
      <c r="D6" s="106" t="s">
        <v>131</v>
      </c>
      <c r="E6" s="106" t="s">
        <v>122</v>
      </c>
      <c r="F6" s="236" t="str">
        <f t="shared" si="0"/>
        <v>EURAB6E21M_Quote</v>
      </c>
      <c r="G6" s="106" t="s">
        <v>210</v>
      </c>
      <c r="H6" s="237" t="str">
        <f>BasisSwapxM12M!F9</f>
        <v>EUR6E12E21M_Quote#0000</v>
      </c>
      <c r="I6" s="236" t="str">
        <f t="shared" si="1"/>
        <v>EURAB12EBASIS21M_Quote</v>
      </c>
      <c r="J6" s="236" t="str">
        <f>_xll.qlCompositeQuote(I6,F6,H6,G6,Permanent,Trigger,ObjectOverwrite)</f>
        <v>EURAB12EBASIS21M_Quote#0000</v>
      </c>
      <c r="K6" s="245" t="str">
        <f>_xll.ohRangeRetrieveError(J6)</f>
        <v/>
      </c>
      <c r="L6" s="49"/>
    </row>
    <row r="7" spans="1:14" x14ac:dyDescent="0.2">
      <c r="A7" s="122"/>
      <c r="B7" s="214" t="s">
        <v>102</v>
      </c>
      <c r="C7" s="106" t="s">
        <v>188</v>
      </c>
      <c r="D7" s="106" t="s">
        <v>131</v>
      </c>
      <c r="E7" s="106" t="s">
        <v>122</v>
      </c>
      <c r="F7" s="236" t="str">
        <f t="shared" si="0"/>
        <v>EURAB6E2Y_Quote</v>
      </c>
      <c r="G7" s="106" t="s">
        <v>210</v>
      </c>
      <c r="H7" s="237" t="str">
        <f>BasisSwapxM12M!F10</f>
        <v>EUR6E12E2Y_Quote#0000</v>
      </c>
      <c r="I7" s="236" t="str">
        <f t="shared" si="1"/>
        <v>EURAB12EBASIS2Y_Quote</v>
      </c>
      <c r="J7" s="236" t="str">
        <f>_xll.qlCompositeQuote(I7,F7,H7,G7,Permanent,Trigger,ObjectOverwrite)</f>
        <v>EURAB12EBASIS2Y_Quote#0000</v>
      </c>
      <c r="K7" s="245" t="str">
        <f>_xll.ohRangeRetrieveError(J7)</f>
        <v/>
      </c>
      <c r="L7" s="49"/>
    </row>
    <row r="8" spans="1:14" x14ac:dyDescent="0.2">
      <c r="A8" s="122"/>
      <c r="B8" s="214" t="s">
        <v>101</v>
      </c>
      <c r="C8" s="106" t="s">
        <v>188</v>
      </c>
      <c r="D8" s="106" t="s">
        <v>131</v>
      </c>
      <c r="E8" s="106" t="s">
        <v>122</v>
      </c>
      <c r="F8" s="236" t="str">
        <f t="shared" si="0"/>
        <v>EURAB6E3Y_Quote</v>
      </c>
      <c r="G8" s="106" t="s">
        <v>210</v>
      </c>
      <c r="H8" s="237" t="str">
        <f>BasisSwapxM12M!F11</f>
        <v>EUR6E12E3Y_Quote#0000</v>
      </c>
      <c r="I8" s="236" t="str">
        <f t="shared" si="1"/>
        <v>EURAB12EBASIS3Y_Quote</v>
      </c>
      <c r="J8" s="236" t="str">
        <f>_xll.qlCompositeQuote(I8,F8,H8,G8,Permanent,Trigger,ObjectOverwrite)</f>
        <v>EURAB12EBASIS3Y_Quote#0000</v>
      </c>
      <c r="K8" s="245" t="str">
        <f>_xll.ohRangeRetrieveError(J8)</f>
        <v/>
      </c>
      <c r="L8" s="49"/>
    </row>
    <row r="9" spans="1:14" x14ac:dyDescent="0.2">
      <c r="A9" s="122"/>
      <c r="B9" s="214" t="s">
        <v>100</v>
      </c>
      <c r="C9" s="106" t="s">
        <v>188</v>
      </c>
      <c r="D9" s="106" t="s">
        <v>131</v>
      </c>
      <c r="E9" s="106" t="s">
        <v>122</v>
      </c>
      <c r="F9" s="236" t="str">
        <f t="shared" si="0"/>
        <v>EURAB6E4Y_Quote</v>
      </c>
      <c r="G9" s="106" t="s">
        <v>210</v>
      </c>
      <c r="H9" s="237" t="str">
        <f>BasisSwapxM12M!F12</f>
        <v>EUR6E12E4Y_Quote#0000</v>
      </c>
      <c r="I9" s="236" t="str">
        <f t="shared" si="1"/>
        <v>EURAB12EBASIS4Y_Quote</v>
      </c>
      <c r="J9" s="236" t="str">
        <f>_xll.qlCompositeQuote(I9,F9,H9,G9,Permanent,Trigger,ObjectOverwrite)</f>
        <v>EURAB12EBASIS4Y_Quote#0000</v>
      </c>
      <c r="K9" s="245" t="str">
        <f>_xll.ohRangeRetrieveError(J9)</f>
        <v/>
      </c>
      <c r="L9" s="49"/>
    </row>
    <row r="10" spans="1:14" x14ac:dyDescent="0.2">
      <c r="A10" s="122"/>
      <c r="B10" s="214" t="s">
        <v>99</v>
      </c>
      <c r="C10" s="106" t="s">
        <v>188</v>
      </c>
      <c r="D10" s="106" t="s">
        <v>131</v>
      </c>
      <c r="E10" s="106" t="s">
        <v>122</v>
      </c>
      <c r="F10" s="236" t="str">
        <f t="shared" si="0"/>
        <v>EURAB6E5Y_Quote</v>
      </c>
      <c r="G10" s="106" t="s">
        <v>210</v>
      </c>
      <c r="H10" s="237" t="str">
        <f>BasisSwapxM12M!F13</f>
        <v>EUR6E12E5Y_Quote#0000</v>
      </c>
      <c r="I10" s="236" t="str">
        <f t="shared" si="1"/>
        <v>EURAB12EBASIS5Y_Quote</v>
      </c>
      <c r="J10" s="236" t="str">
        <f>_xll.qlCompositeQuote(I10,F10,H10,G10,Permanent,Trigger,ObjectOverwrite)</f>
        <v>EURAB12EBASIS5Y_Quote#0000</v>
      </c>
      <c r="K10" s="245" t="str">
        <f>_xll.ohRangeRetrieveError(J10)</f>
        <v/>
      </c>
      <c r="L10" s="49"/>
    </row>
    <row r="11" spans="1:14" x14ac:dyDescent="0.2">
      <c r="A11" s="122"/>
      <c r="B11" s="214" t="s">
        <v>98</v>
      </c>
      <c r="C11" s="106" t="s">
        <v>188</v>
      </c>
      <c r="D11" s="106" t="s">
        <v>131</v>
      </c>
      <c r="E11" s="106" t="s">
        <v>122</v>
      </c>
      <c r="F11" s="236" t="str">
        <f t="shared" si="0"/>
        <v>EURAB6E6Y_Quote</v>
      </c>
      <c r="G11" s="106" t="s">
        <v>210</v>
      </c>
      <c r="H11" s="237" t="str">
        <f>BasisSwapxM12M!F14</f>
        <v>EUR6E12E6Y_Quote#0000</v>
      </c>
      <c r="I11" s="236" t="str">
        <f t="shared" si="1"/>
        <v>EURAB12EBASIS6Y_Quote</v>
      </c>
      <c r="J11" s="236" t="str">
        <f>_xll.qlCompositeQuote(I11,F11,H11,G11,Permanent,Trigger,ObjectOverwrite)</f>
        <v>EURAB12EBASIS6Y_Quote#0000</v>
      </c>
      <c r="K11" s="245" t="str">
        <f>_xll.ohRangeRetrieveError(J11)</f>
        <v/>
      </c>
      <c r="L11" s="49"/>
    </row>
    <row r="12" spans="1:14" x14ac:dyDescent="0.2">
      <c r="A12" s="122"/>
      <c r="B12" s="214" t="s">
        <v>97</v>
      </c>
      <c r="C12" s="106" t="s">
        <v>188</v>
      </c>
      <c r="D12" s="106" t="s">
        <v>131</v>
      </c>
      <c r="E12" s="106" t="s">
        <v>122</v>
      </c>
      <c r="F12" s="236" t="str">
        <f t="shared" si="0"/>
        <v>EURAB6E7Y_Quote</v>
      </c>
      <c r="G12" s="106" t="s">
        <v>210</v>
      </c>
      <c r="H12" s="237" t="str">
        <f>BasisSwapxM12M!F15</f>
        <v>EUR6E12E7Y_Quote#0000</v>
      </c>
      <c r="I12" s="236" t="str">
        <f t="shared" si="1"/>
        <v>EURAB12EBASIS7Y_Quote</v>
      </c>
      <c r="J12" s="236" t="str">
        <f>_xll.qlCompositeQuote(I12,F12,H12,G12,Permanent,Trigger,ObjectOverwrite)</f>
        <v>EURAB12EBASIS7Y_Quote#0000</v>
      </c>
      <c r="K12" s="245" t="str">
        <f>_xll.ohRangeRetrieveError(J12)</f>
        <v/>
      </c>
      <c r="L12" s="49"/>
    </row>
    <row r="13" spans="1:14" x14ac:dyDescent="0.2">
      <c r="A13" s="122"/>
      <c r="B13" s="214" t="s">
        <v>96</v>
      </c>
      <c r="C13" s="106" t="s">
        <v>188</v>
      </c>
      <c r="D13" s="106" t="s">
        <v>131</v>
      </c>
      <c r="E13" s="106" t="s">
        <v>122</v>
      </c>
      <c r="F13" s="236" t="str">
        <f t="shared" si="0"/>
        <v>EURAB6E8Y_Quote</v>
      </c>
      <c r="G13" s="106" t="s">
        <v>210</v>
      </c>
      <c r="H13" s="237" t="str">
        <f>BasisSwapxM12M!F16</f>
        <v>EUR6E12E8Y_Quote#0000</v>
      </c>
      <c r="I13" s="236" t="str">
        <f t="shared" si="1"/>
        <v>EURAB12EBASIS8Y_Quote</v>
      </c>
      <c r="J13" s="236" t="str">
        <f>_xll.qlCompositeQuote(I13,F13,H13,G13,Permanent,Trigger,ObjectOverwrite)</f>
        <v>EURAB12EBASIS8Y_Quote#0000</v>
      </c>
      <c r="K13" s="245" t="str">
        <f>_xll.ohRangeRetrieveError(J13)</f>
        <v/>
      </c>
      <c r="L13" s="49"/>
    </row>
    <row r="14" spans="1:14" x14ac:dyDescent="0.2">
      <c r="A14" s="122"/>
      <c r="B14" s="214" t="s">
        <v>95</v>
      </c>
      <c r="C14" s="106" t="s">
        <v>188</v>
      </c>
      <c r="D14" s="106" t="s">
        <v>131</v>
      </c>
      <c r="E14" s="106" t="s">
        <v>122</v>
      </c>
      <c r="F14" s="236" t="str">
        <f t="shared" si="0"/>
        <v>EURAB6E9Y_Quote</v>
      </c>
      <c r="G14" s="106" t="s">
        <v>210</v>
      </c>
      <c r="H14" s="237" t="str">
        <f>BasisSwapxM12M!F17</f>
        <v>EUR6E12E9Y_Quote#0000</v>
      </c>
      <c r="I14" s="236" t="str">
        <f t="shared" si="1"/>
        <v>EURAB12EBASIS9Y_Quote</v>
      </c>
      <c r="J14" s="236" t="str">
        <f>_xll.qlCompositeQuote(I14,F14,H14,G14,Permanent,Trigger,ObjectOverwrite)</f>
        <v>EURAB12EBASIS9Y_Quote#0000</v>
      </c>
      <c r="K14" s="245" t="str">
        <f>_xll.ohRangeRetrieveError(J14)</f>
        <v/>
      </c>
      <c r="L14" s="49"/>
    </row>
    <row r="15" spans="1:14" x14ac:dyDescent="0.2">
      <c r="A15" s="122"/>
      <c r="B15" s="214" t="s">
        <v>94</v>
      </c>
      <c r="C15" s="106" t="s">
        <v>188</v>
      </c>
      <c r="D15" s="106" t="s">
        <v>131</v>
      </c>
      <c r="E15" s="106" t="s">
        <v>122</v>
      </c>
      <c r="F15" s="236" t="str">
        <f t="shared" si="0"/>
        <v>EURAB6E10Y_Quote</v>
      </c>
      <c r="G15" s="106" t="s">
        <v>210</v>
      </c>
      <c r="H15" s="237" t="str">
        <f>BasisSwapxM12M!F18</f>
        <v>EUR6E12E10Y_Quote#0000</v>
      </c>
      <c r="I15" s="236" t="str">
        <f t="shared" si="1"/>
        <v>EURAB12EBASIS10Y_Quote</v>
      </c>
      <c r="J15" s="236" t="str">
        <f>_xll.qlCompositeQuote(I15,F15,H15,G15,Permanent,Trigger,ObjectOverwrite)</f>
        <v>EURAB12EBASIS10Y_Quote#0000</v>
      </c>
      <c r="K15" s="245" t="str">
        <f>_xll.ohRangeRetrieveError(J15)</f>
        <v/>
      </c>
      <c r="L15" s="49"/>
    </row>
    <row r="16" spans="1:14" x14ac:dyDescent="0.2">
      <c r="A16" s="122"/>
      <c r="B16" s="214" t="s">
        <v>93</v>
      </c>
      <c r="C16" s="106" t="s">
        <v>188</v>
      </c>
      <c r="D16" s="106" t="s">
        <v>131</v>
      </c>
      <c r="E16" s="106" t="s">
        <v>122</v>
      </c>
      <c r="F16" s="236" t="str">
        <f t="shared" si="0"/>
        <v>EURAB6E11Y_Quote</v>
      </c>
      <c r="G16" s="106" t="s">
        <v>210</v>
      </c>
      <c r="H16" s="237" t="str">
        <f>BasisSwapxM12M!F19</f>
        <v>EUR6E12E11Y_Quote#0000</v>
      </c>
      <c r="I16" s="236" t="str">
        <f t="shared" si="1"/>
        <v>EURAB12EBASIS11Y_Quote</v>
      </c>
      <c r="J16" s="236" t="str">
        <f>_xll.qlCompositeQuote(I16,F16,H16,G16,Permanent,Trigger,ObjectOverwrite)</f>
        <v>EURAB12EBASIS11Y_Quote#0000</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BasisSwapxM12M!F20</f>
        <v>EUR6E12E12Y_Quote#0000</v>
      </c>
      <c r="I17" s="236" t="str">
        <f t="shared" si="1"/>
        <v>EURAB12EBASIS12Y_Quote</v>
      </c>
      <c r="J17" s="236" t="str">
        <f>_xll.qlCompositeQuote(I17,F17,H17,G17,Permanent,Trigger,ObjectOverwrite)</f>
        <v>EURAB12EBASIS12Y_Quote#0000</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BasisSwapxM12M!F21</f>
        <v>EUR6E12E13Y_Quote#0000</v>
      </c>
      <c r="I18" s="236" t="str">
        <f t="shared" si="1"/>
        <v>EURAB12EBASIS13Y_Quote</v>
      </c>
      <c r="J18" s="236" t="str">
        <f>_xll.qlCompositeQuote(I18,F18,H18,G18,Permanent,Trigger,ObjectOverwrite)</f>
        <v>EURAB12EBASIS13Y_Quote#0000</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BasisSwapxM12M!F22</f>
        <v>EUR6E12E14Y_Quote#0000</v>
      </c>
      <c r="I19" s="236" t="str">
        <f t="shared" si="1"/>
        <v>EURAB12EBASIS14Y_Quote</v>
      </c>
      <c r="J19" s="236" t="str">
        <f>_xll.qlCompositeQuote(I19,F19,H19,G19,Permanent,Trigger,ObjectOverwrite)</f>
        <v>EURAB12EBASIS14Y_Quote#0000</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BasisSwapxM12M!F23</f>
        <v>EUR6E12E15Y_Quote#0000</v>
      </c>
      <c r="I20" s="236" t="str">
        <f t="shared" si="1"/>
        <v>EURAB12EBASIS15Y_Quote</v>
      </c>
      <c r="J20" s="236" t="str">
        <f>_xll.qlCompositeQuote(I20,F20,H20,G20,Permanent,Trigger,ObjectOverwrite)</f>
        <v>EURAB12EBASIS15Y_Quote#0000</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BasisSwapxM12M!F24</f>
        <v>EUR6E12E16Y_Quote#0000</v>
      </c>
      <c r="I21" s="236" t="str">
        <f t="shared" si="1"/>
        <v>EURAB12EBASIS16Y_Quote</v>
      </c>
      <c r="J21" s="236" t="str">
        <f>_xll.qlCompositeQuote(I21,F21,H21,G21,Permanent,Trigger,ObjectOverwrite)</f>
        <v>EURAB12EBASIS16Y_Quote#0000</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BasisSwapxM12M!F25</f>
        <v>EUR6E12E17Y_Quote#0000</v>
      </c>
      <c r="I22" s="236" t="str">
        <f t="shared" si="1"/>
        <v>EURAB12EBASIS17Y_Quote</v>
      </c>
      <c r="J22" s="236" t="str">
        <f>_xll.qlCompositeQuote(I22,F22,H22,G22,Permanent,Trigger,ObjectOverwrite)</f>
        <v>EURAB12EBASIS17Y_Quote#0000</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BasisSwapxM12M!F26</f>
        <v>EUR6E12E18Y_Quote#0000</v>
      </c>
      <c r="I23" s="236" t="str">
        <f t="shared" si="1"/>
        <v>EURAB12EBASIS18Y_Quote</v>
      </c>
      <c r="J23" s="236" t="str">
        <f>_xll.qlCompositeQuote(I23,F23,H23,G23,Permanent,Trigger,ObjectOverwrite)</f>
        <v>EURAB12EBASIS18Y_Quote#0000</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BasisSwapxM12M!F27</f>
        <v>EUR6E12E19Y_Quote#0000</v>
      </c>
      <c r="I24" s="236" t="str">
        <f t="shared" si="1"/>
        <v>EURAB12EBASIS19Y_Quote</v>
      </c>
      <c r="J24" s="236" t="str">
        <f>_xll.qlCompositeQuote(I24,F24,H24,G24,Permanent,Trigger,ObjectOverwrite)</f>
        <v>EURAB12EBASIS19Y_Quote#0000</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BasisSwapxM12M!F28</f>
        <v>EUR6E12E20Y_Quote#0000</v>
      </c>
      <c r="I25" s="236" t="str">
        <f t="shared" si="1"/>
        <v>EURAB12EBASIS20Y_Quote</v>
      </c>
      <c r="J25" s="236" t="str">
        <f>_xll.qlCompositeQuote(I25,F25,H25,G25,Permanent,Trigger,ObjectOverwrite)</f>
        <v>EURAB12EBASIS20Y_Quote#0000</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BasisSwapxM12M!F29</f>
        <v>EUR6E12E21Y_Quote#0000</v>
      </c>
      <c r="I26" s="236" t="str">
        <f t="shared" si="1"/>
        <v>EURAB12EBASIS21Y_Quote</v>
      </c>
      <c r="J26" s="236" t="str">
        <f>_xll.qlCompositeQuote(I26,F26,H26,G26,Permanent,Trigger,ObjectOverwrite)</f>
        <v>EURAB12EBASIS21Y_Quote#0000</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BasisSwapxM12M!F30</f>
        <v>EUR6E12E22Y_Quote#0000</v>
      </c>
      <c r="I27" s="236" t="str">
        <f t="shared" si="1"/>
        <v>EURAB12EBASIS22Y_Quote</v>
      </c>
      <c r="J27" s="236" t="str">
        <f>_xll.qlCompositeQuote(I27,F27,H27,G27,Permanent,Trigger,ObjectOverwrite)</f>
        <v>EURAB12EBASIS22Y_Quote#0000</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BasisSwapxM12M!F31</f>
        <v>EUR6E12E23Y_Quote#0000</v>
      </c>
      <c r="I28" s="236" t="str">
        <f t="shared" si="1"/>
        <v>EURAB12EBASIS23Y_Quote</v>
      </c>
      <c r="J28" s="236" t="str">
        <f>_xll.qlCompositeQuote(I28,F28,H28,G28,Permanent,Trigger,ObjectOverwrite)</f>
        <v>EURAB12EBASIS23Y_Quote#0000</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BasisSwapxM12M!F32</f>
        <v>EUR6E12E24Y_Quote#0000</v>
      </c>
      <c r="I29" s="236" t="str">
        <f t="shared" si="1"/>
        <v>EURAB12EBASIS24Y_Quote</v>
      </c>
      <c r="J29" s="236" t="str">
        <f>_xll.qlCompositeQuote(I29,F29,H29,G29,Permanent,Trigger,ObjectOverwrite)</f>
        <v>EURAB12EBASIS24Y_Quote#0000</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BasisSwapxM12M!F33</f>
        <v>EUR6E12E25Y_Quote#0000</v>
      </c>
      <c r="I30" s="236" t="str">
        <f t="shared" si="1"/>
        <v>EURAB12EBASIS25Y_Quote</v>
      </c>
      <c r="J30" s="236" t="str">
        <f>_xll.qlCompositeQuote(I30,F30,H30,G30,Permanent,Trigger,ObjectOverwrite)</f>
        <v>EURAB12EBASIS25Y_Quote#0000</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BasisSwapxM12M!F34</f>
        <v>EUR6E12E26Y_Quote#0000</v>
      </c>
      <c r="I31" s="236" t="str">
        <f t="shared" si="1"/>
        <v>EURAB12EBASIS26Y_Quote</v>
      </c>
      <c r="J31" s="236" t="str">
        <f>_xll.qlCompositeQuote(I31,F31,H31,G31,Permanent,Trigger,ObjectOverwrite)</f>
        <v>EURAB12EBASIS26Y_Quote#0000</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BasisSwapxM12M!F35</f>
        <v>EUR6E12E27Y_Quote#0000</v>
      </c>
      <c r="I32" s="236" t="str">
        <f t="shared" si="1"/>
        <v>EURAB12EBASIS27Y_Quote</v>
      </c>
      <c r="J32" s="236" t="str">
        <f>_xll.qlCompositeQuote(I32,F32,H32,G32,Permanent,Trigger,ObjectOverwrite)</f>
        <v>EURAB12EBASIS27Y_Quote#0000</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BasisSwapxM12M!F36</f>
        <v>EUR6E12E28Y_Quote#0000</v>
      </c>
      <c r="I33" s="236" t="str">
        <f t="shared" si="1"/>
        <v>EURAB12EBASIS28Y_Quote</v>
      </c>
      <c r="J33" s="236" t="str">
        <f>_xll.qlCompositeQuote(I33,F33,H33,G33,Permanent,Trigger,ObjectOverwrite)</f>
        <v>EURAB12EBASIS28Y_Quote#0000</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BasisSwapxM12M!F37</f>
        <v>EUR6E12E29Y_Quote#0000</v>
      </c>
      <c r="I34" s="236" t="str">
        <f t="shared" si="1"/>
        <v>EURAB12EBASIS29Y_Quote</v>
      </c>
      <c r="J34" s="236" t="str">
        <f>_xll.qlCompositeQuote(I34,F34,H34,G34,Permanent,Trigger,ObjectOverwrite)</f>
        <v>EURAB12EBASIS29Y_Quote#0000</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BasisSwapxM12M!F38</f>
        <v>EUR6E12E30Y_Quote#0000</v>
      </c>
      <c r="I35" s="236" t="str">
        <f t="shared" si="1"/>
        <v>EURAB12EBASIS30Y_Quote</v>
      </c>
      <c r="J35" s="236" t="str">
        <f>_xll.qlCompositeQuote(I35,F35,H35,G35,Permanent,Trigger,ObjectOverwrite)</f>
        <v>EURAB12EBASIS30Y_Quote#0000</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BasisSwapxM12M!F39</f>
        <v>EUR6E12E35Y_Quote#0000</v>
      </c>
      <c r="I36" s="236" t="str">
        <f t="shared" si="1"/>
        <v>EURAB12EBASIS35Y_Quote</v>
      </c>
      <c r="J36" s="236" t="str">
        <f>_xll.qlCompositeQuote(I36,F36,H36,G36,Permanent,Trigger,ObjectOverwrite)</f>
        <v>EURAB12EBASIS35Y_Quote#0000</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BasisSwapxM12M!F40</f>
        <v>EUR6E12E40Y_Quote#0000</v>
      </c>
      <c r="I37" s="236" t="str">
        <f t="shared" si="1"/>
        <v>EURAB12EBASIS40Y_Quote</v>
      </c>
      <c r="J37" s="236" t="str">
        <f>_xll.qlCompositeQuote(I37,F37,H37,G37,Permanent,Trigger,ObjectOverwrite)</f>
        <v>EURAB12EBASIS40Y_Quote#0000</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BasisSwapxM12M!F41</f>
        <v>EUR6E12E50Y_Quote#0000</v>
      </c>
      <c r="I38" s="236" t="str">
        <f t="shared" si="1"/>
        <v>EURAB12EBASIS50Y_Quote</v>
      </c>
      <c r="J38" s="236" t="str">
        <f>_xll.qlCompositeQuote(I38,F38,H38,G38,Permanent,Trigger,ObjectOverwrite)</f>
        <v>EURAB12EBASIS50Y_Quote#0000</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BasisSwapxM12M!F42</f>
        <v>EUR6E12E60Y_Quote#0000</v>
      </c>
      <c r="I39" s="236" t="str">
        <f t="shared" si="1"/>
        <v>EURAB12EBASIS60Y_Quote</v>
      </c>
      <c r="J39" s="236" t="str">
        <f>_xll.qlCompositeQuote(I39,F39,H39,G39,Permanent,Trigger,ObjectOverwrite)</f>
        <v>EURAB12EBASIS60Y_Quote#0000</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23" customWidth="1"/>
    <col min="3" max="3" width="5.7109375" style="423" bestFit="1" customWidth="1"/>
    <col min="4" max="4" width="12.5703125" style="423" bestFit="1" customWidth="1"/>
    <col min="5" max="5" width="12.85546875" style="423" customWidth="1"/>
    <col min="6" max="6" width="7.42578125" style="423" customWidth="1"/>
    <col min="7" max="7" width="6" style="423" bestFit="1" customWidth="1"/>
    <col min="8" max="8" width="5.5703125" style="423" bestFit="1" customWidth="1"/>
    <col min="9" max="9" width="4.28515625" style="423" customWidth="1"/>
    <col min="10" max="10" width="12" style="423" bestFit="1" customWidth="1"/>
    <col min="11" max="11" width="11.42578125" style="423" bestFit="1" customWidth="1"/>
    <col min="12" max="12" width="8.7109375" style="423" bestFit="1" customWidth="1"/>
    <col min="13" max="13" width="7.7109375" style="423" bestFit="1" customWidth="1"/>
    <col min="14" max="14" width="10" style="423" bestFit="1" customWidth="1"/>
    <col min="15" max="15" width="7.140625" style="423" hidden="1" customWidth="1"/>
    <col min="16" max="17" width="4.28515625" style="423" customWidth="1"/>
    <col min="18" max="18" width="4" style="423" bestFit="1" customWidth="1"/>
    <col min="19" max="19" width="4.85546875" style="423" bestFit="1" customWidth="1"/>
    <col min="20" max="20" width="6.140625" style="423" bestFit="1" customWidth="1"/>
    <col min="21" max="16384" width="9.140625" style="423"/>
  </cols>
  <sheetData>
    <row r="1" spans="1:30" ht="12" thickBot="1" x14ac:dyDescent="0.25">
      <c r="A1" s="424" t="s">
        <v>317</v>
      </c>
      <c r="B1" s="424"/>
      <c r="C1" s="424"/>
      <c r="D1" s="429"/>
      <c r="E1" s="437"/>
      <c r="F1" s="475"/>
      <c r="G1" s="475"/>
      <c r="H1" s="424"/>
      <c r="I1" s="429"/>
      <c r="J1" s="424"/>
      <c r="K1" s="424"/>
      <c r="L1" s="424"/>
      <c r="M1" s="424"/>
      <c r="N1" s="424"/>
      <c r="O1" s="424"/>
      <c r="P1" s="424"/>
      <c r="Q1" s="424"/>
      <c r="R1" s="424"/>
      <c r="S1" s="424"/>
      <c r="T1" s="424"/>
      <c r="U1" s="424"/>
      <c r="V1" s="424"/>
      <c r="W1" s="424"/>
      <c r="X1" s="424"/>
      <c r="Y1" s="424"/>
      <c r="Z1" s="424"/>
      <c r="AA1" s="424"/>
      <c r="AB1" s="424"/>
      <c r="AC1" s="424"/>
      <c r="AD1" s="424"/>
    </row>
    <row r="2" spans="1:30" ht="22.5" customHeight="1" x14ac:dyDescent="0.4">
      <c r="A2" s="424"/>
      <c r="B2" s="474"/>
      <c r="C2" s="468"/>
      <c r="D2" s="473" t="str">
        <f>VLOOKUP(Currency,Traits,2,FALSE)</f>
        <v>IB365</v>
      </c>
      <c r="E2" s="472"/>
      <c r="F2" s="471"/>
      <c r="G2" s="471"/>
      <c r="H2" s="468"/>
      <c r="I2" s="468"/>
      <c r="J2" s="470" t="str">
        <f>VLOOKUP(Currency,Traits,3,FALSE)</f>
        <v>ibor365</v>
      </c>
      <c r="K2" s="468"/>
      <c r="L2" s="468"/>
      <c r="M2" s="469">
        <f>MAX(O4:O18)</f>
        <v>0</v>
      </c>
      <c r="N2" s="468"/>
      <c r="O2" s="468"/>
      <c r="P2" s="467"/>
      <c r="Q2" s="424"/>
      <c r="R2" s="424"/>
      <c r="S2" s="424"/>
      <c r="T2" s="424"/>
      <c r="U2" s="424"/>
      <c r="V2" s="424"/>
      <c r="W2" s="424"/>
      <c r="X2" s="424"/>
      <c r="Y2" s="424"/>
      <c r="Z2" s="424"/>
      <c r="AA2" s="424"/>
      <c r="AB2" s="424"/>
      <c r="AC2" s="424"/>
      <c r="AD2" s="424"/>
    </row>
    <row r="3" spans="1:30" ht="22.5" x14ac:dyDescent="0.2">
      <c r="A3" s="424"/>
      <c r="B3" s="453"/>
      <c r="C3" s="465" t="s">
        <v>39</v>
      </c>
      <c r="D3" s="464" t="e">
        <f ca="1">_xll.RData(D4:D18,E3:F3,,,,E4)</f>
        <v>#NAME?</v>
      </c>
      <c r="E3" s="464" t="s">
        <v>301</v>
      </c>
      <c r="F3" s="464" t="s">
        <v>227</v>
      </c>
      <c r="G3" s="464" t="s">
        <v>300</v>
      </c>
      <c r="H3" s="463" t="s">
        <v>299</v>
      </c>
      <c r="I3" s="466"/>
      <c r="J3" s="465" t="s">
        <v>238</v>
      </c>
      <c r="K3" s="464" t="s">
        <v>298</v>
      </c>
      <c r="L3" s="464" t="s">
        <v>297</v>
      </c>
      <c r="M3" s="464" t="s">
        <v>296</v>
      </c>
      <c r="N3" s="463" t="s">
        <v>295</v>
      </c>
      <c r="O3" s="462"/>
      <c r="P3" s="443"/>
      <c r="Q3" s="424"/>
      <c r="R3" s="424"/>
      <c r="S3" s="424"/>
      <c r="T3" s="424"/>
      <c r="U3" s="424"/>
      <c r="V3" s="424"/>
      <c r="W3" s="424"/>
      <c r="X3" s="424"/>
      <c r="Y3" s="424"/>
      <c r="Z3" s="424"/>
      <c r="AA3" s="424"/>
      <c r="AB3" s="424"/>
      <c r="AC3" s="424"/>
      <c r="AD3" s="424"/>
    </row>
    <row r="4" spans="1:30" x14ac:dyDescent="0.2">
      <c r="A4" s="424"/>
      <c r="B4" s="453"/>
      <c r="C4" s="461" t="s">
        <v>35</v>
      </c>
      <c r="D4" s="456" t="str">
        <f t="shared" ref="D4:D18" si="0">Currency&amp;$D$2&amp;$C4&amp;"D="</f>
        <v>EURIB365SWD=</v>
      </c>
      <c r="E4" s="460">
        <v>41479</v>
      </c>
      <c r="F4" s="459">
        <v>0.108</v>
      </c>
      <c r="G4" s="459" t="b">
        <f>IF(AND(ISNUMBER($F4),$F4&lt;&gt;0%,_xll.ohTrigger(Trigger)+1),TRUE,FALSE)</f>
        <v>1</v>
      </c>
      <c r="H4" s="458" t="e">
        <f>IF($G4,_xll.qlIndexAddFixings($J4,$E4,$F4/100,TRUE,ISERROR($K4)),NA())</f>
        <v>#NUM!</v>
      </c>
      <c r="I4" s="448"/>
      <c r="J4" s="457" t="str">
        <f t="shared" ref="J4:J18" si="1">PROPER(Currency)&amp;$J$2&amp;$C4</f>
        <v>Euribor365SW</v>
      </c>
      <c r="K4" s="456" t="e">
        <f>_xll.qlIndexFixing($J4,$E4,TRUE,$G4)</f>
        <v>#NUM!</v>
      </c>
      <c r="L4" s="456" t="e">
        <f>IF($H4,_xll.qlIndexFixing($J4,$E4,FALSE,$G4),"-")</f>
        <v>#NUM!</v>
      </c>
      <c r="M4" s="456" t="e">
        <f t="shared" ref="M4:M18" si="2">K4-L4</f>
        <v>#NUM!</v>
      </c>
      <c r="N4" s="455" t="e">
        <f>_xll.qlIndexFixing($J4,$E4,TRUE,$L4)</f>
        <v>#NUM!</v>
      </c>
      <c r="O4" s="454">
        <f t="shared" ref="O4:O18" si="3">IF(ISERROR(M4),0,ABS(M4))</f>
        <v>0</v>
      </c>
      <c r="P4" s="443"/>
      <c r="Q4" s="424"/>
      <c r="R4" s="424"/>
      <c r="S4" s="424"/>
      <c r="T4" s="424"/>
      <c r="U4" s="424"/>
      <c r="V4" s="424"/>
      <c r="W4" s="424"/>
      <c r="X4" s="424"/>
      <c r="Y4" s="424"/>
      <c r="Z4" s="424"/>
      <c r="AA4" s="424"/>
      <c r="AB4" s="424"/>
      <c r="AC4" s="424"/>
      <c r="AD4" s="424"/>
    </row>
    <row r="5" spans="1:30" x14ac:dyDescent="0.2">
      <c r="A5" s="424"/>
      <c r="B5" s="453"/>
      <c r="C5" s="461" t="s">
        <v>34</v>
      </c>
      <c r="D5" s="456" t="str">
        <f t="shared" si="0"/>
        <v>EURIB3652WD=</v>
      </c>
      <c r="E5" s="460">
        <v>41479</v>
      </c>
      <c r="F5" s="459">
        <v>0.115</v>
      </c>
      <c r="G5" s="459" t="b">
        <f>IF(AND(ISNUMBER($F5),$F5&lt;&gt;0%,_xll.ohTrigger(Trigger)+1),TRUE,FALSE)</f>
        <v>1</v>
      </c>
      <c r="H5" s="458" t="e">
        <f>IF($G5,_xll.qlIndexAddFixings($J5,$E5,$F5/100,TRUE,ISERROR($K5)),NA())</f>
        <v>#NUM!</v>
      </c>
      <c r="I5" s="448"/>
      <c r="J5" s="457" t="str">
        <f t="shared" si="1"/>
        <v>Euribor3652W</v>
      </c>
      <c r="K5" s="456" t="e">
        <f>_xll.qlIndexFixing($J5,$E5,TRUE,$G5)</f>
        <v>#NUM!</v>
      </c>
      <c r="L5" s="456" t="e">
        <f>IF($H5,_xll.qlIndexFixing($J5,$E5,FALSE,$G5),"-")</f>
        <v>#NUM!</v>
      </c>
      <c r="M5" s="456" t="e">
        <f t="shared" si="2"/>
        <v>#NUM!</v>
      </c>
      <c r="N5" s="455" t="e">
        <f>_xll.qlIndexFixing($J5,$E5,TRUE,$L5)</f>
        <v>#NUM!</v>
      </c>
      <c r="O5" s="454">
        <f t="shared" si="3"/>
        <v>0</v>
      </c>
      <c r="P5" s="443"/>
      <c r="Q5" s="424"/>
      <c r="R5" s="424"/>
      <c r="S5" s="424"/>
      <c r="T5" s="424"/>
      <c r="U5" s="424"/>
      <c r="V5" s="424"/>
      <c r="W5" s="424"/>
      <c r="X5" s="424"/>
      <c r="Y5" s="424"/>
      <c r="Z5" s="424"/>
      <c r="AA5" s="424"/>
      <c r="AB5" s="424"/>
      <c r="AC5" s="424"/>
      <c r="AD5" s="424"/>
    </row>
    <row r="6" spans="1:30" x14ac:dyDescent="0.2">
      <c r="A6" s="424"/>
      <c r="B6" s="453"/>
      <c r="C6" s="461" t="s">
        <v>33</v>
      </c>
      <c r="D6" s="456" t="str">
        <f t="shared" si="0"/>
        <v>EURIB3653WD=</v>
      </c>
      <c r="E6" s="460">
        <v>41479</v>
      </c>
      <c r="F6" s="459">
        <v>0.123</v>
      </c>
      <c r="G6" s="459" t="b">
        <f>IF(AND(ISNUMBER($F6),$F6&lt;&gt;0%,_xll.ohTrigger(Trigger)+1),TRUE,FALSE)</f>
        <v>1</v>
      </c>
      <c r="H6" s="458" t="e">
        <f>IF($G6,_xll.qlIndexAddFixings($J6,$E6,$F6/100,TRUE,ISERROR($K6)),NA())</f>
        <v>#NUM!</v>
      </c>
      <c r="I6" s="448"/>
      <c r="J6" s="457" t="str">
        <f t="shared" si="1"/>
        <v>Euribor3653W</v>
      </c>
      <c r="K6" s="456" t="e">
        <f>_xll.qlIndexFixing($J6,$E6,TRUE,$G6)</f>
        <v>#NUM!</v>
      </c>
      <c r="L6" s="456" t="e">
        <f>IF($H6,_xll.qlIndexFixing($J6,$E6,FALSE,$G6),"-")</f>
        <v>#NUM!</v>
      </c>
      <c r="M6" s="456" t="e">
        <f t="shared" si="2"/>
        <v>#NUM!</v>
      </c>
      <c r="N6" s="455" t="e">
        <f>_xll.qlIndexFixing($J6,$E6,TRUE,$L6)</f>
        <v>#NUM!</v>
      </c>
      <c r="O6" s="454">
        <f t="shared" si="3"/>
        <v>0</v>
      </c>
      <c r="P6" s="443"/>
      <c r="Q6" s="424"/>
      <c r="R6" s="424"/>
      <c r="S6" s="424"/>
      <c r="T6" s="424"/>
      <c r="U6" s="424"/>
      <c r="V6" s="424"/>
      <c r="W6" s="424"/>
      <c r="X6" s="424"/>
      <c r="Y6" s="424"/>
      <c r="Z6" s="424"/>
      <c r="AA6" s="424"/>
      <c r="AB6" s="424"/>
      <c r="AC6" s="424"/>
      <c r="AD6" s="424"/>
    </row>
    <row r="7" spans="1:30" x14ac:dyDescent="0.2">
      <c r="A7" s="424"/>
      <c r="B7" s="453"/>
      <c r="C7" s="461" t="s">
        <v>32</v>
      </c>
      <c r="D7" s="456" t="str">
        <f t="shared" si="0"/>
        <v>EURIB3651MD=</v>
      </c>
      <c r="E7" s="460">
        <v>41479</v>
      </c>
      <c r="F7" s="459">
        <v>0.13300000000000001</v>
      </c>
      <c r="G7" s="459" t="b">
        <f>IF(AND(ISNUMBER($F7),$F7&lt;&gt;0%,_xll.ohTrigger(Trigger)+1),TRUE,FALSE)</f>
        <v>1</v>
      </c>
      <c r="H7" s="458" t="e">
        <f>IF($G7,_xll.qlIndexAddFixings($J7,$E7,$F7/100,TRUE,ISERROR($K7)),NA())</f>
        <v>#NUM!</v>
      </c>
      <c r="I7" s="448"/>
      <c r="J7" s="457" t="str">
        <f t="shared" si="1"/>
        <v>Euribor3651M</v>
      </c>
      <c r="K7" s="456" t="e">
        <f>_xll.qlIndexFixing($J7,$E7,TRUE,$G7)</f>
        <v>#NUM!</v>
      </c>
      <c r="L7" s="456" t="e">
        <f>IF($H7,_xll.qlIndexFixing($J7,$E7,FALSE,$G7),"-")</f>
        <v>#NUM!</v>
      </c>
      <c r="M7" s="456" t="e">
        <f t="shared" si="2"/>
        <v>#NUM!</v>
      </c>
      <c r="N7" s="455" t="e">
        <f>_xll.qlIndexFixing($J7,$E7,TRUE,$L7)</f>
        <v>#NUM!</v>
      </c>
      <c r="O7" s="454">
        <f t="shared" si="3"/>
        <v>0</v>
      </c>
      <c r="P7" s="443"/>
      <c r="Q7" s="424"/>
      <c r="R7" s="424"/>
      <c r="S7" s="424"/>
      <c r="T7" s="424"/>
      <c r="U7" s="424"/>
      <c r="V7" s="424"/>
      <c r="W7" s="424"/>
      <c r="X7" s="424"/>
      <c r="Y7" s="424"/>
      <c r="Z7" s="424"/>
      <c r="AA7" s="424"/>
      <c r="AB7" s="424"/>
      <c r="AC7" s="424"/>
      <c r="AD7" s="424"/>
    </row>
    <row r="8" spans="1:30" x14ac:dyDescent="0.2">
      <c r="A8" s="424"/>
      <c r="B8" s="453"/>
      <c r="C8" s="461" t="s">
        <v>31</v>
      </c>
      <c r="D8" s="456" t="str">
        <f t="shared" si="0"/>
        <v>EURIB3652MD=</v>
      </c>
      <c r="E8" s="460">
        <v>41479</v>
      </c>
      <c r="F8" s="459">
        <v>0.184</v>
      </c>
      <c r="G8" s="459" t="b">
        <f>IF(AND(ISNUMBER($F8),$F8&lt;&gt;0%,_xll.ohTrigger(Trigger)+1),TRUE,FALSE)</f>
        <v>1</v>
      </c>
      <c r="H8" s="458" t="e">
        <f>IF($G8,_xll.qlIndexAddFixings($J8,$E8,$F8/100,TRUE,ISERROR($K8)),NA())</f>
        <v>#NUM!</v>
      </c>
      <c r="I8" s="448"/>
      <c r="J8" s="457" t="str">
        <f t="shared" si="1"/>
        <v>Euribor3652M</v>
      </c>
      <c r="K8" s="456" t="e">
        <f>_xll.qlIndexFixing($J8,$E8,TRUE,$G8)</f>
        <v>#NUM!</v>
      </c>
      <c r="L8" s="456" t="e">
        <f>IF($H8,_xll.qlIndexFixing($J8,$E8,FALSE,$G8),"-")</f>
        <v>#NUM!</v>
      </c>
      <c r="M8" s="456" t="e">
        <f t="shared" si="2"/>
        <v>#NUM!</v>
      </c>
      <c r="N8" s="455" t="e">
        <f>_xll.qlIndexFixing($J8,$E8,TRUE,$L8)</f>
        <v>#NUM!</v>
      </c>
      <c r="O8" s="454">
        <f t="shared" si="3"/>
        <v>0</v>
      </c>
      <c r="P8" s="443"/>
      <c r="Q8" s="424"/>
      <c r="R8" s="424"/>
      <c r="S8" s="424"/>
      <c r="T8" s="424"/>
      <c r="U8" s="424"/>
      <c r="V8" s="424"/>
      <c r="W8" s="424"/>
      <c r="X8" s="424"/>
      <c r="Y8" s="424"/>
      <c r="Z8" s="424"/>
      <c r="AA8" s="424"/>
      <c r="AB8" s="424"/>
      <c r="AC8" s="424"/>
      <c r="AD8" s="424"/>
    </row>
    <row r="9" spans="1:30" x14ac:dyDescent="0.2">
      <c r="A9" s="424"/>
      <c r="B9" s="453"/>
      <c r="C9" s="461" t="s">
        <v>30</v>
      </c>
      <c r="D9" s="456" t="str">
        <f t="shared" si="0"/>
        <v>EURIB3653MD=</v>
      </c>
      <c r="E9" s="460">
        <v>41479</v>
      </c>
      <c r="F9" s="459">
        <v>0.22800000000000001</v>
      </c>
      <c r="G9" s="459" t="b">
        <f>IF(AND(ISNUMBER($F9),$F9&lt;&gt;0%,_xll.ohTrigger(Trigger)+1),TRUE,FALSE)</f>
        <v>1</v>
      </c>
      <c r="H9" s="458" t="e">
        <f>IF($G9,_xll.qlIndexAddFixings($J9,$E9,$F9/100,TRUE,ISERROR($K9)),NA())</f>
        <v>#NUM!</v>
      </c>
      <c r="I9" s="448"/>
      <c r="J9" s="457" t="str">
        <f t="shared" si="1"/>
        <v>Euribor3653M</v>
      </c>
      <c r="K9" s="456" t="e">
        <f>_xll.qlIndexFixing($J9,$E9,TRUE,$G9)</f>
        <v>#NUM!</v>
      </c>
      <c r="L9" s="456" t="e">
        <f>IF($H9,_xll.qlIndexFixing($J9,$E9,FALSE,$G9),"-")</f>
        <v>#NUM!</v>
      </c>
      <c r="M9" s="456" t="e">
        <f t="shared" si="2"/>
        <v>#NUM!</v>
      </c>
      <c r="N9" s="455" t="e">
        <f>_xll.qlIndexFixing($J9,$E9,TRUE,$L9)</f>
        <v>#NUM!</v>
      </c>
      <c r="O9" s="454">
        <f t="shared" si="3"/>
        <v>0</v>
      </c>
      <c r="P9" s="443"/>
      <c r="Q9" s="424"/>
      <c r="R9" s="424"/>
      <c r="S9" s="424"/>
      <c r="T9" s="424"/>
      <c r="U9" s="424"/>
      <c r="V9" s="424"/>
      <c r="W9" s="424"/>
      <c r="X9" s="424"/>
      <c r="Y9" s="424"/>
      <c r="Z9" s="424"/>
      <c r="AA9" s="424"/>
      <c r="AB9" s="424"/>
      <c r="AC9" s="424"/>
      <c r="AD9" s="424"/>
    </row>
    <row r="10" spans="1:30" x14ac:dyDescent="0.2">
      <c r="A10" s="424"/>
      <c r="B10" s="453"/>
      <c r="C10" s="461" t="s">
        <v>29</v>
      </c>
      <c r="D10" s="456" t="str">
        <f t="shared" si="0"/>
        <v>EURIB3654MD=</v>
      </c>
      <c r="E10" s="460">
        <v>41479</v>
      </c>
      <c r="F10" s="459">
        <v>0.26900000000000002</v>
      </c>
      <c r="G10" s="459" t="b">
        <f>IF(AND(ISNUMBER($F10),$F10&lt;&gt;0%,_xll.ohTrigger(Trigger)+1),TRUE,FALSE)</f>
        <v>1</v>
      </c>
      <c r="H10" s="458" t="e">
        <f>IF($G10,_xll.qlIndexAddFixings($J10,$E10,$F10/100,TRUE,ISERROR($K10)),NA())</f>
        <v>#NUM!</v>
      </c>
      <c r="I10" s="448"/>
      <c r="J10" s="457" t="str">
        <f t="shared" si="1"/>
        <v>Euribor3654M</v>
      </c>
      <c r="K10" s="456" t="e">
        <f>_xll.qlIndexFixing($J10,$E10,TRUE,$G10)</f>
        <v>#NUM!</v>
      </c>
      <c r="L10" s="456" t="e">
        <f>IF($H10,_xll.qlIndexFixing($J10,$E10,FALSE,$G10),"-")</f>
        <v>#NUM!</v>
      </c>
      <c r="M10" s="456" t="e">
        <f t="shared" si="2"/>
        <v>#NUM!</v>
      </c>
      <c r="N10" s="455" t="e">
        <f>_xll.qlIndexFixing($J10,$E10,TRUE,$L10)</f>
        <v>#NUM!</v>
      </c>
      <c r="O10" s="454">
        <f t="shared" si="3"/>
        <v>0</v>
      </c>
      <c r="P10" s="443"/>
      <c r="Q10" s="424"/>
      <c r="R10" s="424"/>
      <c r="S10" s="424"/>
      <c r="T10" s="424"/>
      <c r="U10" s="424"/>
      <c r="V10" s="424"/>
      <c r="W10" s="424"/>
      <c r="X10" s="424"/>
      <c r="Y10" s="424"/>
      <c r="Z10" s="424"/>
      <c r="AA10" s="424"/>
      <c r="AB10" s="424"/>
      <c r="AC10" s="424"/>
      <c r="AD10" s="424"/>
    </row>
    <row r="11" spans="1:30" x14ac:dyDescent="0.2">
      <c r="A11" s="424"/>
      <c r="B11" s="453"/>
      <c r="C11" s="461" t="s">
        <v>28</v>
      </c>
      <c r="D11" s="456" t="str">
        <f t="shared" si="0"/>
        <v>EURIB3655MD=</v>
      </c>
      <c r="E11" s="460">
        <v>41479</v>
      </c>
      <c r="F11" s="459">
        <v>0.30299999999999999</v>
      </c>
      <c r="G11" s="459" t="b">
        <f>IF(AND(ISNUMBER($F11),$F11&lt;&gt;0%,_xll.ohTrigger(Trigger)+1),TRUE,FALSE)</f>
        <v>1</v>
      </c>
      <c r="H11" s="458" t="e">
        <f>IF($G11,_xll.qlIndexAddFixings($J11,$E11,$F11/100,TRUE,ISERROR($K11)),NA())</f>
        <v>#NUM!</v>
      </c>
      <c r="I11" s="448"/>
      <c r="J11" s="457" t="str">
        <f t="shared" si="1"/>
        <v>Euribor3655M</v>
      </c>
      <c r="K11" s="456" t="e">
        <f>_xll.qlIndexFixing($J11,$E11,TRUE,$G11)</f>
        <v>#NUM!</v>
      </c>
      <c r="L11" s="456" t="e">
        <f>IF($H11,_xll.qlIndexFixing($J11,$E11,FALSE,$G11),"-")</f>
        <v>#NUM!</v>
      </c>
      <c r="M11" s="456" t="e">
        <f t="shared" si="2"/>
        <v>#NUM!</v>
      </c>
      <c r="N11" s="455" t="e">
        <f>_xll.qlIndexFixing($J11,$E11,TRUE,$L11)</f>
        <v>#NUM!</v>
      </c>
      <c r="O11" s="454">
        <f t="shared" si="3"/>
        <v>0</v>
      </c>
      <c r="P11" s="443"/>
      <c r="Q11" s="424"/>
      <c r="R11" s="424"/>
      <c r="S11" s="424"/>
      <c r="T11" s="424"/>
      <c r="U11" s="424"/>
      <c r="V11" s="424"/>
      <c r="W11" s="424"/>
      <c r="X11" s="424"/>
      <c r="Y11" s="424"/>
      <c r="Z11" s="424"/>
      <c r="AA11" s="424"/>
      <c r="AB11" s="424"/>
      <c r="AC11" s="424"/>
      <c r="AD11" s="424"/>
    </row>
    <row r="12" spans="1:30" x14ac:dyDescent="0.2">
      <c r="A12" s="424"/>
      <c r="B12" s="453"/>
      <c r="C12" s="461" t="s">
        <v>27</v>
      </c>
      <c r="D12" s="456" t="str">
        <f t="shared" si="0"/>
        <v>EURIB3656MD=</v>
      </c>
      <c r="E12" s="460">
        <v>41479</v>
      </c>
      <c r="F12" s="459">
        <v>0.34799999999999998</v>
      </c>
      <c r="G12" s="459" t="b">
        <f>IF(AND(ISNUMBER($F12),$F12&lt;&gt;0%,_xll.ohTrigger(Trigger)+1),TRUE,FALSE)</f>
        <v>1</v>
      </c>
      <c r="H12" s="458" t="e">
        <f>IF($G12,_xll.qlIndexAddFixings($J12,$E12,$F12/100,TRUE,ISERROR($K12)),NA())</f>
        <v>#NUM!</v>
      </c>
      <c r="I12" s="448"/>
      <c r="J12" s="457" t="str">
        <f t="shared" si="1"/>
        <v>Euribor3656M</v>
      </c>
      <c r="K12" s="456" t="e">
        <f>_xll.qlIndexFixing($J12,$E12,TRUE,$G12)</f>
        <v>#NUM!</v>
      </c>
      <c r="L12" s="456" t="e">
        <f>IF($H12,_xll.qlIndexFixing($J12,$E12,FALSE,$G12),"-")</f>
        <v>#NUM!</v>
      </c>
      <c r="M12" s="456" t="e">
        <f t="shared" si="2"/>
        <v>#NUM!</v>
      </c>
      <c r="N12" s="455" t="e">
        <f>_xll.qlIndexFixing($J12,$E12,TRUE,$L12)</f>
        <v>#NUM!</v>
      </c>
      <c r="O12" s="454">
        <f t="shared" si="3"/>
        <v>0</v>
      </c>
      <c r="P12" s="443"/>
      <c r="Q12" s="424"/>
      <c r="R12" s="424"/>
      <c r="S12" s="424"/>
      <c r="T12" s="424"/>
      <c r="U12" s="424"/>
      <c r="V12" s="424"/>
      <c r="W12" s="424"/>
      <c r="X12" s="424"/>
      <c r="Y12" s="424"/>
      <c r="Z12" s="424"/>
      <c r="AA12" s="424"/>
      <c r="AB12" s="424"/>
      <c r="AC12" s="424"/>
      <c r="AD12" s="424"/>
    </row>
    <row r="13" spans="1:30" x14ac:dyDescent="0.2">
      <c r="A13" s="424"/>
      <c r="B13" s="453"/>
      <c r="C13" s="461" t="s">
        <v>26</v>
      </c>
      <c r="D13" s="456" t="str">
        <f t="shared" si="0"/>
        <v>EURIB3657MD=</v>
      </c>
      <c r="E13" s="460">
        <v>41479</v>
      </c>
      <c r="F13" s="459">
        <v>0.38200000000000001</v>
      </c>
      <c r="G13" s="459" t="b">
        <f>IF(AND(ISNUMBER($F13),$F13&lt;&gt;0%,_xll.ohTrigger(Trigger)+1),TRUE,FALSE)</f>
        <v>1</v>
      </c>
      <c r="H13" s="458" t="e">
        <f>IF($G13,_xll.qlIndexAddFixings($J13,$E13,$F13/100,TRUE,ISERROR($K13)),NA())</f>
        <v>#NUM!</v>
      </c>
      <c r="I13" s="448"/>
      <c r="J13" s="457" t="str">
        <f t="shared" si="1"/>
        <v>Euribor3657M</v>
      </c>
      <c r="K13" s="456" t="e">
        <f>_xll.qlIndexFixing($J13,$E13,TRUE,$G13)</f>
        <v>#NUM!</v>
      </c>
      <c r="L13" s="456" t="e">
        <f>IF($H13,_xll.qlIndexFixing($J13,$E13,FALSE,$G13),"-")</f>
        <v>#NUM!</v>
      </c>
      <c r="M13" s="456" t="e">
        <f t="shared" si="2"/>
        <v>#NUM!</v>
      </c>
      <c r="N13" s="455" t="e">
        <f>_xll.qlIndexFixing($J13,$E13,TRUE,$L13)</f>
        <v>#NUM!</v>
      </c>
      <c r="O13" s="454">
        <f t="shared" si="3"/>
        <v>0</v>
      </c>
      <c r="P13" s="443"/>
      <c r="Q13" s="424"/>
      <c r="R13" s="424"/>
      <c r="S13" s="424"/>
      <c r="T13" s="424"/>
      <c r="U13" s="424"/>
      <c r="V13" s="424"/>
      <c r="W13" s="424"/>
      <c r="X13" s="424"/>
      <c r="Y13" s="424"/>
      <c r="Z13" s="424"/>
      <c r="AA13" s="424"/>
      <c r="AB13" s="424"/>
      <c r="AC13" s="424"/>
      <c r="AD13" s="424"/>
    </row>
    <row r="14" spans="1:30" x14ac:dyDescent="0.2">
      <c r="A14" s="424"/>
      <c r="B14" s="453"/>
      <c r="C14" s="461" t="s">
        <v>25</v>
      </c>
      <c r="D14" s="456" t="str">
        <f t="shared" si="0"/>
        <v>EURIB3658MD=</v>
      </c>
      <c r="E14" s="460">
        <v>41479</v>
      </c>
      <c r="F14" s="459">
        <v>0.41799999999999998</v>
      </c>
      <c r="G14" s="459" t="b">
        <f>IF(AND(ISNUMBER($F14),$F14&lt;&gt;0%,_xll.ohTrigger(Trigger)+1),TRUE,FALSE)</f>
        <v>1</v>
      </c>
      <c r="H14" s="458" t="e">
        <f>IF($G14,_xll.qlIndexAddFixings($J14,$E14,$F14/100,TRUE,ISERROR($K14)),NA())</f>
        <v>#NUM!</v>
      </c>
      <c r="I14" s="448"/>
      <c r="J14" s="457" t="str">
        <f t="shared" si="1"/>
        <v>Euribor3658M</v>
      </c>
      <c r="K14" s="456" t="e">
        <f>_xll.qlIndexFixing($J14,$E14,TRUE,$G14)</f>
        <v>#NUM!</v>
      </c>
      <c r="L14" s="456" t="e">
        <f>IF($H14,_xll.qlIndexFixing($J14,$E14,FALSE,$G14),"-")</f>
        <v>#NUM!</v>
      </c>
      <c r="M14" s="456" t="e">
        <f t="shared" si="2"/>
        <v>#NUM!</v>
      </c>
      <c r="N14" s="455" t="e">
        <f>_xll.qlIndexFixing($J14,$E14,TRUE,$L14)</f>
        <v>#NUM!</v>
      </c>
      <c r="O14" s="454">
        <f t="shared" si="3"/>
        <v>0</v>
      </c>
      <c r="P14" s="443"/>
      <c r="Q14" s="424"/>
      <c r="R14" s="424"/>
      <c r="S14" s="424"/>
      <c r="T14" s="424"/>
      <c r="U14" s="424"/>
      <c r="V14" s="424"/>
      <c r="W14" s="424"/>
      <c r="X14" s="424"/>
      <c r="Y14" s="424"/>
      <c r="Z14" s="424"/>
      <c r="AA14" s="424"/>
      <c r="AB14" s="424"/>
      <c r="AC14" s="424"/>
      <c r="AD14" s="424"/>
    </row>
    <row r="15" spans="1:30" x14ac:dyDescent="0.2">
      <c r="A15" s="424"/>
      <c r="B15" s="453"/>
      <c r="C15" s="461" t="s">
        <v>24</v>
      </c>
      <c r="D15" s="456" t="str">
        <f t="shared" si="0"/>
        <v>EURIB3659MD=</v>
      </c>
      <c r="E15" s="460">
        <v>41479</v>
      </c>
      <c r="F15" s="459">
        <v>0.44800000000000001</v>
      </c>
      <c r="G15" s="459" t="b">
        <f>IF(AND(ISNUMBER($F15),$F15&lt;&gt;0%,_xll.ohTrigger(Trigger)+1),TRUE,FALSE)</f>
        <v>1</v>
      </c>
      <c r="H15" s="458" t="e">
        <f>IF($G15,_xll.qlIndexAddFixings($J15,$E15,$F15/100,TRUE,ISERROR($K15)),NA())</f>
        <v>#NUM!</v>
      </c>
      <c r="I15" s="448"/>
      <c r="J15" s="457" t="str">
        <f t="shared" si="1"/>
        <v>Euribor3659M</v>
      </c>
      <c r="K15" s="456" t="e">
        <f>_xll.qlIndexFixing($J15,$E15,TRUE,$G15)</f>
        <v>#NUM!</v>
      </c>
      <c r="L15" s="456" t="e">
        <f>IF($H15,_xll.qlIndexFixing($J15,$E15,FALSE,$G15),"-")</f>
        <v>#NUM!</v>
      </c>
      <c r="M15" s="456" t="e">
        <f t="shared" si="2"/>
        <v>#NUM!</v>
      </c>
      <c r="N15" s="455" t="e">
        <f>_xll.qlIndexFixing($J15,$E15,TRUE,$L15)</f>
        <v>#NUM!</v>
      </c>
      <c r="O15" s="454">
        <f t="shared" si="3"/>
        <v>0</v>
      </c>
      <c r="P15" s="443"/>
      <c r="Q15" s="424"/>
      <c r="R15" s="424"/>
      <c r="S15" s="424"/>
      <c r="T15" s="424"/>
      <c r="U15" s="424"/>
      <c r="V15" s="424"/>
      <c r="W15" s="424"/>
      <c r="X15" s="424"/>
      <c r="Y15" s="424"/>
      <c r="Z15" s="424"/>
      <c r="AA15" s="424"/>
      <c r="AB15" s="424"/>
      <c r="AC15" s="424"/>
      <c r="AD15" s="424"/>
    </row>
    <row r="16" spans="1:30" x14ac:dyDescent="0.2">
      <c r="A16" s="424"/>
      <c r="B16" s="453"/>
      <c r="C16" s="461" t="s">
        <v>23</v>
      </c>
      <c r="D16" s="456" t="str">
        <f t="shared" si="0"/>
        <v>EURIB36510MD=</v>
      </c>
      <c r="E16" s="460">
        <v>41479</v>
      </c>
      <c r="F16" s="459">
        <v>0.48</v>
      </c>
      <c r="G16" s="459" t="b">
        <f>IF(AND(ISNUMBER($F16),$F16&lt;&gt;0%,_xll.ohTrigger(Trigger)+1),TRUE,FALSE)</f>
        <v>1</v>
      </c>
      <c r="H16" s="458" t="e">
        <f>IF($G16,_xll.qlIndexAddFixings($J16,$E16,$F16/100,TRUE,ISERROR($K16)),NA())</f>
        <v>#NUM!</v>
      </c>
      <c r="I16" s="448"/>
      <c r="J16" s="457" t="str">
        <f t="shared" si="1"/>
        <v>Euribor36510M</v>
      </c>
      <c r="K16" s="456" t="e">
        <f>_xll.qlIndexFixing($J16,$E16,TRUE,$G16)</f>
        <v>#NUM!</v>
      </c>
      <c r="L16" s="456" t="e">
        <f>IF($H16,_xll.qlIndexFixing($J16,$E16,FALSE,$G16),"-")</f>
        <v>#NUM!</v>
      </c>
      <c r="M16" s="456" t="e">
        <f t="shared" si="2"/>
        <v>#NUM!</v>
      </c>
      <c r="N16" s="455" t="e">
        <f>_xll.qlIndexFixing($J16,$E16,TRUE,$L16)</f>
        <v>#NUM!</v>
      </c>
      <c r="O16" s="454">
        <f t="shared" si="3"/>
        <v>0</v>
      </c>
      <c r="P16" s="443"/>
      <c r="Q16" s="424"/>
      <c r="R16" s="424"/>
      <c r="S16" s="424"/>
      <c r="T16" s="424"/>
      <c r="U16" s="424"/>
      <c r="V16" s="424"/>
      <c r="W16" s="424"/>
      <c r="X16" s="424"/>
      <c r="Y16" s="424"/>
      <c r="Z16" s="424"/>
      <c r="AA16" s="424"/>
      <c r="AB16" s="424"/>
      <c r="AC16" s="424"/>
      <c r="AD16" s="424"/>
    </row>
    <row r="17" spans="1:30" x14ac:dyDescent="0.2">
      <c r="A17" s="424"/>
      <c r="B17" s="453"/>
      <c r="C17" s="461" t="s">
        <v>22</v>
      </c>
      <c r="D17" s="456" t="str">
        <f t="shared" si="0"/>
        <v>EURIB36511MD=</v>
      </c>
      <c r="E17" s="460">
        <v>41479</v>
      </c>
      <c r="F17" s="459">
        <v>0.51</v>
      </c>
      <c r="G17" s="459" t="b">
        <f>IF(AND(ISNUMBER($F17),$F17&lt;&gt;0%,_xll.ohTrigger(Trigger)+1),TRUE,FALSE)</f>
        <v>1</v>
      </c>
      <c r="H17" s="458" t="e">
        <f>IF($G17,_xll.qlIndexAddFixings($J17,$E17,$F17/100,TRUE,ISERROR($K17)),NA())</f>
        <v>#NUM!</v>
      </c>
      <c r="I17" s="448"/>
      <c r="J17" s="457" t="str">
        <f t="shared" si="1"/>
        <v>Euribor36511M</v>
      </c>
      <c r="K17" s="456" t="e">
        <f>_xll.qlIndexFixing($J17,$E17,TRUE,$G17)</f>
        <v>#NUM!</v>
      </c>
      <c r="L17" s="456" t="e">
        <f>IF($H17,_xll.qlIndexFixing($J17,$E17,FALSE,$G17),"-")</f>
        <v>#NUM!</v>
      </c>
      <c r="M17" s="456" t="e">
        <f t="shared" si="2"/>
        <v>#NUM!</v>
      </c>
      <c r="N17" s="455" t="e">
        <f>_xll.qlIndexFixing($J17,$E17,TRUE,$L17)</f>
        <v>#NUM!</v>
      </c>
      <c r="O17" s="454">
        <f t="shared" si="3"/>
        <v>0</v>
      </c>
      <c r="P17" s="443"/>
      <c r="Q17" s="424"/>
      <c r="R17" s="424"/>
      <c r="S17" s="424"/>
      <c r="T17" s="424"/>
      <c r="U17" s="424"/>
      <c r="V17" s="424"/>
      <c r="W17" s="424"/>
      <c r="X17" s="424"/>
      <c r="Y17" s="424"/>
      <c r="Z17" s="424"/>
      <c r="AA17" s="424"/>
      <c r="AB17" s="424"/>
      <c r="AC17" s="424"/>
      <c r="AD17" s="424"/>
    </row>
    <row r="18" spans="1:30" x14ac:dyDescent="0.2">
      <c r="A18" s="424"/>
      <c r="B18" s="453"/>
      <c r="C18" s="452" t="s">
        <v>21</v>
      </c>
      <c r="D18" s="446" t="str">
        <f t="shared" si="0"/>
        <v>EURIB3651YD=</v>
      </c>
      <c r="E18" s="451">
        <v>41479</v>
      </c>
      <c r="F18" s="450">
        <v>0.54200000000000004</v>
      </c>
      <c r="G18" s="450" t="b">
        <f>IF(AND(ISNUMBER($F18),$F18&lt;&gt;0%,_xll.ohTrigger(Trigger)+1),TRUE,FALSE)</f>
        <v>1</v>
      </c>
      <c r="H18" s="449" t="e">
        <f>IF($G18,_xll.qlIndexAddFixings($J18,$E18,$F18/100,TRUE,ISERROR($K18)),NA())</f>
        <v>#NUM!</v>
      </c>
      <c r="I18" s="448"/>
      <c r="J18" s="447" t="str">
        <f t="shared" si="1"/>
        <v>Euribor3651Y</v>
      </c>
      <c r="K18" s="446" t="e">
        <f>_xll.qlIndexFixing($J18,$E18,TRUE,$G18)</f>
        <v>#NUM!</v>
      </c>
      <c r="L18" s="446" t="e">
        <f>IF($H18,_xll.qlIndexFixing($J18,$E18,FALSE,$G18),"-")</f>
        <v>#NUM!</v>
      </c>
      <c r="M18" s="446" t="e">
        <f t="shared" si="2"/>
        <v>#NUM!</v>
      </c>
      <c r="N18" s="445" t="e">
        <f>_xll.qlIndexFixing($J18,$E18,TRUE,$L18)</f>
        <v>#NUM!</v>
      </c>
      <c r="O18" s="444">
        <f t="shared" si="3"/>
        <v>0</v>
      </c>
      <c r="P18" s="443"/>
      <c r="Q18" s="424"/>
      <c r="R18" s="424"/>
      <c r="S18" s="424"/>
      <c r="T18" s="424"/>
      <c r="U18" s="424"/>
      <c r="V18" s="424"/>
      <c r="W18" s="424"/>
      <c r="X18" s="424"/>
      <c r="Y18" s="424"/>
      <c r="Z18" s="424"/>
      <c r="AA18" s="424"/>
      <c r="AB18" s="424"/>
      <c r="AC18" s="424"/>
      <c r="AD18" s="424"/>
    </row>
    <row r="19" spans="1:30" ht="12" thickBot="1" x14ac:dyDescent="0.25">
      <c r="A19" s="424"/>
      <c r="B19" s="442"/>
      <c r="C19" s="439"/>
      <c r="D19" s="439"/>
      <c r="E19" s="441"/>
      <c r="F19" s="440"/>
      <c r="G19" s="440"/>
      <c r="H19" s="439"/>
      <c r="I19" s="439"/>
      <c r="J19" s="439"/>
      <c r="K19" s="439"/>
      <c r="L19" s="439"/>
      <c r="M19" s="439"/>
      <c r="N19" s="439"/>
      <c r="O19" s="439"/>
      <c r="P19" s="438"/>
      <c r="Q19" s="424"/>
      <c r="R19" s="424"/>
      <c r="S19" s="424"/>
      <c r="T19" s="424"/>
      <c r="U19" s="424"/>
      <c r="V19" s="424"/>
      <c r="W19" s="424"/>
      <c r="X19" s="424"/>
      <c r="Y19" s="424"/>
      <c r="Z19" s="424"/>
      <c r="AA19" s="424"/>
      <c r="AB19" s="424"/>
      <c r="AC19" s="424"/>
      <c r="AD19" s="424"/>
    </row>
    <row r="20" spans="1:30" ht="12" thickBot="1" x14ac:dyDescent="0.25">
      <c r="A20" s="424"/>
      <c r="B20" s="424"/>
      <c r="C20" s="424"/>
      <c r="D20" s="424"/>
      <c r="E20" s="437"/>
      <c r="F20" s="436"/>
      <c r="G20" s="436"/>
      <c r="H20" s="424"/>
      <c r="I20" s="424"/>
      <c r="J20" s="424"/>
      <c r="K20" s="424"/>
      <c r="L20" s="424"/>
      <c r="M20" s="424"/>
      <c r="N20" s="424"/>
      <c r="O20" s="424"/>
      <c r="P20" s="424"/>
      <c r="Q20" s="424"/>
      <c r="R20" s="424"/>
      <c r="S20" s="424"/>
      <c r="T20" s="424"/>
      <c r="U20" s="424"/>
      <c r="V20" s="424"/>
      <c r="W20" s="424"/>
      <c r="X20" s="424"/>
      <c r="Y20" s="424"/>
      <c r="Z20" s="424"/>
      <c r="AA20" s="424"/>
      <c r="AB20" s="424"/>
      <c r="AC20" s="424"/>
      <c r="AD20" s="424"/>
    </row>
    <row r="21" spans="1:30" s="424" customFormat="1" x14ac:dyDescent="0.2">
      <c r="C21" s="435" t="s">
        <v>124</v>
      </c>
      <c r="D21" s="434" t="s">
        <v>207</v>
      </c>
      <c r="E21" s="433" t="s">
        <v>207</v>
      </c>
      <c r="F21" s="432"/>
    </row>
    <row r="22" spans="1:30" s="424" customFormat="1" x14ac:dyDescent="0.2">
      <c r="C22" s="430" t="s">
        <v>110</v>
      </c>
      <c r="D22" s="429" t="s">
        <v>302</v>
      </c>
      <c r="E22" s="428" t="s">
        <v>43</v>
      </c>
      <c r="J22" s="431"/>
    </row>
    <row r="23" spans="1:30" s="424" customFormat="1" x14ac:dyDescent="0.2">
      <c r="C23" s="430" t="s">
        <v>266</v>
      </c>
      <c r="D23" s="429" t="s">
        <v>207</v>
      </c>
      <c r="E23" s="428" t="s">
        <v>207</v>
      </c>
      <c r="J23" s="431"/>
    </row>
    <row r="24" spans="1:30" s="424" customFormat="1" x14ac:dyDescent="0.2">
      <c r="C24" s="430" t="s">
        <v>294</v>
      </c>
      <c r="D24" s="429" t="s">
        <v>207</v>
      </c>
      <c r="E24" s="428" t="s">
        <v>207</v>
      </c>
      <c r="J24" s="431"/>
    </row>
    <row r="25" spans="1:30" s="424" customFormat="1" x14ac:dyDescent="0.2">
      <c r="C25" s="430" t="s">
        <v>121</v>
      </c>
      <c r="D25" s="429" t="s">
        <v>207</v>
      </c>
      <c r="E25" s="428" t="s">
        <v>207</v>
      </c>
    </row>
    <row r="26" spans="1:30" s="424" customFormat="1" x14ac:dyDescent="0.2">
      <c r="C26" s="430" t="s">
        <v>120</v>
      </c>
      <c r="D26" s="429" t="s">
        <v>207</v>
      </c>
      <c r="E26" s="428" t="s">
        <v>207</v>
      </c>
    </row>
    <row r="27" spans="1:30" s="424" customFormat="1" ht="12" thickBot="1" x14ac:dyDescent="0.25">
      <c r="C27" s="427" t="s">
        <v>118</v>
      </c>
      <c r="D27" s="426" t="s">
        <v>207</v>
      </c>
      <c r="E27" s="425" t="s">
        <v>207</v>
      </c>
    </row>
    <row r="28" spans="1:30" s="424" customFormat="1" x14ac:dyDescent="0.2"/>
    <row r="29" spans="1:30" s="424" customFormat="1" x14ac:dyDescent="0.2"/>
    <row r="30" spans="1:30" s="424" customFormat="1" x14ac:dyDescent="0.2"/>
    <row r="31" spans="1:30" s="424" customFormat="1" x14ac:dyDescent="0.2"/>
    <row r="32" spans="1:30" s="424" customFormat="1" x14ac:dyDescent="0.2"/>
    <row r="33" s="424" customFormat="1" x14ac:dyDescent="0.2"/>
    <row r="34" s="424" customFormat="1" x14ac:dyDescent="0.2"/>
    <row r="35" s="424" customFormat="1" x14ac:dyDescent="0.2"/>
    <row r="36" s="424" customFormat="1" x14ac:dyDescent="0.2"/>
    <row r="37" s="424" customFormat="1" x14ac:dyDescent="0.2"/>
    <row r="38" s="424"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23" customWidth="1"/>
    <col min="3" max="3" width="5.7109375" style="423" bestFit="1" customWidth="1"/>
    <col min="4" max="4" width="10.42578125" style="423" bestFit="1" customWidth="1"/>
    <col min="5" max="5" width="12.85546875" style="423" customWidth="1"/>
    <col min="6" max="6" width="7.42578125" style="423" customWidth="1"/>
    <col min="7" max="7" width="6" style="423" bestFit="1" customWidth="1"/>
    <col min="8" max="8" width="5.5703125" style="423" bestFit="1" customWidth="1"/>
    <col min="9" max="9" width="4.28515625" style="423" customWidth="1"/>
    <col min="10" max="10" width="9.5703125" style="423" bestFit="1" customWidth="1"/>
    <col min="11" max="11" width="11.42578125" style="423" bestFit="1" customWidth="1"/>
    <col min="12" max="12" width="8.7109375" style="423" bestFit="1" customWidth="1"/>
    <col min="13" max="13" width="7.7109375" style="423" bestFit="1" customWidth="1"/>
    <col min="14" max="14" width="10" style="423" bestFit="1" customWidth="1"/>
    <col min="15" max="15" width="7.140625" style="423" hidden="1" customWidth="1"/>
    <col min="16" max="17" width="4.28515625" style="423" customWidth="1"/>
    <col min="18" max="18" width="4" style="423" bestFit="1" customWidth="1"/>
    <col min="19" max="19" width="3.85546875" style="423" bestFit="1" customWidth="1"/>
    <col min="20" max="20" width="4.42578125" style="423" bestFit="1" customWidth="1"/>
    <col min="21" max="16384" width="9.140625" style="423"/>
  </cols>
  <sheetData>
    <row r="1" spans="1:30" ht="12" thickBot="1" x14ac:dyDescent="0.25">
      <c r="A1" s="424" t="s">
        <v>317</v>
      </c>
      <c r="B1" s="424"/>
      <c r="C1" s="424"/>
      <c r="D1" s="429"/>
      <c r="E1" s="437"/>
      <c r="F1" s="475"/>
      <c r="G1" s="475"/>
      <c r="H1" s="424"/>
      <c r="I1" s="429"/>
      <c r="J1" s="424"/>
      <c r="K1" s="424"/>
      <c r="L1" s="424"/>
      <c r="M1" s="424"/>
      <c r="N1" s="424"/>
      <c r="O1" s="424"/>
      <c r="P1" s="424"/>
      <c r="Q1" s="424"/>
      <c r="R1" s="424"/>
      <c r="S1" s="424"/>
      <c r="T1" s="424"/>
      <c r="U1" s="424"/>
      <c r="V1" s="424"/>
      <c r="W1" s="424"/>
      <c r="X1" s="424"/>
      <c r="Y1" s="424"/>
      <c r="Z1" s="424"/>
      <c r="AA1" s="424"/>
      <c r="AB1" s="424"/>
      <c r="AC1" s="424"/>
      <c r="AD1" s="424"/>
    </row>
    <row r="2" spans="1:30" ht="22.5" customHeight="1" x14ac:dyDescent="0.4">
      <c r="A2" s="424"/>
      <c r="B2" s="474"/>
      <c r="C2" s="468"/>
      <c r="D2" s="473" t="str">
        <f>VLOOKUP(Currency,Traits,2,FALSE)</f>
        <v>FSR</v>
      </c>
      <c r="E2" s="472"/>
      <c r="F2" s="471"/>
      <c r="G2" s="471"/>
      <c r="H2" s="468"/>
      <c r="I2" s="468"/>
      <c r="J2" s="470" t="str">
        <f>VLOOKUP(Currency,Traits,3,FALSE)</f>
        <v>Libor</v>
      </c>
      <c r="K2" s="468"/>
      <c r="L2" s="468"/>
      <c r="M2" s="469">
        <f>MAX(O4:O18)</f>
        <v>0</v>
      </c>
      <c r="N2" s="468"/>
      <c r="O2" s="468"/>
      <c r="P2" s="467"/>
      <c r="Q2" s="424"/>
      <c r="R2" s="424"/>
      <c r="S2" s="424"/>
      <c r="T2" s="424"/>
      <c r="U2" s="424"/>
      <c r="V2" s="424"/>
      <c r="W2" s="424"/>
      <c r="X2" s="424"/>
      <c r="Y2" s="424"/>
      <c r="Z2" s="424"/>
      <c r="AA2" s="424"/>
      <c r="AB2" s="424"/>
      <c r="AC2" s="424"/>
      <c r="AD2" s="424"/>
    </row>
    <row r="3" spans="1:30" ht="22.5" x14ac:dyDescent="0.2">
      <c r="A3" s="424"/>
      <c r="B3" s="453"/>
      <c r="C3" s="465" t="s">
        <v>39</v>
      </c>
      <c r="D3" s="464" t="e">
        <f ca="1">_xll.RData(D4:D18,E3:F3,,,,E4)</f>
        <v>#NAME?</v>
      </c>
      <c r="E3" s="464" t="s">
        <v>301</v>
      </c>
      <c r="F3" s="464" t="s">
        <v>227</v>
      </c>
      <c r="G3" s="464" t="s">
        <v>300</v>
      </c>
      <c r="H3" s="463" t="s">
        <v>299</v>
      </c>
      <c r="I3" s="466"/>
      <c r="J3" s="465" t="s">
        <v>238</v>
      </c>
      <c r="K3" s="464" t="s">
        <v>298</v>
      </c>
      <c r="L3" s="464" t="s">
        <v>297</v>
      </c>
      <c r="M3" s="464" t="s">
        <v>296</v>
      </c>
      <c r="N3" s="463" t="s">
        <v>295</v>
      </c>
      <c r="O3" s="462"/>
      <c r="P3" s="443"/>
      <c r="Q3" s="424"/>
      <c r="R3" s="424"/>
      <c r="S3" s="424"/>
      <c r="T3" s="424"/>
      <c r="U3" s="424"/>
      <c r="V3" s="424"/>
      <c r="W3" s="424"/>
      <c r="X3" s="424"/>
      <c r="Y3" s="424"/>
      <c r="Z3" s="424"/>
      <c r="AA3" s="424"/>
      <c r="AB3" s="424"/>
      <c r="AC3" s="424"/>
      <c r="AD3" s="424"/>
    </row>
    <row r="4" spans="1:30" x14ac:dyDescent="0.2">
      <c r="A4" s="424"/>
      <c r="B4" s="453"/>
      <c r="C4" s="483" t="s">
        <v>112</v>
      </c>
      <c r="D4" s="478" t="str">
        <f t="shared" ref="D4:D18" si="0">Currency&amp;$C4&amp;$D$2&amp;"="</f>
        <v>EURONFSR=</v>
      </c>
      <c r="E4" s="482">
        <v>41479</v>
      </c>
      <c r="F4" s="481">
        <v>4.4999999999999998E-2</v>
      </c>
      <c r="G4" s="459" t="b">
        <f>IF(AND(ISNUMBER($F4),$F4&lt;&gt;0%,_xll.ohTrigger(Trigger)+1),TRUE,FALSE)</f>
        <v>1</v>
      </c>
      <c r="H4" s="480" t="e">
        <f>IF($G4,_xll.qlIndexAddFixings($J4,$E4,$F4/100,TRUE,ISERROR($K4)),NA())</f>
        <v>#NUM!</v>
      </c>
      <c r="I4" s="448"/>
      <c r="J4" s="479" t="str">
        <f t="shared" ref="J4:J18" si="1">PROPER(Currency)&amp;$J$2&amp;$C4</f>
        <v>EurLiborON</v>
      </c>
      <c r="K4" s="478" t="e">
        <f>_xll.qlIndexFixing($J4,$E4,TRUE,$G4)</f>
        <v>#NUM!</v>
      </c>
      <c r="L4" s="478" t="e">
        <f>IF($H4,_xll.qlIndexFixing($J4,$E4,FALSE,$G4),"-")</f>
        <v>#NUM!</v>
      </c>
      <c r="M4" s="478" t="e">
        <f t="shared" ref="M4:M18" si="2">K4-L4</f>
        <v>#NUM!</v>
      </c>
      <c r="N4" s="477" t="e">
        <f>_xll.qlIndexFixing($J4,$E4,TRUE,$L4)</f>
        <v>#NUM!</v>
      </c>
      <c r="O4" s="476">
        <f t="shared" ref="O4:O18" si="3">IF(ISERROR(M4),0,ABS(M4))</f>
        <v>0</v>
      </c>
      <c r="P4" s="443"/>
      <c r="Q4" s="424"/>
      <c r="R4" s="424"/>
      <c r="S4" s="424"/>
      <c r="T4" s="424"/>
      <c r="U4" s="424"/>
      <c r="V4" s="424"/>
      <c r="W4" s="424"/>
      <c r="X4" s="424"/>
      <c r="Y4" s="424"/>
      <c r="Z4" s="424"/>
      <c r="AA4" s="424"/>
      <c r="AB4" s="424"/>
      <c r="AC4" s="424"/>
      <c r="AD4" s="424"/>
    </row>
    <row r="5" spans="1:30" x14ac:dyDescent="0.2">
      <c r="A5" s="424"/>
      <c r="B5" s="453"/>
      <c r="C5" s="461" t="s">
        <v>35</v>
      </c>
      <c r="D5" s="456" t="str">
        <f t="shared" si="0"/>
        <v>EURSWFSR=</v>
      </c>
      <c r="E5" s="460">
        <v>41479</v>
      </c>
      <c r="F5" s="459">
        <v>5.5710000000000003E-2</v>
      </c>
      <c r="G5" s="459" t="b">
        <f>IF(AND(ISNUMBER($F5),$F5&lt;&gt;0%,_xll.ohTrigger(Trigger)+1),TRUE,FALSE)</f>
        <v>1</v>
      </c>
      <c r="H5" s="458" t="e">
        <f>IF($G5,_xll.qlIndexAddFixings($J5,$E5,$F5/100,TRUE,ISERROR($K5)),NA())</f>
        <v>#NUM!</v>
      </c>
      <c r="I5" s="448"/>
      <c r="J5" s="457" t="str">
        <f t="shared" si="1"/>
        <v>EurLiborSW</v>
      </c>
      <c r="K5" s="456" t="e">
        <f>_xll.qlIndexFixing($J5,$E5,TRUE,$G5)</f>
        <v>#NUM!</v>
      </c>
      <c r="L5" s="456" t="e">
        <f>IF($H5,_xll.qlIndexFixing($J5,$E5,FALSE,$G5),"-")</f>
        <v>#NUM!</v>
      </c>
      <c r="M5" s="456" t="e">
        <f t="shared" si="2"/>
        <v>#NUM!</v>
      </c>
      <c r="N5" s="455" t="e">
        <f>_xll.qlIndexFixing($J5,$E5,TRUE,$L5)</f>
        <v>#NUM!</v>
      </c>
      <c r="O5" s="454">
        <f t="shared" si="3"/>
        <v>0</v>
      </c>
      <c r="P5" s="443"/>
      <c r="Q5" s="424"/>
      <c r="R5" s="424"/>
      <c r="S5" s="424"/>
      <c r="T5" s="424"/>
      <c r="U5" s="424"/>
      <c r="V5" s="424"/>
      <c r="W5" s="424"/>
      <c r="X5" s="424"/>
      <c r="Y5" s="424"/>
      <c r="Z5" s="424"/>
      <c r="AA5" s="424"/>
      <c r="AB5" s="424"/>
      <c r="AC5" s="424"/>
      <c r="AD5" s="424"/>
    </row>
    <row r="6" spans="1:30" x14ac:dyDescent="0.2">
      <c r="A6" s="424"/>
      <c r="B6" s="453"/>
      <c r="C6" s="461" t="s">
        <v>34</v>
      </c>
      <c r="D6" s="456" t="str">
        <f t="shared" si="0"/>
        <v>EUR2WFSR=</v>
      </c>
      <c r="E6" s="460">
        <v>41428</v>
      </c>
      <c r="F6" s="459">
        <v>0</v>
      </c>
      <c r="G6" s="459" t="b">
        <f>IF(AND(ISNUMBER($F6),$F6&lt;&gt;0%,_xll.ohTrigger(Trigger)+1),TRUE,FALSE)</f>
        <v>0</v>
      </c>
      <c r="H6" s="458" t="e">
        <f>IF($G6,_xll.qlIndexAddFixings($J6,$E6,$F6/100,TRUE,ISERROR($K6)),NA())</f>
        <v>#N/A</v>
      </c>
      <c r="I6" s="448"/>
      <c r="J6" s="457" t="str">
        <f t="shared" si="1"/>
        <v>EurLibor2W</v>
      </c>
      <c r="K6" s="456" t="e">
        <f>_xll.qlIndexFixing($J6,$E6,TRUE,$G6)</f>
        <v>#NUM!</v>
      </c>
      <c r="L6" s="456" t="e">
        <f>IF($H6,_xll.qlIndexFixing($J6,$E6,FALSE,$G6),"-")</f>
        <v>#N/A</v>
      </c>
      <c r="M6" s="456" t="e">
        <f t="shared" si="2"/>
        <v>#NUM!</v>
      </c>
      <c r="N6" s="455" t="e">
        <f>_xll.qlIndexFixing($J6,$E6,TRUE,$L6)</f>
        <v>#NUM!</v>
      </c>
      <c r="O6" s="454">
        <f t="shared" si="3"/>
        <v>0</v>
      </c>
      <c r="P6" s="443"/>
      <c r="Q6" s="424"/>
      <c r="R6" s="424"/>
      <c r="S6" s="424"/>
      <c r="T6" s="424"/>
      <c r="U6" s="424"/>
      <c r="V6" s="424"/>
      <c r="W6" s="424"/>
      <c r="X6" s="424"/>
      <c r="Y6" s="424"/>
      <c r="Z6" s="424"/>
      <c r="AA6" s="424"/>
      <c r="AB6" s="424"/>
      <c r="AC6" s="424"/>
      <c r="AD6" s="424"/>
    </row>
    <row r="7" spans="1:30" x14ac:dyDescent="0.2">
      <c r="A7" s="424"/>
      <c r="B7" s="453"/>
      <c r="C7" s="461" t="s">
        <v>32</v>
      </c>
      <c r="D7" s="456" t="str">
        <f t="shared" si="0"/>
        <v>EUR1MFSR=</v>
      </c>
      <c r="E7" s="460">
        <v>41479</v>
      </c>
      <c r="F7" s="459">
        <v>8.2860000000000003E-2</v>
      </c>
      <c r="G7" s="459" t="b">
        <f>IF(AND(ISNUMBER($F7),$F7&lt;&gt;0%,_xll.ohTrigger(Trigger)+1),TRUE,FALSE)</f>
        <v>1</v>
      </c>
      <c r="H7" s="458" t="e">
        <f>IF($G7,_xll.qlIndexAddFixings($J7,$E7,$F7/100,TRUE,ISERROR($K7)),NA())</f>
        <v>#NUM!</v>
      </c>
      <c r="I7" s="448"/>
      <c r="J7" s="457" t="str">
        <f t="shared" si="1"/>
        <v>EurLibor1M</v>
      </c>
      <c r="K7" s="456" t="e">
        <f>_xll.qlIndexFixing($J7,$E7,TRUE,$G7)</f>
        <v>#NUM!</v>
      </c>
      <c r="L7" s="456" t="e">
        <f>IF($H7,_xll.qlIndexFixing($J7,$E7,FALSE,$G7),"-")</f>
        <v>#NUM!</v>
      </c>
      <c r="M7" s="456" t="e">
        <f t="shared" si="2"/>
        <v>#NUM!</v>
      </c>
      <c r="N7" s="455" t="e">
        <f>_xll.qlIndexFixing($J7,$E7,TRUE,$L7)</f>
        <v>#NUM!</v>
      </c>
      <c r="O7" s="454">
        <f t="shared" si="3"/>
        <v>0</v>
      </c>
      <c r="P7" s="443"/>
      <c r="Q7" s="424"/>
      <c r="R7" s="424"/>
      <c r="S7" s="424"/>
      <c r="T7" s="424"/>
      <c r="U7" s="424"/>
      <c r="V7" s="424"/>
      <c r="W7" s="424"/>
      <c r="X7" s="424"/>
      <c r="Y7" s="424"/>
      <c r="Z7" s="424"/>
      <c r="AA7" s="424"/>
      <c r="AB7" s="424"/>
      <c r="AC7" s="424"/>
      <c r="AD7" s="424"/>
    </row>
    <row r="8" spans="1:30" x14ac:dyDescent="0.2">
      <c r="A8" s="424"/>
      <c r="B8" s="453"/>
      <c r="C8" s="461" t="s">
        <v>31</v>
      </c>
      <c r="D8" s="456" t="str">
        <f t="shared" si="0"/>
        <v>EUR2MFSR=</v>
      </c>
      <c r="E8" s="460">
        <v>41479</v>
      </c>
      <c r="F8" s="459">
        <v>0.11286</v>
      </c>
      <c r="G8" s="459" t="b">
        <f>IF(AND(ISNUMBER($F8),$F8&lt;&gt;0%,_xll.ohTrigger(Trigger)+1),TRUE,FALSE)</f>
        <v>1</v>
      </c>
      <c r="H8" s="458" t="e">
        <f>IF($G8,_xll.qlIndexAddFixings($J8,$E8,$F8/100,TRUE,ISERROR($K8)),NA())</f>
        <v>#NUM!</v>
      </c>
      <c r="I8" s="448"/>
      <c r="J8" s="457" t="str">
        <f t="shared" si="1"/>
        <v>EurLibor2M</v>
      </c>
      <c r="K8" s="456" t="e">
        <f>_xll.qlIndexFixing($J8,$E8,TRUE,$G8)</f>
        <v>#NUM!</v>
      </c>
      <c r="L8" s="456" t="e">
        <f>IF($H8,_xll.qlIndexFixing($J8,$E8,FALSE,$G8),"-")</f>
        <v>#NUM!</v>
      </c>
      <c r="M8" s="456" t="e">
        <f t="shared" si="2"/>
        <v>#NUM!</v>
      </c>
      <c r="N8" s="455" t="e">
        <f>_xll.qlIndexFixing($J8,$E8,TRUE,$L8)</f>
        <v>#NUM!</v>
      </c>
      <c r="O8" s="454">
        <f t="shared" si="3"/>
        <v>0</v>
      </c>
      <c r="P8" s="443"/>
      <c r="Q8" s="424"/>
      <c r="R8" s="424"/>
      <c r="S8" s="424"/>
      <c r="T8" s="424"/>
      <c r="U8" s="424"/>
      <c r="V8" s="424"/>
      <c r="W8" s="424"/>
      <c r="X8" s="424"/>
      <c r="Y8" s="424"/>
      <c r="Z8" s="424"/>
      <c r="AA8" s="424"/>
      <c r="AB8" s="424"/>
      <c r="AC8" s="424"/>
      <c r="AD8" s="424"/>
    </row>
    <row r="9" spans="1:30" x14ac:dyDescent="0.2">
      <c r="A9" s="424"/>
      <c r="B9" s="453"/>
      <c r="C9" s="461" t="s">
        <v>30</v>
      </c>
      <c r="D9" s="456" t="str">
        <f t="shared" si="0"/>
        <v>EUR3MFSR=</v>
      </c>
      <c r="E9" s="460">
        <v>41479</v>
      </c>
      <c r="F9" s="459">
        <v>0.15214</v>
      </c>
      <c r="G9" s="459" t="b">
        <f>IF(AND(ISNUMBER($F9),$F9&lt;&gt;0%,_xll.ohTrigger(Trigger)+1),TRUE,FALSE)</f>
        <v>1</v>
      </c>
      <c r="H9" s="458" t="e">
        <f>IF($G9,_xll.qlIndexAddFixings($J9,$E9,$F9/100,TRUE,ISERROR($K9)),NA())</f>
        <v>#NUM!</v>
      </c>
      <c r="I9" s="448"/>
      <c r="J9" s="457" t="str">
        <f t="shared" si="1"/>
        <v>EurLibor3M</v>
      </c>
      <c r="K9" s="456" t="e">
        <f>_xll.qlIndexFixing($J9,$E9,TRUE,$G9)</f>
        <v>#NUM!</v>
      </c>
      <c r="L9" s="456" t="e">
        <f>IF($H9,_xll.qlIndexFixing($J9,$E9,FALSE,$G9),"-")</f>
        <v>#NUM!</v>
      </c>
      <c r="M9" s="456" t="e">
        <f t="shared" si="2"/>
        <v>#NUM!</v>
      </c>
      <c r="N9" s="455" t="e">
        <f>_xll.qlIndexFixing($J9,$E9,TRUE,$L9)</f>
        <v>#NUM!</v>
      </c>
      <c r="O9" s="454">
        <f t="shared" si="3"/>
        <v>0</v>
      </c>
      <c r="P9" s="443"/>
      <c r="Q9" s="424"/>
      <c r="R9" s="424"/>
      <c r="S9" s="424"/>
      <c r="T9" s="424"/>
      <c r="U9" s="424"/>
      <c r="V9" s="424"/>
      <c r="W9" s="424"/>
      <c r="X9" s="424"/>
      <c r="Y9" s="424"/>
      <c r="Z9" s="424"/>
      <c r="AA9" s="424"/>
      <c r="AB9" s="424"/>
      <c r="AC9" s="424"/>
      <c r="AD9" s="424"/>
    </row>
    <row r="10" spans="1:30" x14ac:dyDescent="0.2">
      <c r="A10" s="424"/>
      <c r="B10" s="453"/>
      <c r="C10" s="461" t="s">
        <v>29</v>
      </c>
      <c r="D10" s="456" t="str">
        <f t="shared" si="0"/>
        <v>EUR4MFSR=</v>
      </c>
      <c r="E10" s="460">
        <v>41428</v>
      </c>
      <c r="F10" s="459">
        <v>0</v>
      </c>
      <c r="G10" s="459" t="b">
        <f>IF(AND(ISNUMBER($F10),$F10&lt;&gt;0%,_xll.ohTrigger(Trigger)+1),TRUE,FALSE)</f>
        <v>0</v>
      </c>
      <c r="H10" s="458" t="e">
        <f>IF($G10,_xll.qlIndexAddFixings($J10,$E10,$F10/100,TRUE,ISERROR($K10)),NA())</f>
        <v>#N/A</v>
      </c>
      <c r="I10" s="448"/>
      <c r="J10" s="457" t="str">
        <f t="shared" si="1"/>
        <v>EurLibor4M</v>
      </c>
      <c r="K10" s="456" t="e">
        <f>_xll.qlIndexFixing($J10,$E10,TRUE,$G10)</f>
        <v>#NUM!</v>
      </c>
      <c r="L10" s="456" t="e">
        <f>IF($H10,_xll.qlIndexFixing($J10,$E10,FALSE,$G10),"-")</f>
        <v>#N/A</v>
      </c>
      <c r="M10" s="456" t="e">
        <f t="shared" si="2"/>
        <v>#NUM!</v>
      </c>
      <c r="N10" s="455" t="e">
        <f>_xll.qlIndexFixing($J10,$E10,TRUE,$L10)</f>
        <v>#NUM!</v>
      </c>
      <c r="O10" s="454">
        <f t="shared" si="3"/>
        <v>0</v>
      </c>
      <c r="P10" s="443"/>
      <c r="Q10" s="424"/>
      <c r="R10" s="424"/>
      <c r="S10" s="424"/>
      <c r="T10" s="424"/>
      <c r="U10" s="424"/>
      <c r="V10" s="424"/>
      <c r="W10" s="424"/>
      <c r="X10" s="424"/>
      <c r="Y10" s="424"/>
      <c r="Z10" s="424"/>
      <c r="AA10" s="424"/>
      <c r="AB10" s="424"/>
      <c r="AC10" s="424"/>
      <c r="AD10" s="424"/>
    </row>
    <row r="11" spans="1:30" x14ac:dyDescent="0.2">
      <c r="A11" s="424"/>
      <c r="B11" s="453"/>
      <c r="C11" s="461" t="s">
        <v>28</v>
      </c>
      <c r="D11" s="456" t="str">
        <f t="shared" si="0"/>
        <v>EUR5MFSR=</v>
      </c>
      <c r="E11" s="460">
        <v>41428</v>
      </c>
      <c r="F11" s="459">
        <v>0</v>
      </c>
      <c r="G11" s="459" t="b">
        <f>IF(AND(ISNUMBER($F11),$F11&lt;&gt;0%,_xll.ohTrigger(Trigger)+1),TRUE,FALSE)</f>
        <v>0</v>
      </c>
      <c r="H11" s="458" t="e">
        <f>IF($G11,_xll.qlIndexAddFixings($J11,$E11,$F11/100,TRUE,ISERROR($K11)),NA())</f>
        <v>#N/A</v>
      </c>
      <c r="I11" s="448"/>
      <c r="J11" s="457" t="str">
        <f t="shared" si="1"/>
        <v>EurLibor5M</v>
      </c>
      <c r="K11" s="456" t="e">
        <f>_xll.qlIndexFixing($J11,$E11,TRUE,$G11)</f>
        <v>#NUM!</v>
      </c>
      <c r="L11" s="456" t="e">
        <f>IF($H11,_xll.qlIndexFixing($J11,$E11,FALSE,$G11),"-")</f>
        <v>#N/A</v>
      </c>
      <c r="M11" s="456" t="e">
        <f t="shared" si="2"/>
        <v>#NUM!</v>
      </c>
      <c r="N11" s="455" t="e">
        <f>_xll.qlIndexFixing($J11,$E11,TRUE,$L11)</f>
        <v>#NUM!</v>
      </c>
      <c r="O11" s="454">
        <f t="shared" si="3"/>
        <v>0</v>
      </c>
      <c r="P11" s="443"/>
      <c r="Q11" s="424"/>
      <c r="R11" s="424"/>
      <c r="S11" s="424"/>
      <c r="T11" s="424"/>
      <c r="U11" s="424"/>
      <c r="V11" s="424"/>
      <c r="W11" s="424"/>
      <c r="X11" s="424"/>
      <c r="Y11" s="424"/>
      <c r="Z11" s="424"/>
      <c r="AA11" s="424"/>
      <c r="AB11" s="424"/>
      <c r="AC11" s="424"/>
      <c r="AD11" s="424"/>
    </row>
    <row r="12" spans="1:30" x14ac:dyDescent="0.2">
      <c r="A12" s="424"/>
      <c r="B12" s="453"/>
      <c r="C12" s="461" t="s">
        <v>27</v>
      </c>
      <c r="D12" s="456" t="str">
        <f t="shared" si="0"/>
        <v>EUR6MFSR=</v>
      </c>
      <c r="E12" s="460">
        <v>41479</v>
      </c>
      <c r="F12" s="459">
        <v>0.26357000000000003</v>
      </c>
      <c r="G12" s="459" t="b">
        <f>IF(AND(ISNUMBER($F12),$F12&lt;&gt;0%,_xll.ohTrigger(Trigger)+1),TRUE,FALSE)</f>
        <v>1</v>
      </c>
      <c r="H12" s="458" t="e">
        <f>IF($G12,_xll.qlIndexAddFixings($J12,$E12,$F12/100,TRUE,ISERROR($K12)),NA())</f>
        <v>#NUM!</v>
      </c>
      <c r="I12" s="448"/>
      <c r="J12" s="457" t="str">
        <f t="shared" si="1"/>
        <v>EurLibor6M</v>
      </c>
      <c r="K12" s="456" t="e">
        <f>_xll.qlIndexFixing($J12,$E12,TRUE,$G12)</f>
        <v>#NUM!</v>
      </c>
      <c r="L12" s="456" t="e">
        <f>IF($H12,_xll.qlIndexFixing($J12,$E12,FALSE,$G12),"-")</f>
        <v>#NUM!</v>
      </c>
      <c r="M12" s="456" t="e">
        <f t="shared" si="2"/>
        <v>#NUM!</v>
      </c>
      <c r="N12" s="455" t="e">
        <f>_xll.qlIndexFixing($J12,$E12,TRUE,$L12)</f>
        <v>#NUM!</v>
      </c>
      <c r="O12" s="454">
        <f t="shared" si="3"/>
        <v>0</v>
      </c>
      <c r="P12" s="443"/>
      <c r="Q12" s="424"/>
      <c r="R12" s="424"/>
      <c r="S12" s="424"/>
      <c r="T12" s="424"/>
      <c r="U12" s="424"/>
      <c r="V12" s="424"/>
      <c r="W12" s="424"/>
      <c r="X12" s="424"/>
      <c r="Y12" s="424"/>
      <c r="Z12" s="424"/>
      <c r="AA12" s="424"/>
      <c r="AB12" s="424"/>
      <c r="AC12" s="424"/>
      <c r="AD12" s="424"/>
    </row>
    <row r="13" spans="1:30" x14ac:dyDescent="0.2">
      <c r="A13" s="424"/>
      <c r="B13" s="453"/>
      <c r="C13" s="461" t="s">
        <v>26</v>
      </c>
      <c r="D13" s="456" t="str">
        <f t="shared" si="0"/>
        <v>EUR7MFSR=</v>
      </c>
      <c r="E13" s="460">
        <v>41428</v>
      </c>
      <c r="F13" s="459">
        <v>0</v>
      </c>
      <c r="G13" s="459" t="b">
        <f>IF(AND(ISNUMBER($F13),$F13&lt;&gt;0%,_xll.ohTrigger(Trigger)+1),TRUE,FALSE)</f>
        <v>0</v>
      </c>
      <c r="H13" s="458" t="e">
        <f>IF($G13,_xll.qlIndexAddFixings($J13,$E13,$F13/100,TRUE,ISERROR($K13)),NA())</f>
        <v>#N/A</v>
      </c>
      <c r="I13" s="448"/>
      <c r="J13" s="457" t="str">
        <f t="shared" si="1"/>
        <v>EurLibor7M</v>
      </c>
      <c r="K13" s="456" t="e">
        <f>_xll.qlIndexFixing($J13,$E13,TRUE,$G13)</f>
        <v>#NUM!</v>
      </c>
      <c r="L13" s="456" t="e">
        <f>IF($H13,_xll.qlIndexFixing($J13,$E13,FALSE,$G13),"-")</f>
        <v>#N/A</v>
      </c>
      <c r="M13" s="456" t="e">
        <f t="shared" si="2"/>
        <v>#NUM!</v>
      </c>
      <c r="N13" s="455" t="e">
        <f>_xll.qlIndexFixing($J13,$E13,TRUE,$L13)</f>
        <v>#NUM!</v>
      </c>
      <c r="O13" s="454">
        <f t="shared" si="3"/>
        <v>0</v>
      </c>
      <c r="P13" s="443"/>
      <c r="Q13" s="424"/>
      <c r="R13" s="424"/>
      <c r="S13" s="424"/>
      <c r="T13" s="424"/>
      <c r="U13" s="424"/>
      <c r="V13" s="424"/>
      <c r="W13" s="424"/>
      <c r="X13" s="424"/>
      <c r="Y13" s="424"/>
      <c r="Z13" s="424"/>
      <c r="AA13" s="424"/>
      <c r="AB13" s="424"/>
      <c r="AC13" s="424"/>
      <c r="AD13" s="424"/>
    </row>
    <row r="14" spans="1:30" x14ac:dyDescent="0.2">
      <c r="A14" s="424"/>
      <c r="B14" s="453"/>
      <c r="C14" s="461" t="s">
        <v>25</v>
      </c>
      <c r="D14" s="456" t="str">
        <f t="shared" si="0"/>
        <v>EUR8MFSR=</v>
      </c>
      <c r="E14" s="460">
        <v>41428</v>
      </c>
      <c r="F14" s="459">
        <v>0</v>
      </c>
      <c r="G14" s="459" t="b">
        <f>IF(AND(ISNUMBER($F14),$F14&lt;&gt;0%,_xll.ohTrigger(Trigger)+1),TRUE,FALSE)</f>
        <v>0</v>
      </c>
      <c r="H14" s="458" t="e">
        <f>IF($G14,_xll.qlIndexAddFixings($J14,$E14,$F14/100,TRUE,ISERROR($K14)),NA())</f>
        <v>#N/A</v>
      </c>
      <c r="I14" s="448"/>
      <c r="J14" s="457" t="str">
        <f t="shared" si="1"/>
        <v>EurLibor8M</v>
      </c>
      <c r="K14" s="456" t="e">
        <f>_xll.qlIndexFixing($J14,$E14,TRUE,$G14)</f>
        <v>#NUM!</v>
      </c>
      <c r="L14" s="456" t="e">
        <f>IF($H14,_xll.qlIndexFixing($J14,$E14,FALSE,$G14),"-")</f>
        <v>#N/A</v>
      </c>
      <c r="M14" s="456" t="e">
        <f t="shared" si="2"/>
        <v>#NUM!</v>
      </c>
      <c r="N14" s="455" t="e">
        <f>_xll.qlIndexFixing($J14,$E14,TRUE,$L14)</f>
        <v>#NUM!</v>
      </c>
      <c r="O14" s="454">
        <f t="shared" si="3"/>
        <v>0</v>
      </c>
      <c r="P14" s="443"/>
      <c r="Q14" s="424"/>
      <c r="R14" s="424"/>
      <c r="S14" s="424"/>
      <c r="T14" s="424"/>
      <c r="U14" s="424"/>
      <c r="V14" s="424"/>
      <c r="W14" s="424"/>
      <c r="X14" s="424"/>
      <c r="Y14" s="424"/>
      <c r="Z14" s="424"/>
      <c r="AA14" s="424"/>
      <c r="AB14" s="424"/>
      <c r="AC14" s="424"/>
      <c r="AD14" s="424"/>
    </row>
    <row r="15" spans="1:30" x14ac:dyDescent="0.2">
      <c r="A15" s="424"/>
      <c r="B15" s="453"/>
      <c r="C15" s="461" t="s">
        <v>24</v>
      </c>
      <c r="D15" s="456" t="str">
        <f t="shared" si="0"/>
        <v>EUR9MFSR=</v>
      </c>
      <c r="E15" s="460">
        <v>41428</v>
      </c>
      <c r="F15" s="459">
        <v>0</v>
      </c>
      <c r="G15" s="459" t="b">
        <f>IF(AND(ISNUMBER($F15),$F15&lt;&gt;0%,_xll.ohTrigger(Trigger)+1),TRUE,FALSE)</f>
        <v>0</v>
      </c>
      <c r="H15" s="458" t="e">
        <f>IF($G15,_xll.qlIndexAddFixings($J15,$E15,$F15/100,TRUE,ISERROR($K15)),NA())</f>
        <v>#N/A</v>
      </c>
      <c r="I15" s="448"/>
      <c r="J15" s="457" t="str">
        <f t="shared" si="1"/>
        <v>EurLibor9M</v>
      </c>
      <c r="K15" s="456" t="e">
        <f>_xll.qlIndexFixing($J15,$E15,TRUE,$G15)</f>
        <v>#NUM!</v>
      </c>
      <c r="L15" s="456" t="e">
        <f>IF($H15,_xll.qlIndexFixing($J15,$E15,FALSE,$G15),"-")</f>
        <v>#N/A</v>
      </c>
      <c r="M15" s="456" t="e">
        <f t="shared" si="2"/>
        <v>#NUM!</v>
      </c>
      <c r="N15" s="455" t="e">
        <f>_xll.qlIndexFixing($J15,$E15,TRUE,$L15)</f>
        <v>#NUM!</v>
      </c>
      <c r="O15" s="454">
        <f t="shared" si="3"/>
        <v>0</v>
      </c>
      <c r="P15" s="443"/>
      <c r="Q15" s="424"/>
      <c r="R15" s="424"/>
      <c r="S15" s="424"/>
      <c r="T15" s="424"/>
      <c r="U15" s="424"/>
      <c r="V15" s="424"/>
      <c r="W15" s="424"/>
      <c r="X15" s="424"/>
      <c r="Y15" s="424"/>
      <c r="Z15" s="424"/>
      <c r="AA15" s="424"/>
      <c r="AB15" s="424"/>
      <c r="AC15" s="424"/>
      <c r="AD15" s="424"/>
    </row>
    <row r="16" spans="1:30" x14ac:dyDescent="0.2">
      <c r="A16" s="424"/>
      <c r="B16" s="453"/>
      <c r="C16" s="461" t="s">
        <v>23</v>
      </c>
      <c r="D16" s="456" t="str">
        <f t="shared" si="0"/>
        <v>EUR10MFSR=</v>
      </c>
      <c r="E16" s="460">
        <v>41428</v>
      </c>
      <c r="F16" s="459">
        <v>0</v>
      </c>
      <c r="G16" s="459" t="b">
        <f>IF(AND(ISNUMBER($F16),$F16&lt;&gt;0%,_xll.ohTrigger(Trigger)+1),TRUE,FALSE)</f>
        <v>0</v>
      </c>
      <c r="H16" s="458" t="e">
        <f>IF($G16,_xll.qlIndexAddFixings($J16,$E16,$F16/100,TRUE,ISERROR($K16)),NA())</f>
        <v>#N/A</v>
      </c>
      <c r="I16" s="448"/>
      <c r="J16" s="457" t="str">
        <f t="shared" si="1"/>
        <v>EurLibor10M</v>
      </c>
      <c r="K16" s="456" t="e">
        <f>_xll.qlIndexFixing($J16,$E16,TRUE,$G16)</f>
        <v>#NUM!</v>
      </c>
      <c r="L16" s="456" t="e">
        <f>IF($H16,_xll.qlIndexFixing($J16,$E16,FALSE,$G16),"-")</f>
        <v>#N/A</v>
      </c>
      <c r="M16" s="456" t="e">
        <f t="shared" si="2"/>
        <v>#NUM!</v>
      </c>
      <c r="N16" s="455" t="e">
        <f>_xll.qlIndexFixing($J16,$E16,TRUE,$L16)</f>
        <v>#NUM!</v>
      </c>
      <c r="O16" s="454">
        <f t="shared" si="3"/>
        <v>0</v>
      </c>
      <c r="P16" s="443"/>
      <c r="Q16" s="424"/>
      <c r="R16" s="424"/>
      <c r="S16" s="424"/>
      <c r="T16" s="424"/>
      <c r="U16" s="424"/>
      <c r="V16" s="424"/>
      <c r="W16" s="424"/>
      <c r="X16" s="424"/>
      <c r="Y16" s="424"/>
      <c r="Z16" s="424"/>
      <c r="AA16" s="424"/>
      <c r="AB16" s="424"/>
      <c r="AC16" s="424"/>
      <c r="AD16" s="424"/>
    </row>
    <row r="17" spans="1:30" x14ac:dyDescent="0.2">
      <c r="A17" s="424"/>
      <c r="B17" s="453"/>
      <c r="C17" s="461" t="s">
        <v>22</v>
      </c>
      <c r="D17" s="456" t="str">
        <f t="shared" si="0"/>
        <v>EUR11MFSR=</v>
      </c>
      <c r="E17" s="460">
        <v>41428</v>
      </c>
      <c r="F17" s="459">
        <v>0</v>
      </c>
      <c r="G17" s="459" t="b">
        <f>IF(AND(ISNUMBER($F17),$F17&lt;&gt;0%,_xll.ohTrigger(Trigger)+1),TRUE,FALSE)</f>
        <v>0</v>
      </c>
      <c r="H17" s="458" t="e">
        <f>IF($G17,_xll.qlIndexAddFixings($J17,$E17,$F17/100,TRUE,ISERROR($K17)),NA())</f>
        <v>#N/A</v>
      </c>
      <c r="I17" s="448"/>
      <c r="J17" s="457" t="str">
        <f t="shared" si="1"/>
        <v>EurLibor11M</v>
      </c>
      <c r="K17" s="456" t="e">
        <f>_xll.qlIndexFixing($J17,$E17,TRUE,$G17)</f>
        <v>#NUM!</v>
      </c>
      <c r="L17" s="456" t="e">
        <f>IF($H17,_xll.qlIndexFixing($J17,$E17,FALSE,$G17),"-")</f>
        <v>#N/A</v>
      </c>
      <c r="M17" s="456" t="e">
        <f t="shared" si="2"/>
        <v>#NUM!</v>
      </c>
      <c r="N17" s="455" t="e">
        <f>_xll.qlIndexFixing($J17,$E17,TRUE,$L17)</f>
        <v>#NUM!</v>
      </c>
      <c r="O17" s="454">
        <f t="shared" si="3"/>
        <v>0</v>
      </c>
      <c r="P17" s="443"/>
      <c r="Q17" s="424"/>
      <c r="R17" s="424"/>
      <c r="S17" s="424"/>
      <c r="T17" s="424"/>
      <c r="U17" s="424"/>
      <c r="V17" s="424"/>
      <c r="W17" s="424"/>
      <c r="X17" s="424"/>
      <c r="Y17" s="424"/>
      <c r="Z17" s="424"/>
      <c r="AA17" s="424"/>
      <c r="AB17" s="424"/>
      <c r="AC17" s="424"/>
      <c r="AD17" s="424"/>
    </row>
    <row r="18" spans="1:30" x14ac:dyDescent="0.2">
      <c r="A18" s="424"/>
      <c r="B18" s="453"/>
      <c r="C18" s="452" t="s">
        <v>21</v>
      </c>
      <c r="D18" s="446" t="str">
        <f t="shared" si="0"/>
        <v>EUR1YFSR=</v>
      </c>
      <c r="E18" s="451">
        <v>41479</v>
      </c>
      <c r="F18" s="450">
        <v>0.47143000000000002</v>
      </c>
      <c r="G18" s="450" t="b">
        <f>IF(AND(ISNUMBER($F18),$F18&lt;&gt;0%,_xll.ohTrigger(Trigger)+1),TRUE,FALSE)</f>
        <v>1</v>
      </c>
      <c r="H18" s="449" t="e">
        <f>IF($G18,_xll.qlIndexAddFixings($J18,$E18,$F18/100,TRUE,ISERROR($K18)),NA())</f>
        <v>#NUM!</v>
      </c>
      <c r="I18" s="448"/>
      <c r="J18" s="447" t="str">
        <f t="shared" si="1"/>
        <v>EurLibor1Y</v>
      </c>
      <c r="K18" s="446" t="e">
        <f>_xll.qlIndexFixing($J18,$E18,TRUE,$G18)</f>
        <v>#NUM!</v>
      </c>
      <c r="L18" s="446" t="e">
        <f>IF($H18,_xll.qlIndexFixing($J18,$E18,FALSE,$G18),"-")</f>
        <v>#NUM!</v>
      </c>
      <c r="M18" s="446" t="e">
        <f t="shared" si="2"/>
        <v>#NUM!</v>
      </c>
      <c r="N18" s="445" t="e">
        <f>_xll.qlIndexFixing($J18,$E18,TRUE,$L18)</f>
        <v>#NUM!</v>
      </c>
      <c r="O18" s="444">
        <f t="shared" si="3"/>
        <v>0</v>
      </c>
      <c r="P18" s="443"/>
      <c r="Q18" s="424"/>
      <c r="R18" s="424"/>
      <c r="S18" s="424"/>
      <c r="T18" s="424"/>
      <c r="U18" s="424"/>
      <c r="V18" s="424"/>
      <c r="W18" s="424"/>
      <c r="X18" s="424"/>
      <c r="Y18" s="424"/>
      <c r="Z18" s="424"/>
      <c r="AA18" s="424"/>
      <c r="AB18" s="424"/>
      <c r="AC18" s="424"/>
      <c r="AD18" s="424"/>
    </row>
    <row r="19" spans="1:30" ht="12" thickBot="1" x14ac:dyDescent="0.25">
      <c r="A19" s="424"/>
      <c r="B19" s="442"/>
      <c r="C19" s="439"/>
      <c r="D19" s="439"/>
      <c r="E19" s="441"/>
      <c r="F19" s="440"/>
      <c r="G19" s="440"/>
      <c r="H19" s="439"/>
      <c r="I19" s="439"/>
      <c r="J19" s="439"/>
      <c r="K19" s="439"/>
      <c r="L19" s="439"/>
      <c r="M19" s="439"/>
      <c r="N19" s="439"/>
      <c r="O19" s="439"/>
      <c r="P19" s="438"/>
      <c r="Q19" s="424"/>
      <c r="R19" s="424"/>
      <c r="S19" s="424"/>
      <c r="T19" s="424"/>
      <c r="U19" s="424"/>
      <c r="V19" s="424"/>
      <c r="W19" s="424"/>
      <c r="X19" s="424"/>
      <c r="Y19" s="424"/>
      <c r="Z19" s="424"/>
      <c r="AA19" s="424"/>
      <c r="AB19" s="424"/>
      <c r="AC19" s="424"/>
      <c r="AD19" s="424"/>
    </row>
    <row r="20" spans="1:30" ht="12" thickBot="1" x14ac:dyDescent="0.25">
      <c r="A20" s="424"/>
      <c r="B20" s="424"/>
      <c r="C20" s="424"/>
      <c r="D20" s="424"/>
      <c r="E20" s="437"/>
      <c r="F20" s="436"/>
      <c r="G20" s="436"/>
      <c r="H20" s="424"/>
      <c r="I20" s="424"/>
      <c r="J20" s="424"/>
      <c r="K20" s="424"/>
      <c r="L20" s="424"/>
      <c r="M20" s="424"/>
      <c r="N20" s="424"/>
      <c r="O20" s="424"/>
      <c r="P20" s="424"/>
      <c r="Q20" s="424"/>
      <c r="R20" s="424"/>
      <c r="S20" s="424"/>
      <c r="T20" s="424"/>
      <c r="U20" s="424"/>
      <c r="V20" s="424"/>
      <c r="W20" s="424"/>
      <c r="X20" s="424"/>
      <c r="Y20" s="424"/>
      <c r="Z20" s="424"/>
      <c r="AA20" s="424"/>
      <c r="AB20" s="424"/>
      <c r="AC20" s="424"/>
      <c r="AD20" s="424"/>
    </row>
    <row r="21" spans="1:30" s="424" customFormat="1" x14ac:dyDescent="0.2">
      <c r="C21" s="435" t="s">
        <v>124</v>
      </c>
      <c r="D21" s="434" t="s">
        <v>228</v>
      </c>
      <c r="E21" s="433" t="s">
        <v>113</v>
      </c>
      <c r="F21" s="432"/>
    </row>
    <row r="22" spans="1:30" s="424" customFormat="1" x14ac:dyDescent="0.2">
      <c r="C22" s="430" t="s">
        <v>110</v>
      </c>
      <c r="D22" s="429" t="s">
        <v>228</v>
      </c>
      <c r="E22" s="428" t="s">
        <v>113</v>
      </c>
      <c r="J22" s="431"/>
    </row>
    <row r="23" spans="1:30" s="424" customFormat="1" x14ac:dyDescent="0.2">
      <c r="C23" s="430" t="s">
        <v>266</v>
      </c>
      <c r="D23" s="429" t="s">
        <v>228</v>
      </c>
      <c r="E23" s="428" t="s">
        <v>113</v>
      </c>
      <c r="J23" s="431"/>
    </row>
    <row r="24" spans="1:30" s="424" customFormat="1" x14ac:dyDescent="0.2">
      <c r="C24" s="430" t="s">
        <v>294</v>
      </c>
      <c r="D24" s="429" t="s">
        <v>228</v>
      </c>
      <c r="E24" s="428" t="s">
        <v>113</v>
      </c>
      <c r="J24" s="431"/>
    </row>
    <row r="25" spans="1:30" s="424" customFormat="1" x14ac:dyDescent="0.2">
      <c r="C25" s="430" t="s">
        <v>121</v>
      </c>
      <c r="D25" s="429" t="s">
        <v>228</v>
      </c>
      <c r="E25" s="428" t="s">
        <v>113</v>
      </c>
    </row>
    <row r="26" spans="1:30" s="424" customFormat="1" x14ac:dyDescent="0.2">
      <c r="C26" s="430" t="s">
        <v>120</v>
      </c>
      <c r="D26" s="429" t="s">
        <v>228</v>
      </c>
      <c r="E26" s="428" t="s">
        <v>113</v>
      </c>
    </row>
    <row r="27" spans="1:30" s="424" customFormat="1" ht="12" thickBot="1" x14ac:dyDescent="0.25">
      <c r="C27" s="427" t="s">
        <v>118</v>
      </c>
      <c r="D27" s="426" t="s">
        <v>228</v>
      </c>
      <c r="E27" s="425" t="s">
        <v>113</v>
      </c>
    </row>
    <row r="28" spans="1:30" s="424" customFormat="1" x14ac:dyDescent="0.2"/>
    <row r="29" spans="1:30" s="424" customFormat="1" x14ac:dyDescent="0.2"/>
    <row r="30" spans="1:30" s="424" customFormat="1" x14ac:dyDescent="0.2"/>
    <row r="31" spans="1:30" s="424" customFormat="1" x14ac:dyDescent="0.2"/>
    <row r="32" spans="1:30" s="424" customFormat="1" x14ac:dyDescent="0.2"/>
    <row r="33" s="424" customFormat="1" x14ac:dyDescent="0.2"/>
    <row r="34" s="424" customFormat="1" x14ac:dyDescent="0.2"/>
    <row r="35" s="424" customFormat="1" x14ac:dyDescent="0.2"/>
    <row r="36" s="424" customFormat="1" x14ac:dyDescent="0.2"/>
    <row r="37" s="424" customFormat="1" x14ac:dyDescent="0.2"/>
    <row r="38" s="424"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23" customWidth="1"/>
    <col min="3" max="3" width="5.7109375" style="423" bestFit="1" customWidth="1"/>
    <col min="4" max="4" width="12" style="423" bestFit="1" customWidth="1"/>
    <col min="5" max="5" width="16" style="423" bestFit="1" customWidth="1"/>
    <col min="6" max="6" width="9.85546875" style="423" customWidth="1"/>
    <col min="7" max="7" width="6" style="423" bestFit="1" customWidth="1"/>
    <col min="8" max="8" width="5.5703125" style="423" bestFit="1" customWidth="1"/>
    <col min="9" max="9" width="3.5703125" style="423" customWidth="1"/>
    <col min="10" max="10" width="19.85546875" style="423" customWidth="1"/>
    <col min="11" max="11" width="11.42578125" style="423" bestFit="1" customWidth="1"/>
    <col min="12" max="12" width="8.7109375" style="423" bestFit="1" customWidth="1"/>
    <col min="13" max="13" width="7.7109375" style="423" bestFit="1" customWidth="1"/>
    <col min="14" max="14" width="10" style="423" bestFit="1" customWidth="1"/>
    <col min="15" max="15" width="7.140625" style="423" bestFit="1" customWidth="1"/>
    <col min="16" max="17" width="3.5703125" style="423" customWidth="1"/>
    <col min="18" max="18" width="4" style="423" bestFit="1" customWidth="1"/>
    <col min="19" max="19" width="5.28515625" style="423" bestFit="1" customWidth="1"/>
    <col min="20" max="20" width="16" style="423" bestFit="1" customWidth="1"/>
    <col min="21" max="16384" width="9.140625" style="423"/>
  </cols>
  <sheetData>
    <row r="1" spans="1:30" ht="12" thickBot="1" x14ac:dyDescent="0.25">
      <c r="A1" s="424" t="s">
        <v>317</v>
      </c>
      <c r="B1" s="424"/>
      <c r="C1" s="424"/>
      <c r="D1" s="429"/>
      <c r="E1" s="437"/>
      <c r="F1" s="475"/>
      <c r="G1" s="475"/>
      <c r="H1" s="424"/>
      <c r="I1" s="429"/>
      <c r="J1" s="424"/>
      <c r="K1" s="424"/>
      <c r="L1" s="424"/>
      <c r="M1" s="424"/>
      <c r="N1" s="424"/>
      <c r="O1" s="424"/>
      <c r="P1" s="424"/>
      <c r="Q1" s="424"/>
      <c r="R1" s="424"/>
      <c r="S1" s="424"/>
      <c r="T1" s="424"/>
      <c r="U1" s="424"/>
      <c r="V1" s="424"/>
      <c r="W1" s="424"/>
      <c r="X1" s="424"/>
      <c r="Y1" s="424"/>
      <c r="Z1" s="424"/>
      <c r="AA1" s="424"/>
      <c r="AB1" s="424"/>
      <c r="AC1" s="424"/>
      <c r="AD1" s="424"/>
    </row>
    <row r="2" spans="1:30" ht="19.5" x14ac:dyDescent="0.4">
      <c r="A2" s="424"/>
      <c r="B2" s="474"/>
      <c r="C2" s="468"/>
      <c r="D2" s="473" t="str">
        <f>VLOOKUP(Currency,Traits,2,FALSE)</f>
        <v>SFIXA</v>
      </c>
      <c r="E2" s="472"/>
      <c r="F2" s="471"/>
      <c r="G2" s="471"/>
      <c r="H2" s="468"/>
      <c r="I2" s="468"/>
      <c r="J2" s="470" t="str">
        <f>VLOOKUP(Currency,Traits,3,FALSE)</f>
        <v>iborSwapIsdaFixA</v>
      </c>
      <c r="K2" s="468"/>
      <c r="L2" s="468"/>
      <c r="M2" s="469">
        <f>MAX(O4:O19)</f>
        <v>0</v>
      </c>
      <c r="N2" s="468"/>
      <c r="O2" s="468"/>
      <c r="P2" s="467"/>
      <c r="Q2" s="424"/>
      <c r="R2" s="424"/>
      <c r="S2" s="424"/>
      <c r="T2" s="424"/>
      <c r="U2" s="424"/>
      <c r="V2" s="424"/>
      <c r="W2" s="424"/>
      <c r="X2" s="424"/>
      <c r="Y2" s="424"/>
      <c r="Z2" s="424"/>
      <c r="AA2" s="424"/>
      <c r="AB2" s="424"/>
      <c r="AC2" s="424"/>
      <c r="AD2" s="424"/>
    </row>
    <row r="3" spans="1:30" ht="22.5" x14ac:dyDescent="0.2">
      <c r="A3" s="424"/>
      <c r="B3" s="453"/>
      <c r="C3" s="465" t="s">
        <v>39</v>
      </c>
      <c r="D3" s="464" t="e">
        <f ca="1">_xll.RData(D4:D18,E3:F3,,,,E4)</f>
        <v>#NAME?</v>
      </c>
      <c r="E3" s="464" t="s">
        <v>301</v>
      </c>
      <c r="F3" s="464" t="s">
        <v>308</v>
      </c>
      <c r="G3" s="464" t="s">
        <v>300</v>
      </c>
      <c r="H3" s="463" t="s">
        <v>299</v>
      </c>
      <c r="I3" s="466"/>
      <c r="J3" s="465" t="s">
        <v>238</v>
      </c>
      <c r="K3" s="464" t="s">
        <v>298</v>
      </c>
      <c r="L3" s="464" t="s">
        <v>297</v>
      </c>
      <c r="M3" s="464" t="s">
        <v>296</v>
      </c>
      <c r="N3" s="463" t="s">
        <v>295</v>
      </c>
      <c r="O3" s="462"/>
      <c r="P3" s="443"/>
      <c r="Q3" s="424"/>
      <c r="R3" s="424"/>
      <c r="S3" s="424"/>
      <c r="T3" s="424"/>
      <c r="U3" s="424"/>
      <c r="V3" s="424"/>
      <c r="W3" s="424"/>
      <c r="X3" s="424"/>
      <c r="Y3" s="424"/>
      <c r="Z3" s="424"/>
      <c r="AA3" s="424"/>
      <c r="AB3" s="424"/>
      <c r="AC3" s="424"/>
      <c r="AD3" s="424"/>
    </row>
    <row r="4" spans="1:30" x14ac:dyDescent="0.2">
      <c r="A4" s="424"/>
      <c r="B4" s="453"/>
      <c r="C4" s="483" t="s">
        <v>21</v>
      </c>
      <c r="D4" s="478" t="str">
        <f t="shared" ref="D4:D18" si="0">Currency&amp;$D$2&amp;$C4&amp;"="</f>
        <v>EURSFIXA1Y=</v>
      </c>
      <c r="E4" s="482">
        <v>41479</v>
      </c>
      <c r="F4" s="481">
        <v>0.32400000000000001</v>
      </c>
      <c r="G4" s="459" t="b">
        <f>IF(AND(ISNUMBER($F4),$F4&lt;&gt;0%,_xll.ohTrigger(Trigger)+1),TRUE,FALSE)</f>
        <v>1</v>
      </c>
      <c r="H4" s="480" t="e">
        <f>IF($G4,_xll.qlIndexAddFixings($J4,$E4,$F4/100,TRUE,ISERROR($K4)),NA())</f>
        <v>#NUM!</v>
      </c>
      <c r="I4" s="448"/>
      <c r="J4" s="479" t="str">
        <f t="shared" ref="J4:J18" si="1">PROPER(Currency)&amp;$J$2&amp;$C4</f>
        <v>EuriborSwapIsdaFixA1Y</v>
      </c>
      <c r="K4" s="478" t="e">
        <f>_xll.qlIndexFixing($J4,$E4,TRUE,$G4)</f>
        <v>#NUM!</v>
      </c>
      <c r="L4" s="478" t="e">
        <f>IF($H4,_xll.qlIndexFixing($J4,$E4,FALSE,$G4),"-")</f>
        <v>#NUM!</v>
      </c>
      <c r="M4" s="478" t="e">
        <f t="shared" ref="M4:M18" si="2">K4-L4</f>
        <v>#NUM!</v>
      </c>
      <c r="N4" s="477" t="e">
        <f>_xll.qlIndexFixing($J4,$E4,TRUE,$L4)</f>
        <v>#NUM!</v>
      </c>
      <c r="O4" s="487">
        <f t="shared" ref="O4:O18" si="3">IF(ISERROR(M4),0,ABS(M4))</f>
        <v>0</v>
      </c>
      <c r="P4" s="443"/>
      <c r="Q4" s="424"/>
      <c r="R4" s="424"/>
      <c r="S4" s="424"/>
      <c r="T4" s="424"/>
      <c r="U4" s="424"/>
      <c r="V4" s="424"/>
      <c r="W4" s="424"/>
      <c r="X4" s="424"/>
      <c r="Y4" s="424"/>
      <c r="Z4" s="424"/>
      <c r="AA4" s="424"/>
      <c r="AB4" s="424"/>
      <c r="AC4" s="424"/>
      <c r="AD4" s="424"/>
    </row>
    <row r="5" spans="1:30" x14ac:dyDescent="0.2">
      <c r="A5" s="424"/>
      <c r="B5" s="453"/>
      <c r="C5" s="461" t="s">
        <v>102</v>
      </c>
      <c r="D5" s="456" t="str">
        <f t="shared" si="0"/>
        <v>EURSFIXA2Y=</v>
      </c>
      <c r="E5" s="460">
        <v>41479</v>
      </c>
      <c r="F5" s="459">
        <v>0.56399999999999995</v>
      </c>
      <c r="G5" s="459" t="b">
        <f>IF(AND(ISNUMBER($F5),$F5&lt;&gt;0%,_xll.ohTrigger(Trigger)+1),TRUE,FALSE)</f>
        <v>1</v>
      </c>
      <c r="H5" s="458" t="e">
        <f>IF($G5,_xll.qlIndexAddFixings($J5,$E5,$F5/100,TRUE,ISERROR($K5)),NA())</f>
        <v>#NUM!</v>
      </c>
      <c r="I5" s="448"/>
      <c r="J5" s="457" t="str">
        <f t="shared" si="1"/>
        <v>EuriborSwapIsdaFixA2Y</v>
      </c>
      <c r="K5" s="456" t="e">
        <f>_xll.qlIndexFixing($J5,$E5,TRUE,$G5)</f>
        <v>#NUM!</v>
      </c>
      <c r="L5" s="456" t="e">
        <f>IF($H5,_xll.qlIndexFixing($J5,$E5,FALSE,$G5),"-")</f>
        <v>#NUM!</v>
      </c>
      <c r="M5" s="456" t="e">
        <f t="shared" si="2"/>
        <v>#NUM!</v>
      </c>
      <c r="N5" s="455" t="e">
        <f>_xll.qlIndexFixing($J5,$E5,TRUE,$L5)</f>
        <v>#NUM!</v>
      </c>
      <c r="O5" s="487">
        <f t="shared" si="3"/>
        <v>0</v>
      </c>
      <c r="P5" s="443"/>
      <c r="Q5" s="424"/>
      <c r="R5" s="424"/>
      <c r="S5" s="424"/>
      <c r="T5" s="424"/>
      <c r="U5" s="424"/>
      <c r="V5" s="424"/>
      <c r="W5" s="424"/>
      <c r="X5" s="424"/>
      <c r="Y5" s="424"/>
      <c r="Z5" s="424"/>
      <c r="AA5" s="424"/>
      <c r="AB5" s="424"/>
      <c r="AC5" s="424"/>
      <c r="AD5" s="424"/>
    </row>
    <row r="6" spans="1:30" x14ac:dyDescent="0.2">
      <c r="A6" s="424"/>
      <c r="B6" s="453"/>
      <c r="C6" s="461" t="s">
        <v>101</v>
      </c>
      <c r="D6" s="456" t="str">
        <f t="shared" si="0"/>
        <v>EURSFIXA3Y=</v>
      </c>
      <c r="E6" s="460">
        <v>41479</v>
      </c>
      <c r="F6" s="459">
        <v>0.72199999999999998</v>
      </c>
      <c r="G6" s="459" t="b">
        <f>IF(AND(ISNUMBER($F6),$F6&lt;&gt;0%,_xll.ohTrigger(Trigger)+1),TRUE,FALSE)</f>
        <v>1</v>
      </c>
      <c r="H6" s="458" t="e">
        <f>IF($G6,_xll.qlIndexAddFixings($J6,$E6,$F6/100,TRUE,ISERROR($K6)),NA())</f>
        <v>#NUM!</v>
      </c>
      <c r="I6" s="448"/>
      <c r="J6" s="457" t="str">
        <f t="shared" si="1"/>
        <v>EuriborSwapIsdaFixA3Y</v>
      </c>
      <c r="K6" s="456" t="e">
        <f>_xll.qlIndexFixing($J6,$E6,TRUE,$G6)</f>
        <v>#NUM!</v>
      </c>
      <c r="L6" s="456" t="e">
        <f>IF($H6,_xll.qlIndexFixing($J6,$E6,FALSE,$G6),"-")</f>
        <v>#NUM!</v>
      </c>
      <c r="M6" s="456" t="e">
        <f t="shared" si="2"/>
        <v>#NUM!</v>
      </c>
      <c r="N6" s="455" t="e">
        <f>_xll.qlIndexFixing($J6,$E6,TRUE,$L6)</f>
        <v>#NUM!</v>
      </c>
      <c r="O6" s="487">
        <f t="shared" si="3"/>
        <v>0</v>
      </c>
      <c r="P6" s="443"/>
      <c r="Q6" s="424"/>
      <c r="R6" s="424"/>
      <c r="S6" s="424"/>
      <c r="T6" s="424"/>
      <c r="U6" s="424"/>
      <c r="V6" s="424"/>
      <c r="W6" s="424"/>
      <c r="X6" s="424"/>
      <c r="Y6" s="424"/>
      <c r="Z6" s="424"/>
      <c r="AA6" s="424"/>
      <c r="AB6" s="424"/>
      <c r="AC6" s="424"/>
      <c r="AD6" s="424"/>
    </row>
    <row r="7" spans="1:30" x14ac:dyDescent="0.2">
      <c r="A7" s="424"/>
      <c r="B7" s="453"/>
      <c r="C7" s="461" t="s">
        <v>100</v>
      </c>
      <c r="D7" s="456" t="str">
        <f t="shared" si="0"/>
        <v>EURSFIXA4Y=</v>
      </c>
      <c r="E7" s="460">
        <v>41479</v>
      </c>
      <c r="F7" s="459">
        <v>0.92500000000000004</v>
      </c>
      <c r="G7" s="459" t="b">
        <f>IF(AND(ISNUMBER($F7),$F7&lt;&gt;0%,_xll.ohTrigger(Trigger)+1),TRUE,FALSE)</f>
        <v>1</v>
      </c>
      <c r="H7" s="458" t="e">
        <f>IF($G7,_xll.qlIndexAddFixings($J7,$E7,$F7/100,TRUE,ISERROR($K7)),NA())</f>
        <v>#NUM!</v>
      </c>
      <c r="I7" s="448"/>
      <c r="J7" s="457" t="str">
        <f t="shared" si="1"/>
        <v>EuriborSwapIsdaFixA4Y</v>
      </c>
      <c r="K7" s="456" t="e">
        <f>_xll.qlIndexFixing($J7,$E7,TRUE,$G7)</f>
        <v>#NUM!</v>
      </c>
      <c r="L7" s="456" t="e">
        <f>IF($H7,_xll.qlIndexFixing($J7,$E7,FALSE,$G7),"-")</f>
        <v>#NUM!</v>
      </c>
      <c r="M7" s="456" t="e">
        <f t="shared" si="2"/>
        <v>#NUM!</v>
      </c>
      <c r="N7" s="455" t="e">
        <f>_xll.qlIndexFixing($J7,$E7,TRUE,$L7)</f>
        <v>#NUM!</v>
      </c>
      <c r="O7" s="487">
        <f t="shared" si="3"/>
        <v>0</v>
      </c>
      <c r="P7" s="443"/>
      <c r="Q7" s="424"/>
      <c r="R7" s="424"/>
      <c r="S7" s="424"/>
      <c r="T7" s="424"/>
      <c r="U7" s="424"/>
      <c r="V7" s="424"/>
      <c r="W7" s="424"/>
      <c r="X7" s="424"/>
      <c r="Y7" s="424"/>
      <c r="Z7" s="424"/>
      <c r="AA7" s="424"/>
      <c r="AB7" s="424"/>
      <c r="AC7" s="424"/>
      <c r="AD7" s="424"/>
    </row>
    <row r="8" spans="1:30" x14ac:dyDescent="0.2">
      <c r="A8" s="424"/>
      <c r="B8" s="453"/>
      <c r="C8" s="461" t="s">
        <v>99</v>
      </c>
      <c r="D8" s="456" t="str">
        <f t="shared" si="0"/>
        <v>EURSFIXA5Y=</v>
      </c>
      <c r="E8" s="460">
        <v>41479</v>
      </c>
      <c r="F8" s="459">
        <v>1.139</v>
      </c>
      <c r="G8" s="459" t="b">
        <f>IF(AND(ISNUMBER($F8),$F8&lt;&gt;0%,_xll.ohTrigger(Trigger)+1),TRUE,FALSE)</f>
        <v>1</v>
      </c>
      <c r="H8" s="458" t="e">
        <f>IF($G8,_xll.qlIndexAddFixings($J8,$E8,$F8/100,TRUE,ISERROR($K8)),NA())</f>
        <v>#NUM!</v>
      </c>
      <c r="I8" s="448"/>
      <c r="J8" s="457" t="str">
        <f t="shared" si="1"/>
        <v>EuriborSwapIsdaFixA5Y</v>
      </c>
      <c r="K8" s="456" t="e">
        <f>_xll.qlIndexFixing($J8,$E8,TRUE,$G8)</f>
        <v>#NUM!</v>
      </c>
      <c r="L8" s="456" t="e">
        <f>IF($H8,_xll.qlIndexFixing($J8,$E8,FALSE,$G8),"-")</f>
        <v>#NUM!</v>
      </c>
      <c r="M8" s="456" t="e">
        <f t="shared" si="2"/>
        <v>#NUM!</v>
      </c>
      <c r="N8" s="455" t="e">
        <f>_xll.qlIndexFixing($J8,$E8,TRUE,$L8)</f>
        <v>#NUM!</v>
      </c>
      <c r="O8" s="487">
        <f t="shared" si="3"/>
        <v>0</v>
      </c>
      <c r="P8" s="443"/>
      <c r="Q8" s="424"/>
      <c r="R8" s="424"/>
      <c r="S8" s="424"/>
      <c r="T8" s="424"/>
      <c r="U8" s="424"/>
      <c r="V8" s="424"/>
      <c r="W8" s="424"/>
      <c r="X8" s="424"/>
      <c r="Y8" s="424"/>
      <c r="Z8" s="424"/>
      <c r="AA8" s="424"/>
      <c r="AB8" s="424"/>
      <c r="AC8" s="424"/>
      <c r="AD8" s="424"/>
    </row>
    <row r="9" spans="1:30" x14ac:dyDescent="0.2">
      <c r="A9" s="424"/>
      <c r="B9" s="453"/>
      <c r="C9" s="461" t="s">
        <v>98</v>
      </c>
      <c r="D9" s="456" t="str">
        <f t="shared" si="0"/>
        <v>EURSFIXA6Y=</v>
      </c>
      <c r="E9" s="460">
        <v>41479</v>
      </c>
      <c r="F9" s="459">
        <v>1.329</v>
      </c>
      <c r="G9" s="459" t="b">
        <f>IF(AND(ISNUMBER($F9),$F9&lt;&gt;0%,_xll.ohTrigger(Trigger)+1),TRUE,FALSE)</f>
        <v>1</v>
      </c>
      <c r="H9" s="458" t="e">
        <f>IF($G9,_xll.qlIndexAddFixings($J9,$E9,$F9/100,TRUE,ISERROR($K9)),NA())</f>
        <v>#NUM!</v>
      </c>
      <c r="I9" s="448"/>
      <c r="J9" s="457" t="str">
        <f t="shared" si="1"/>
        <v>EuriborSwapIsdaFixA6Y</v>
      </c>
      <c r="K9" s="456" t="e">
        <f>_xll.qlIndexFixing($J9,$E9,TRUE,$G9)</f>
        <v>#NUM!</v>
      </c>
      <c r="L9" s="456" t="e">
        <f>IF($H9,_xll.qlIndexFixing($J9,$E9,FALSE,$G9),"-")</f>
        <v>#NUM!</v>
      </c>
      <c r="M9" s="456" t="e">
        <f t="shared" si="2"/>
        <v>#NUM!</v>
      </c>
      <c r="N9" s="455" t="e">
        <f>_xll.qlIndexFixing($J9,$E9,TRUE,$L9)</f>
        <v>#NUM!</v>
      </c>
      <c r="O9" s="487">
        <f t="shared" si="3"/>
        <v>0</v>
      </c>
      <c r="P9" s="443"/>
      <c r="Q9" s="424"/>
      <c r="R9" s="424"/>
      <c r="S9" s="424"/>
      <c r="T9" s="424"/>
      <c r="U9" s="424"/>
      <c r="V9" s="424"/>
      <c r="W9" s="424"/>
      <c r="X9" s="424"/>
      <c r="Y9" s="424"/>
      <c r="Z9" s="424"/>
      <c r="AA9" s="424"/>
      <c r="AB9" s="424"/>
      <c r="AC9" s="424"/>
      <c r="AD9" s="424"/>
    </row>
    <row r="10" spans="1:30" x14ac:dyDescent="0.2">
      <c r="A10" s="424"/>
      <c r="B10" s="453"/>
      <c r="C10" s="461" t="s">
        <v>97</v>
      </c>
      <c r="D10" s="456" t="str">
        <f t="shared" si="0"/>
        <v>EURSFIXA7Y=</v>
      </c>
      <c r="E10" s="460">
        <v>41479</v>
      </c>
      <c r="F10" s="459">
        <v>1.4990000000000001</v>
      </c>
      <c r="G10" s="459" t="b">
        <f>IF(AND(ISNUMBER($F10),$F10&lt;&gt;0%,_xll.ohTrigger(Trigger)+1),TRUE,FALSE)</f>
        <v>1</v>
      </c>
      <c r="H10" s="458" t="e">
        <f>IF($G10,_xll.qlIndexAddFixings($J10,$E10,$F10/100,TRUE,ISERROR($K10)),NA())</f>
        <v>#NUM!</v>
      </c>
      <c r="I10" s="448"/>
      <c r="J10" s="457" t="str">
        <f t="shared" si="1"/>
        <v>EuriborSwapIsdaFixA7Y</v>
      </c>
      <c r="K10" s="456" t="e">
        <f>_xll.qlIndexFixing($J10,$E10,TRUE,$G10)</f>
        <v>#NUM!</v>
      </c>
      <c r="L10" s="456" t="e">
        <f>IF($H10,_xll.qlIndexFixing($J10,$E10,FALSE,$G10),"-")</f>
        <v>#NUM!</v>
      </c>
      <c r="M10" s="456" t="e">
        <f t="shared" si="2"/>
        <v>#NUM!</v>
      </c>
      <c r="N10" s="455" t="e">
        <f>_xll.qlIndexFixing($J10,$E10,TRUE,$L10)</f>
        <v>#NUM!</v>
      </c>
      <c r="O10" s="487">
        <f t="shared" si="3"/>
        <v>0</v>
      </c>
      <c r="P10" s="443"/>
      <c r="Q10" s="424"/>
      <c r="R10" s="424"/>
      <c r="S10" s="424"/>
      <c r="T10" s="424"/>
      <c r="U10" s="424"/>
      <c r="V10" s="424"/>
      <c r="W10" s="424"/>
      <c r="X10" s="424"/>
      <c r="Y10" s="424"/>
      <c r="Z10" s="424"/>
      <c r="AA10" s="424"/>
      <c r="AB10" s="424"/>
      <c r="AC10" s="424"/>
      <c r="AD10" s="424"/>
    </row>
    <row r="11" spans="1:30" x14ac:dyDescent="0.2">
      <c r="A11" s="424"/>
      <c r="B11" s="453"/>
      <c r="C11" s="461" t="s">
        <v>96</v>
      </c>
      <c r="D11" s="456" t="str">
        <f t="shared" si="0"/>
        <v>EURSFIXA8Y=</v>
      </c>
      <c r="E11" s="460">
        <v>41479</v>
      </c>
      <c r="F11" s="459">
        <v>1.6519999999999999</v>
      </c>
      <c r="G11" s="459" t="b">
        <f>IF(AND(ISNUMBER($F11),$F11&lt;&gt;0%,_xll.ohTrigger(Trigger)+1),TRUE,FALSE)</f>
        <v>1</v>
      </c>
      <c r="H11" s="458" t="e">
        <f>IF($G11,_xll.qlIndexAddFixings($J11,$E11,$F11/100,TRUE,ISERROR($K11)),NA())</f>
        <v>#NUM!</v>
      </c>
      <c r="I11" s="448"/>
      <c r="J11" s="457" t="str">
        <f t="shared" si="1"/>
        <v>EuriborSwapIsdaFixA8Y</v>
      </c>
      <c r="K11" s="456" t="e">
        <f>_xll.qlIndexFixing($J11,$E11,TRUE,$G11)</f>
        <v>#NUM!</v>
      </c>
      <c r="L11" s="456" t="e">
        <f>IF($H11,_xll.qlIndexFixing($J11,$E11,FALSE,$G11),"-")</f>
        <v>#NUM!</v>
      </c>
      <c r="M11" s="456" t="e">
        <f t="shared" si="2"/>
        <v>#NUM!</v>
      </c>
      <c r="N11" s="455" t="e">
        <f>_xll.qlIndexFixing($J11,$E11,TRUE,$L11)</f>
        <v>#NUM!</v>
      </c>
      <c r="O11" s="487">
        <f t="shared" si="3"/>
        <v>0</v>
      </c>
      <c r="P11" s="443"/>
      <c r="Q11" s="424"/>
      <c r="R11" s="424"/>
      <c r="S11" s="424"/>
      <c r="T11" s="424"/>
      <c r="U11" s="424"/>
      <c r="V11" s="424"/>
      <c r="W11" s="424"/>
      <c r="X11" s="424"/>
      <c r="Y11" s="424"/>
      <c r="Z11" s="424"/>
      <c r="AA11" s="424"/>
      <c r="AB11" s="424"/>
      <c r="AC11" s="424"/>
      <c r="AD11" s="424"/>
    </row>
    <row r="12" spans="1:30" x14ac:dyDescent="0.2">
      <c r="A12" s="424"/>
      <c r="B12" s="453"/>
      <c r="C12" s="461" t="s">
        <v>95</v>
      </c>
      <c r="D12" s="456" t="str">
        <f t="shared" si="0"/>
        <v>EURSFIXA9Y=</v>
      </c>
      <c r="E12" s="460">
        <v>41479</v>
      </c>
      <c r="F12" s="459">
        <v>1.792</v>
      </c>
      <c r="G12" s="459" t="b">
        <f>IF(AND(ISNUMBER($F12),$F12&lt;&gt;0%,_xll.ohTrigger(Trigger)+1),TRUE,FALSE)</f>
        <v>1</v>
      </c>
      <c r="H12" s="458" t="e">
        <f>IF($G12,_xll.qlIndexAddFixings($J12,$E12,$F12/100,TRUE,ISERROR($K12)),NA())</f>
        <v>#NUM!</v>
      </c>
      <c r="I12" s="448"/>
      <c r="J12" s="457" t="str">
        <f t="shared" si="1"/>
        <v>EuriborSwapIsdaFixA9Y</v>
      </c>
      <c r="K12" s="456" t="e">
        <f>_xll.qlIndexFixing($J12,$E12,TRUE,$G12)</f>
        <v>#NUM!</v>
      </c>
      <c r="L12" s="456" t="e">
        <f>IF($H12,_xll.qlIndexFixing($J12,$E12,FALSE,$G12),"-")</f>
        <v>#NUM!</v>
      </c>
      <c r="M12" s="456" t="e">
        <f t="shared" si="2"/>
        <v>#NUM!</v>
      </c>
      <c r="N12" s="455" t="e">
        <f>_xll.qlIndexFixing($J12,$E12,TRUE,$L12)</f>
        <v>#NUM!</v>
      </c>
      <c r="O12" s="487">
        <f t="shared" si="3"/>
        <v>0</v>
      </c>
      <c r="P12" s="443"/>
      <c r="Q12" s="424"/>
      <c r="R12" s="424"/>
      <c r="S12" s="424"/>
      <c r="T12" s="424"/>
      <c r="U12" s="424"/>
      <c r="V12" s="424"/>
      <c r="W12" s="424"/>
      <c r="X12" s="424"/>
      <c r="Y12" s="424"/>
      <c r="Z12" s="424"/>
      <c r="AA12" s="424"/>
      <c r="AB12" s="424"/>
      <c r="AC12" s="424"/>
      <c r="AD12" s="424"/>
    </row>
    <row r="13" spans="1:30" x14ac:dyDescent="0.2">
      <c r="A13" s="424"/>
      <c r="B13" s="453"/>
      <c r="C13" s="461" t="s">
        <v>94</v>
      </c>
      <c r="D13" s="456" t="str">
        <f t="shared" si="0"/>
        <v>EURSFIXA10Y=</v>
      </c>
      <c r="E13" s="460">
        <v>41479</v>
      </c>
      <c r="F13" s="459">
        <v>1.92</v>
      </c>
      <c r="G13" s="459" t="b">
        <f>IF(AND(ISNUMBER($F13),$F13&lt;&gt;0%,_xll.ohTrigger(Trigger)+1),TRUE,FALSE)</f>
        <v>1</v>
      </c>
      <c r="H13" s="458" t="e">
        <f>IF($G13,_xll.qlIndexAddFixings($J13,$E13,$F13/100,TRUE,ISERROR($K13)),NA())</f>
        <v>#NUM!</v>
      </c>
      <c r="I13" s="448"/>
      <c r="J13" s="457" t="str">
        <f t="shared" si="1"/>
        <v>EuriborSwapIsdaFixA10Y</v>
      </c>
      <c r="K13" s="456" t="e">
        <f>_xll.qlIndexFixing($J13,$E13,TRUE,$G13)</f>
        <v>#NUM!</v>
      </c>
      <c r="L13" s="456" t="e">
        <f>IF($H13,_xll.qlIndexFixing($J13,$E13,FALSE,$G13),"-")</f>
        <v>#NUM!</v>
      </c>
      <c r="M13" s="456" t="e">
        <f t="shared" si="2"/>
        <v>#NUM!</v>
      </c>
      <c r="N13" s="455" t="e">
        <f>_xll.qlIndexFixing($J13,$E13,TRUE,$L13)</f>
        <v>#NUM!</v>
      </c>
      <c r="O13" s="487">
        <f t="shared" si="3"/>
        <v>0</v>
      </c>
      <c r="P13" s="443"/>
      <c r="Q13" s="424"/>
      <c r="R13" s="424"/>
      <c r="S13" s="424"/>
      <c r="T13" s="424"/>
      <c r="U13" s="424"/>
      <c r="V13" s="424"/>
      <c r="W13" s="424"/>
      <c r="X13" s="424"/>
      <c r="Y13" s="424"/>
      <c r="Z13" s="424"/>
      <c r="AA13" s="424"/>
      <c r="AB13" s="424"/>
      <c r="AC13" s="424"/>
      <c r="AD13" s="424"/>
    </row>
    <row r="14" spans="1:30" x14ac:dyDescent="0.2">
      <c r="A14" s="424"/>
      <c r="B14" s="453"/>
      <c r="C14" s="461" t="s">
        <v>92</v>
      </c>
      <c r="D14" s="456" t="str">
        <f t="shared" si="0"/>
        <v>EURSFIXA12Y=</v>
      </c>
      <c r="E14" s="460">
        <v>41479</v>
      </c>
      <c r="F14" s="459">
        <v>2.1269999999999998</v>
      </c>
      <c r="G14" s="459" t="b">
        <f>IF(AND(ISNUMBER($F14),$F14&lt;&gt;0%,_xll.ohTrigger(Trigger)+1),TRUE,FALSE)</f>
        <v>1</v>
      </c>
      <c r="H14" s="458" t="e">
        <f>IF($G14,_xll.qlIndexAddFixings($J14,$E14,$F14/100,TRUE,ISERROR($K14)),NA())</f>
        <v>#NUM!</v>
      </c>
      <c r="I14" s="448"/>
      <c r="J14" s="457" t="str">
        <f t="shared" si="1"/>
        <v>EuriborSwapIsdaFixA12Y</v>
      </c>
      <c r="K14" s="456" t="e">
        <f>_xll.qlIndexFixing($J14,$E14,TRUE,$G14)</f>
        <v>#NUM!</v>
      </c>
      <c r="L14" s="456" t="e">
        <f>IF($H14,_xll.qlIndexFixing($J14,$E14,FALSE,$G14),"-")</f>
        <v>#NUM!</v>
      </c>
      <c r="M14" s="456" t="e">
        <f t="shared" si="2"/>
        <v>#NUM!</v>
      </c>
      <c r="N14" s="455" t="e">
        <f>_xll.qlIndexFixing($J14,$E14,TRUE,$L14)</f>
        <v>#NUM!</v>
      </c>
      <c r="O14" s="487">
        <f t="shared" si="3"/>
        <v>0</v>
      </c>
      <c r="P14" s="443"/>
      <c r="Q14" s="424"/>
      <c r="R14" s="424"/>
      <c r="S14" s="424"/>
      <c r="T14" s="424"/>
      <c r="U14" s="424"/>
      <c r="V14" s="424"/>
      <c r="W14" s="424"/>
      <c r="X14" s="424"/>
      <c r="Y14" s="424"/>
      <c r="Z14" s="424"/>
      <c r="AA14" s="424"/>
      <c r="AB14" s="424"/>
      <c r="AC14" s="424"/>
      <c r="AD14" s="424"/>
    </row>
    <row r="15" spans="1:30" x14ac:dyDescent="0.2">
      <c r="A15" s="424"/>
      <c r="B15" s="453"/>
      <c r="C15" s="461" t="s">
        <v>89</v>
      </c>
      <c r="D15" s="456" t="str">
        <f t="shared" si="0"/>
        <v>EURSFIXA15Y=</v>
      </c>
      <c r="E15" s="460">
        <v>41479</v>
      </c>
      <c r="F15" s="459">
        <v>2.3279999999999998</v>
      </c>
      <c r="G15" s="459" t="b">
        <f>IF(AND(ISNUMBER($F15),$F15&lt;&gt;0%,_xll.ohTrigger(Trigger)+1),TRUE,FALSE)</f>
        <v>1</v>
      </c>
      <c r="H15" s="458" t="e">
        <f>IF($G15,_xll.qlIndexAddFixings($J15,$E15,$F15/100,TRUE,ISERROR($K15)),NA())</f>
        <v>#NUM!</v>
      </c>
      <c r="I15" s="448"/>
      <c r="J15" s="457" t="str">
        <f t="shared" si="1"/>
        <v>EuriborSwapIsdaFixA15Y</v>
      </c>
      <c r="K15" s="456" t="e">
        <f>_xll.qlIndexFixing($J15,$E15,TRUE,$G15)</f>
        <v>#NUM!</v>
      </c>
      <c r="L15" s="456" t="e">
        <f>IF($H15,_xll.qlIndexFixing($J15,$E15,FALSE,$G15),"-")</f>
        <v>#NUM!</v>
      </c>
      <c r="M15" s="456" t="e">
        <f t="shared" si="2"/>
        <v>#NUM!</v>
      </c>
      <c r="N15" s="455" t="e">
        <f>_xll.qlIndexFixing($J15,$E15,TRUE,$L15)</f>
        <v>#NUM!</v>
      </c>
      <c r="O15" s="487">
        <f t="shared" si="3"/>
        <v>0</v>
      </c>
      <c r="P15" s="443"/>
      <c r="Q15" s="424"/>
      <c r="R15" s="424"/>
      <c r="S15" s="424"/>
      <c r="T15" s="424"/>
      <c r="U15" s="424"/>
      <c r="V15" s="424"/>
      <c r="W15" s="424"/>
      <c r="X15" s="424"/>
      <c r="Y15" s="424"/>
      <c r="Z15" s="424"/>
      <c r="AA15" s="424"/>
      <c r="AB15" s="424"/>
      <c r="AC15" s="424"/>
      <c r="AD15" s="424"/>
    </row>
    <row r="16" spans="1:30" x14ac:dyDescent="0.2">
      <c r="A16" s="424"/>
      <c r="B16" s="453"/>
      <c r="C16" s="461" t="s">
        <v>84</v>
      </c>
      <c r="D16" s="456" t="str">
        <f t="shared" si="0"/>
        <v>EURSFIXA20Y=</v>
      </c>
      <c r="E16" s="460">
        <v>41479</v>
      </c>
      <c r="F16" s="459">
        <v>2.4420000000000002</v>
      </c>
      <c r="G16" s="459" t="b">
        <f>IF(AND(ISNUMBER($F16),$F16&lt;&gt;0%,_xll.ohTrigger(Trigger)+1),TRUE,FALSE)</f>
        <v>1</v>
      </c>
      <c r="H16" s="458" t="e">
        <f>IF($G16,_xll.qlIndexAddFixings($J16,$E16,$F16/100,TRUE,ISERROR($K16)),NA())</f>
        <v>#NUM!</v>
      </c>
      <c r="I16" s="448"/>
      <c r="J16" s="457" t="str">
        <f t="shared" si="1"/>
        <v>EuriborSwapIsdaFixA20Y</v>
      </c>
      <c r="K16" s="456" t="e">
        <f>_xll.qlIndexFixing($J16,$E16,TRUE,$G16)</f>
        <v>#NUM!</v>
      </c>
      <c r="L16" s="456" t="e">
        <f>IF($H16,_xll.qlIndexFixing($J16,$E16,FALSE,$G16),"-")</f>
        <v>#NUM!</v>
      </c>
      <c r="M16" s="456" t="e">
        <f t="shared" si="2"/>
        <v>#NUM!</v>
      </c>
      <c r="N16" s="455" t="e">
        <f>_xll.qlIndexFixing($J16,$E16,TRUE,$L16)</f>
        <v>#NUM!</v>
      </c>
      <c r="O16" s="487">
        <f t="shared" si="3"/>
        <v>0</v>
      </c>
      <c r="P16" s="443"/>
      <c r="Q16" s="424"/>
      <c r="R16" s="424"/>
      <c r="S16" s="424"/>
      <c r="T16" s="424"/>
      <c r="U16" s="424"/>
      <c r="V16" s="424"/>
      <c r="W16" s="424"/>
      <c r="X16" s="424"/>
      <c r="Y16" s="424"/>
      <c r="Z16" s="424"/>
      <c r="AA16" s="424"/>
      <c r="AB16" s="424"/>
      <c r="AC16" s="424"/>
      <c r="AD16" s="424"/>
    </row>
    <row r="17" spans="1:30" x14ac:dyDescent="0.2">
      <c r="A17" s="424"/>
      <c r="B17" s="453"/>
      <c r="C17" s="461" t="s">
        <v>79</v>
      </c>
      <c r="D17" s="456" t="str">
        <f t="shared" si="0"/>
        <v>EURSFIXA25Y=</v>
      </c>
      <c r="E17" s="460">
        <v>41479</v>
      </c>
      <c r="F17" s="459">
        <v>2.4590000000000001</v>
      </c>
      <c r="G17" s="459" t="b">
        <f>IF(AND(ISNUMBER($F17),$F17&lt;&gt;0%,_xll.ohTrigger(Trigger)+1),TRUE,FALSE)</f>
        <v>1</v>
      </c>
      <c r="H17" s="458" t="e">
        <f>IF($G17,_xll.qlIndexAddFixings($J17,$E17,$F17/100,TRUE,ISERROR($K17)),NA())</f>
        <v>#NUM!</v>
      </c>
      <c r="I17" s="448"/>
      <c r="J17" s="457" t="str">
        <f t="shared" si="1"/>
        <v>EuriborSwapIsdaFixA25Y</v>
      </c>
      <c r="K17" s="456" t="e">
        <f>_xll.qlIndexFixing($J17,$E17,TRUE,$G17)</f>
        <v>#NUM!</v>
      </c>
      <c r="L17" s="456" t="e">
        <f>IF($H17,_xll.qlIndexFixing($J17,$E17,FALSE,$G17),"-")</f>
        <v>#NUM!</v>
      </c>
      <c r="M17" s="456" t="e">
        <f t="shared" si="2"/>
        <v>#NUM!</v>
      </c>
      <c r="N17" s="455" t="e">
        <f>_xll.qlIndexFixing($J17,$E17,TRUE,$L17)</f>
        <v>#NUM!</v>
      </c>
      <c r="O17" s="487">
        <f t="shared" si="3"/>
        <v>0</v>
      </c>
      <c r="P17" s="443"/>
      <c r="Q17" s="424"/>
      <c r="R17" s="424"/>
      <c r="S17" s="424"/>
      <c r="T17" s="424"/>
      <c r="U17" s="424"/>
      <c r="V17" s="424"/>
      <c r="W17" s="424"/>
      <c r="X17" s="424"/>
      <c r="Y17" s="424"/>
      <c r="Z17" s="424"/>
      <c r="AA17" s="424"/>
      <c r="AB17" s="424"/>
      <c r="AC17" s="424"/>
      <c r="AD17" s="424"/>
    </row>
    <row r="18" spans="1:30" x14ac:dyDescent="0.2">
      <c r="A18" s="424"/>
      <c r="B18" s="453"/>
      <c r="C18" s="452" t="s">
        <v>74</v>
      </c>
      <c r="D18" s="446" t="str">
        <f t="shared" si="0"/>
        <v>EURSFIXA30Y=</v>
      </c>
      <c r="E18" s="451">
        <v>41479</v>
      </c>
      <c r="F18" s="450">
        <v>2.452</v>
      </c>
      <c r="G18" s="450" t="b">
        <f>IF(AND(ISNUMBER($F18),$F18&lt;&gt;0%,_xll.ohTrigger(Trigger)+1),TRUE,FALSE)</f>
        <v>1</v>
      </c>
      <c r="H18" s="449" t="e">
        <f>IF($G18,_xll.qlIndexAddFixings($J18,$E18,$F18/100,TRUE,ISERROR($K18)),NA())</f>
        <v>#NUM!</v>
      </c>
      <c r="I18" s="448"/>
      <c r="J18" s="447" t="str">
        <f t="shared" si="1"/>
        <v>EuriborSwapIsdaFixA30Y</v>
      </c>
      <c r="K18" s="446" t="e">
        <f>_xll.qlIndexFixing($J18,$E18,TRUE,$G18)</f>
        <v>#NUM!</v>
      </c>
      <c r="L18" s="446" t="e">
        <f>IF($H18,_xll.qlIndexFixing($J18,$E18,FALSE,$G18),"-")</f>
        <v>#NUM!</v>
      </c>
      <c r="M18" s="446" t="e">
        <f t="shared" si="2"/>
        <v>#NUM!</v>
      </c>
      <c r="N18" s="445" t="e">
        <f>_xll.qlIndexFixing($J18,$E18,TRUE,$L18)</f>
        <v>#NUM!</v>
      </c>
      <c r="O18" s="486">
        <f t="shared" si="3"/>
        <v>0</v>
      </c>
      <c r="P18" s="443"/>
      <c r="Q18" s="424"/>
      <c r="R18" s="424"/>
      <c r="S18" s="424"/>
      <c r="T18" s="424"/>
      <c r="U18" s="424"/>
      <c r="V18" s="424"/>
      <c r="W18" s="424"/>
      <c r="X18" s="424"/>
      <c r="Y18" s="424"/>
      <c r="Z18" s="424"/>
      <c r="AA18" s="424"/>
      <c r="AB18" s="424"/>
      <c r="AC18" s="424"/>
      <c r="AD18" s="424"/>
    </row>
    <row r="19" spans="1:30" ht="12" thickBot="1" x14ac:dyDescent="0.25">
      <c r="A19" s="424"/>
      <c r="B19" s="442"/>
      <c r="C19" s="440"/>
      <c r="D19" s="440"/>
      <c r="E19" s="440"/>
      <c r="F19" s="440"/>
      <c r="G19" s="440"/>
      <c r="H19" s="440"/>
      <c r="I19" s="439"/>
      <c r="J19" s="439"/>
      <c r="K19" s="439"/>
      <c r="L19" s="439"/>
      <c r="M19" s="439"/>
      <c r="N19" s="439"/>
      <c r="O19" s="439"/>
      <c r="P19" s="438"/>
      <c r="Q19" s="424"/>
      <c r="R19" s="424"/>
      <c r="S19" s="424"/>
      <c r="T19" s="424"/>
      <c r="U19" s="424"/>
      <c r="V19" s="424"/>
      <c r="W19" s="424"/>
      <c r="X19" s="424"/>
      <c r="Y19" s="424"/>
      <c r="Z19" s="424"/>
      <c r="AA19" s="424"/>
      <c r="AB19" s="424"/>
      <c r="AC19" s="424"/>
      <c r="AD19" s="424"/>
    </row>
    <row r="20" spans="1:30" ht="12" thickBot="1" x14ac:dyDescent="0.25">
      <c r="A20" s="424"/>
      <c r="B20" s="424"/>
      <c r="C20" s="424"/>
      <c r="D20" s="424"/>
      <c r="E20" s="437"/>
      <c r="F20" s="436"/>
      <c r="G20" s="436"/>
      <c r="H20" s="424"/>
      <c r="I20" s="424"/>
      <c r="J20" s="424"/>
      <c r="K20" s="424"/>
      <c r="L20" s="424"/>
      <c r="M20" s="424"/>
      <c r="N20" s="424"/>
      <c r="O20" s="424"/>
      <c r="P20" s="424"/>
      <c r="Q20" s="424"/>
      <c r="R20" s="424"/>
      <c r="S20" s="424"/>
      <c r="T20" s="424"/>
      <c r="U20" s="424"/>
      <c r="V20" s="424"/>
      <c r="W20" s="424"/>
      <c r="X20" s="424"/>
      <c r="Y20" s="424"/>
      <c r="Z20" s="424"/>
      <c r="AA20" s="424"/>
      <c r="AB20" s="424"/>
      <c r="AC20" s="424"/>
      <c r="AD20" s="424"/>
    </row>
    <row r="21" spans="1:30" s="424" customFormat="1" x14ac:dyDescent="0.2">
      <c r="C21" s="435" t="s">
        <v>124</v>
      </c>
      <c r="D21" s="434" t="s">
        <v>304</v>
      </c>
      <c r="E21" s="433" t="s">
        <v>305</v>
      </c>
    </row>
    <row r="22" spans="1:30" s="424" customFormat="1" x14ac:dyDescent="0.2">
      <c r="C22" s="430" t="s">
        <v>110</v>
      </c>
      <c r="D22" s="429" t="s">
        <v>307</v>
      </c>
      <c r="E22" s="428" t="s">
        <v>306</v>
      </c>
    </row>
    <row r="23" spans="1:30" s="424" customFormat="1" x14ac:dyDescent="0.2">
      <c r="C23" s="430" t="s">
        <v>266</v>
      </c>
      <c r="D23" s="429" t="s">
        <v>304</v>
      </c>
      <c r="E23" s="428" t="s">
        <v>303</v>
      </c>
    </row>
    <row r="24" spans="1:30" s="424" customFormat="1" x14ac:dyDescent="0.2">
      <c r="C24" s="430" t="s">
        <v>294</v>
      </c>
      <c r="D24" s="429" t="s">
        <v>304</v>
      </c>
      <c r="E24" s="428" t="s">
        <v>305</v>
      </c>
    </row>
    <row r="25" spans="1:30" s="424" customFormat="1" x14ac:dyDescent="0.2">
      <c r="C25" s="430" t="s">
        <v>121</v>
      </c>
      <c r="D25" s="429" t="s">
        <v>304</v>
      </c>
      <c r="E25" s="428" t="s">
        <v>305</v>
      </c>
    </row>
    <row r="26" spans="1:30" s="424" customFormat="1" x14ac:dyDescent="0.2">
      <c r="C26" s="430" t="s">
        <v>120</v>
      </c>
      <c r="D26" s="429" t="s">
        <v>304</v>
      </c>
      <c r="E26" s="428" t="s">
        <v>303</v>
      </c>
    </row>
    <row r="27" spans="1:30" s="424" customFormat="1" ht="12" thickBot="1" x14ac:dyDescent="0.25">
      <c r="C27" s="427" t="s">
        <v>118</v>
      </c>
      <c r="D27" s="485" t="s">
        <v>304</v>
      </c>
      <c r="E27" s="484" t="s">
        <v>303</v>
      </c>
    </row>
    <row r="28" spans="1:30" s="424" customFormat="1" x14ac:dyDescent="0.2"/>
    <row r="29" spans="1:30" s="424" customFormat="1" x14ac:dyDescent="0.2"/>
    <row r="30" spans="1:30" s="424" customFormat="1" x14ac:dyDescent="0.2"/>
    <row r="31" spans="1:30" s="424" customFormat="1" x14ac:dyDescent="0.2"/>
    <row r="32" spans="1:30" s="424" customFormat="1" x14ac:dyDescent="0.2"/>
    <row r="33" s="424" customFormat="1" x14ac:dyDescent="0.2"/>
    <row r="34" s="424" customFormat="1" x14ac:dyDescent="0.2"/>
    <row r="35" s="424" customFormat="1" x14ac:dyDescent="0.2"/>
    <row r="36" s="424" customFormat="1" x14ac:dyDescent="0.2"/>
    <row r="37" s="424" customFormat="1" x14ac:dyDescent="0.2"/>
    <row r="38" s="424"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23" customWidth="1"/>
    <col min="3" max="3" width="5.7109375" style="423" bestFit="1" customWidth="1"/>
    <col min="4" max="4" width="12.85546875" style="423" bestFit="1" customWidth="1"/>
    <col min="5" max="5" width="26.42578125" style="423" bestFit="1" customWidth="1"/>
    <col min="6" max="6" width="9.85546875" style="423" customWidth="1"/>
    <col min="7" max="7" width="6" style="423" bestFit="1" customWidth="1"/>
    <col min="8" max="8" width="5.5703125" style="423" bestFit="1" customWidth="1"/>
    <col min="9" max="9" width="3.5703125" style="423" customWidth="1"/>
    <col min="10" max="10" width="19.5703125" style="423" customWidth="1"/>
    <col min="11" max="11" width="11.42578125" style="423" bestFit="1" customWidth="1"/>
    <col min="12" max="12" width="8.7109375" style="423" bestFit="1" customWidth="1"/>
    <col min="13" max="13" width="7.7109375" style="423" bestFit="1" customWidth="1"/>
    <col min="14" max="14" width="10" style="423" bestFit="1" customWidth="1"/>
    <col min="15" max="15" width="7.140625" style="423" bestFit="1" customWidth="1"/>
    <col min="16" max="17" width="3.5703125" style="423" customWidth="1"/>
    <col min="18" max="18" width="4" style="423" bestFit="1" customWidth="1"/>
    <col min="19" max="19" width="6.140625" style="423" bestFit="1" customWidth="1"/>
    <col min="20" max="20" width="16" style="423" bestFit="1" customWidth="1"/>
    <col min="21" max="16384" width="9.140625" style="423"/>
  </cols>
  <sheetData>
    <row r="1" spans="1:30" ht="12" thickBot="1" x14ac:dyDescent="0.25">
      <c r="A1" s="424" t="s">
        <v>317</v>
      </c>
      <c r="B1" s="424"/>
      <c r="C1" s="424"/>
      <c r="D1" s="429"/>
      <c r="E1" s="437"/>
      <c r="F1" s="475"/>
      <c r="G1" s="475"/>
      <c r="H1" s="424"/>
      <c r="I1" s="429"/>
      <c r="J1" s="424"/>
      <c r="K1" s="424"/>
      <c r="L1" s="424"/>
      <c r="M1" s="424"/>
      <c r="N1" s="424"/>
      <c r="O1" s="424"/>
      <c r="P1" s="424"/>
      <c r="Q1" s="424"/>
      <c r="R1" s="424"/>
      <c r="S1" s="424"/>
      <c r="T1" s="424"/>
      <c r="U1" s="424"/>
      <c r="V1" s="424"/>
      <c r="W1" s="424"/>
      <c r="X1" s="424"/>
      <c r="Y1" s="424"/>
      <c r="Z1" s="424"/>
      <c r="AA1" s="424"/>
      <c r="AB1" s="424"/>
      <c r="AC1" s="424"/>
      <c r="AD1" s="424"/>
    </row>
    <row r="2" spans="1:30" ht="19.5" x14ac:dyDescent="0.4">
      <c r="A2" s="424"/>
      <c r="B2" s="474"/>
      <c r="C2" s="468"/>
      <c r="D2" s="473" t="str">
        <f>VLOOKUP(Currency,Traits,2,FALSE)</f>
        <v>SFIXLA</v>
      </c>
      <c r="E2" s="472"/>
      <c r="F2" s="471"/>
      <c r="G2" s="471"/>
      <c r="H2" s="468"/>
      <c r="I2" s="468"/>
      <c r="J2" s="470" t="str">
        <f>VLOOKUP(Currency,Traits,3,FALSE)</f>
        <v>LiborSwapIsdaFixA</v>
      </c>
      <c r="K2" s="468"/>
      <c r="L2" s="468"/>
      <c r="M2" s="469">
        <f>MAX(O4:O19)</f>
        <v>0</v>
      </c>
      <c r="N2" s="468"/>
      <c r="O2" s="468"/>
      <c r="P2" s="467"/>
      <c r="Q2" s="424"/>
      <c r="R2" s="424"/>
      <c r="S2" s="424"/>
      <c r="T2" s="424"/>
      <c r="U2" s="424"/>
      <c r="V2" s="424"/>
      <c r="W2" s="424"/>
      <c r="X2" s="424"/>
      <c r="Y2" s="424"/>
      <c r="Z2" s="424"/>
      <c r="AA2" s="424"/>
      <c r="AB2" s="424"/>
      <c r="AC2" s="424"/>
      <c r="AD2" s="424"/>
    </row>
    <row r="3" spans="1:30" ht="22.5" x14ac:dyDescent="0.2">
      <c r="A3" s="424"/>
      <c r="B3" s="453"/>
      <c r="C3" s="465" t="s">
        <v>39</v>
      </c>
      <c r="D3" s="464" t="e">
        <f ca="1">_xll.RData(D4:D18,E3:F3,,,,E4)</f>
        <v>#NAME?</v>
      </c>
      <c r="E3" s="464" t="s">
        <v>301</v>
      </c>
      <c r="F3" s="464" t="s">
        <v>308</v>
      </c>
      <c r="G3" s="464" t="s">
        <v>300</v>
      </c>
      <c r="H3" s="463" t="s">
        <v>299</v>
      </c>
      <c r="I3" s="466"/>
      <c r="J3" s="465" t="s">
        <v>238</v>
      </c>
      <c r="K3" s="464" t="s">
        <v>298</v>
      </c>
      <c r="L3" s="464" t="s">
        <v>297</v>
      </c>
      <c r="M3" s="464" t="s">
        <v>296</v>
      </c>
      <c r="N3" s="463" t="s">
        <v>295</v>
      </c>
      <c r="O3" s="462"/>
      <c r="P3" s="443"/>
      <c r="Q3" s="424"/>
      <c r="R3" s="424"/>
      <c r="S3" s="424"/>
      <c r="T3" s="424"/>
      <c r="U3" s="424"/>
      <c r="V3" s="424"/>
      <c r="W3" s="424"/>
      <c r="X3" s="424"/>
      <c r="Y3" s="424"/>
      <c r="Z3" s="424"/>
      <c r="AA3" s="424"/>
      <c r="AB3" s="424"/>
      <c r="AC3" s="424"/>
      <c r="AD3" s="424"/>
    </row>
    <row r="4" spans="1:30" x14ac:dyDescent="0.2">
      <c r="A4" s="424"/>
      <c r="B4" s="453"/>
      <c r="C4" s="483" t="s">
        <v>21</v>
      </c>
      <c r="D4" s="478" t="str">
        <f t="shared" ref="D4:D18" si="0">Currency&amp;$D$2&amp;$C4&amp;"="</f>
        <v>EURSFIXLA1Y=</v>
      </c>
      <c r="E4" s="482">
        <v>41479</v>
      </c>
      <c r="F4" s="481">
        <v>0.26200000000000001</v>
      </c>
      <c r="G4" s="459" t="b">
        <f>IF(AND(ISNUMBER($F4),$F4&lt;&gt;0%,_xll.ohTrigger(Trigger)+1),TRUE,FALSE)</f>
        <v>1</v>
      </c>
      <c r="H4" s="480" t="e">
        <f>IF($G4,_xll.qlIndexAddFixings($J4,$E4,$F4/100,TRUE,ISERROR($K4)),NA())</f>
        <v>#NUM!</v>
      </c>
      <c r="I4" s="448"/>
      <c r="J4" s="479" t="str">
        <f t="shared" ref="J4:J18" si="1">PROPER(Currency)&amp;$J$2&amp;$C4</f>
        <v>EurLiborSwapIsdaFixA1Y</v>
      </c>
      <c r="K4" s="478" t="e">
        <f>_xll.qlIndexFixing($J4,$E4,TRUE,$G4)</f>
        <v>#NUM!</v>
      </c>
      <c r="L4" s="478" t="e">
        <f>IF($H4,_xll.qlIndexFixing($J4,$E4,FALSE,$G4),"-")</f>
        <v>#NUM!</v>
      </c>
      <c r="M4" s="478" t="e">
        <f t="shared" ref="M4:M18" si="2">K4-L4</f>
        <v>#NUM!</v>
      </c>
      <c r="N4" s="477" t="e">
        <f>_xll.qlIndexFixing($J4,$E4,TRUE,$L4)</f>
        <v>#NUM!</v>
      </c>
      <c r="O4" s="487">
        <f t="shared" ref="O4:O18" si="3">IF(ISERROR(M4),0,ABS(M4))</f>
        <v>0</v>
      </c>
      <c r="P4" s="443"/>
      <c r="Q4" s="424"/>
      <c r="R4" s="424"/>
      <c r="S4" s="424"/>
      <c r="T4" s="424"/>
      <c r="U4" s="424"/>
      <c r="V4" s="424"/>
      <c r="W4" s="424"/>
      <c r="X4" s="424"/>
      <c r="Y4" s="424"/>
      <c r="Z4" s="424"/>
      <c r="AA4" s="424"/>
      <c r="AB4" s="424"/>
      <c r="AC4" s="424"/>
      <c r="AD4" s="424"/>
    </row>
    <row r="5" spans="1:30" x14ac:dyDescent="0.2">
      <c r="A5" s="424"/>
      <c r="B5" s="453"/>
      <c r="C5" s="461" t="s">
        <v>102</v>
      </c>
      <c r="D5" s="456" t="str">
        <f t="shared" si="0"/>
        <v>EURSFIXLA2Y=</v>
      </c>
      <c r="E5" s="460">
        <v>41479</v>
      </c>
      <c r="F5" s="459">
        <v>0.504</v>
      </c>
      <c r="G5" s="459" t="b">
        <f>IF(AND(ISNUMBER($F5),$F5&lt;&gt;0%,_xll.ohTrigger(Trigger)+1),TRUE,FALSE)</f>
        <v>1</v>
      </c>
      <c r="H5" s="458" t="e">
        <f>IF($G5,_xll.qlIndexAddFixings($J5,$E5,$F5/100,TRUE,ISERROR($K5)),NA())</f>
        <v>#NUM!</v>
      </c>
      <c r="I5" s="448"/>
      <c r="J5" s="457" t="str">
        <f t="shared" si="1"/>
        <v>EurLiborSwapIsdaFixA2Y</v>
      </c>
      <c r="K5" s="456" t="e">
        <f>_xll.qlIndexFixing($J5,$E5,TRUE,$G5)</f>
        <v>#NUM!</v>
      </c>
      <c r="L5" s="456" t="e">
        <f>IF($H5,_xll.qlIndexFixing($J5,$E5,FALSE,$G5),"-")</f>
        <v>#NUM!</v>
      </c>
      <c r="M5" s="456" t="e">
        <f t="shared" si="2"/>
        <v>#NUM!</v>
      </c>
      <c r="N5" s="455" t="e">
        <f>_xll.qlIndexFixing($J5,$E5,TRUE,$L5)</f>
        <v>#NUM!</v>
      </c>
      <c r="O5" s="487">
        <f t="shared" si="3"/>
        <v>0</v>
      </c>
      <c r="P5" s="443"/>
      <c r="Q5" s="424"/>
      <c r="R5" s="424"/>
      <c r="S5" s="424"/>
      <c r="T5" s="424"/>
      <c r="U5" s="424"/>
      <c r="V5" s="424"/>
      <c r="W5" s="424"/>
      <c r="X5" s="424"/>
      <c r="Y5" s="424"/>
      <c r="Z5" s="424"/>
      <c r="AA5" s="424"/>
      <c r="AB5" s="424"/>
      <c r="AC5" s="424"/>
      <c r="AD5" s="424"/>
    </row>
    <row r="6" spans="1:30" x14ac:dyDescent="0.2">
      <c r="A6" s="424"/>
      <c r="B6" s="453"/>
      <c r="C6" s="461" t="s">
        <v>101</v>
      </c>
      <c r="D6" s="456" t="str">
        <f t="shared" si="0"/>
        <v>EURSFIXLA3Y=</v>
      </c>
      <c r="E6" s="460">
        <v>41479</v>
      </c>
      <c r="F6" s="459">
        <v>0.66700000000000004</v>
      </c>
      <c r="G6" s="459" t="b">
        <f>IF(AND(ISNUMBER($F6),$F6&lt;&gt;0%,_xll.ohTrigger(Trigger)+1),TRUE,FALSE)</f>
        <v>1</v>
      </c>
      <c r="H6" s="458" t="e">
        <f>IF($G6,_xll.qlIndexAddFixings($J6,$E6,$F6/100,TRUE,ISERROR($K6)),NA())</f>
        <v>#NUM!</v>
      </c>
      <c r="I6" s="448"/>
      <c r="J6" s="457" t="str">
        <f t="shared" si="1"/>
        <v>EurLiborSwapIsdaFixA3Y</v>
      </c>
      <c r="K6" s="456" t="e">
        <f>_xll.qlIndexFixing($J6,$E6,TRUE,$G6)</f>
        <v>#NUM!</v>
      </c>
      <c r="L6" s="456" t="e">
        <f>IF($H6,_xll.qlIndexFixing($J6,$E6,FALSE,$G6),"-")</f>
        <v>#NUM!</v>
      </c>
      <c r="M6" s="456" t="e">
        <f t="shared" si="2"/>
        <v>#NUM!</v>
      </c>
      <c r="N6" s="455" t="e">
        <f>_xll.qlIndexFixing($J6,$E6,TRUE,$L6)</f>
        <v>#NUM!</v>
      </c>
      <c r="O6" s="487">
        <f t="shared" si="3"/>
        <v>0</v>
      </c>
      <c r="P6" s="443"/>
      <c r="Q6" s="424"/>
      <c r="R6" s="424"/>
      <c r="S6" s="424"/>
      <c r="T6" s="424"/>
      <c r="U6" s="424"/>
      <c r="V6" s="424"/>
      <c r="W6" s="424"/>
      <c r="X6" s="424"/>
      <c r="Y6" s="424"/>
      <c r="Z6" s="424"/>
      <c r="AA6" s="424"/>
      <c r="AB6" s="424"/>
      <c r="AC6" s="424"/>
      <c r="AD6" s="424"/>
    </row>
    <row r="7" spans="1:30" x14ac:dyDescent="0.2">
      <c r="A7" s="424"/>
      <c r="B7" s="453"/>
      <c r="C7" s="461" t="s">
        <v>100</v>
      </c>
      <c r="D7" s="456" t="str">
        <f t="shared" si="0"/>
        <v>EURSFIXLA4Y=</v>
      </c>
      <c r="E7" s="460">
        <v>41479</v>
      </c>
      <c r="F7" s="459">
        <v>0.873</v>
      </c>
      <c r="G7" s="459" t="b">
        <f>IF(AND(ISNUMBER($F7),$F7&lt;&gt;0%,_xll.ohTrigger(Trigger)+1),TRUE,FALSE)</f>
        <v>1</v>
      </c>
      <c r="H7" s="458" t="e">
        <f>IF($G7,_xll.qlIndexAddFixings($J7,$E7,$F7/100,TRUE,ISERROR($K7)),NA())</f>
        <v>#NUM!</v>
      </c>
      <c r="I7" s="448"/>
      <c r="J7" s="457" t="str">
        <f t="shared" si="1"/>
        <v>EurLiborSwapIsdaFixA4Y</v>
      </c>
      <c r="K7" s="456" t="e">
        <f>_xll.qlIndexFixing($J7,$E7,TRUE,$G7)</f>
        <v>#NUM!</v>
      </c>
      <c r="L7" s="456" t="e">
        <f>IF($H7,_xll.qlIndexFixing($J7,$E7,FALSE,$G7),"-")</f>
        <v>#NUM!</v>
      </c>
      <c r="M7" s="456" t="e">
        <f t="shared" si="2"/>
        <v>#NUM!</v>
      </c>
      <c r="N7" s="455" t="e">
        <f>_xll.qlIndexFixing($J7,$E7,TRUE,$L7)</f>
        <v>#NUM!</v>
      </c>
      <c r="O7" s="487">
        <f t="shared" si="3"/>
        <v>0</v>
      </c>
      <c r="P7" s="443"/>
      <c r="Q7" s="424"/>
      <c r="R7" s="424"/>
      <c r="S7" s="424"/>
      <c r="T7" s="424"/>
      <c r="U7" s="424"/>
      <c r="V7" s="424"/>
      <c r="W7" s="424"/>
      <c r="X7" s="424"/>
      <c r="Y7" s="424"/>
      <c r="Z7" s="424"/>
      <c r="AA7" s="424"/>
      <c r="AB7" s="424"/>
      <c r="AC7" s="424"/>
      <c r="AD7" s="424"/>
    </row>
    <row r="8" spans="1:30" x14ac:dyDescent="0.2">
      <c r="A8" s="424"/>
      <c r="B8" s="453"/>
      <c r="C8" s="461" t="s">
        <v>99</v>
      </c>
      <c r="D8" s="456" t="str">
        <f t="shared" si="0"/>
        <v>EURSFIXLA5Y=</v>
      </c>
      <c r="E8" s="460">
        <v>41479</v>
      </c>
      <c r="F8" s="459">
        <v>1.089</v>
      </c>
      <c r="G8" s="459" t="b">
        <f>IF(AND(ISNUMBER($F8),$F8&lt;&gt;0%,_xll.ohTrigger(Trigger)+1),TRUE,FALSE)</f>
        <v>1</v>
      </c>
      <c r="H8" s="458" t="e">
        <f>IF($G8,_xll.qlIndexAddFixings($J8,$E8,$F8/100,TRUE,ISERROR($K8)),NA())</f>
        <v>#NUM!</v>
      </c>
      <c r="I8" s="448"/>
      <c r="J8" s="457" t="str">
        <f t="shared" si="1"/>
        <v>EurLiborSwapIsdaFixA5Y</v>
      </c>
      <c r="K8" s="456" t="e">
        <f>_xll.qlIndexFixing($J8,$E8,TRUE,$G8)</f>
        <v>#NUM!</v>
      </c>
      <c r="L8" s="456" t="e">
        <f>IF($H8,_xll.qlIndexFixing($J8,$E8,FALSE,$G8),"-")</f>
        <v>#NUM!</v>
      </c>
      <c r="M8" s="456" t="e">
        <f t="shared" si="2"/>
        <v>#NUM!</v>
      </c>
      <c r="N8" s="455" t="e">
        <f>_xll.qlIndexFixing($J8,$E8,TRUE,$L8)</f>
        <v>#NUM!</v>
      </c>
      <c r="O8" s="487">
        <f t="shared" si="3"/>
        <v>0</v>
      </c>
      <c r="P8" s="443"/>
      <c r="Q8" s="424"/>
      <c r="R8" s="424"/>
      <c r="S8" s="424"/>
      <c r="T8" s="424"/>
      <c r="U8" s="424"/>
      <c r="V8" s="424"/>
      <c r="W8" s="424"/>
      <c r="X8" s="424"/>
      <c r="Y8" s="424"/>
      <c r="Z8" s="424"/>
      <c r="AA8" s="424"/>
      <c r="AB8" s="424"/>
      <c r="AC8" s="424"/>
      <c r="AD8" s="424"/>
    </row>
    <row r="9" spans="1:30" x14ac:dyDescent="0.2">
      <c r="A9" s="424"/>
      <c r="B9" s="453"/>
      <c r="C9" s="461" t="s">
        <v>98</v>
      </c>
      <c r="D9" s="456" t="str">
        <f t="shared" si="0"/>
        <v>EURSFIXLA6Y=</v>
      </c>
      <c r="E9" s="460">
        <v>41479</v>
      </c>
      <c r="F9" s="459">
        <v>1.282</v>
      </c>
      <c r="G9" s="459" t="b">
        <f>IF(AND(ISNUMBER($F9),$F9&lt;&gt;0%,_xll.ohTrigger(Trigger)+1),TRUE,FALSE)</f>
        <v>1</v>
      </c>
      <c r="H9" s="458" t="e">
        <f>IF($G9,_xll.qlIndexAddFixings($J9,$E9,$F9/100,TRUE,ISERROR($K9)),NA())</f>
        <v>#NUM!</v>
      </c>
      <c r="I9" s="448"/>
      <c r="J9" s="457" t="str">
        <f t="shared" si="1"/>
        <v>EurLiborSwapIsdaFixA6Y</v>
      </c>
      <c r="K9" s="456" t="e">
        <f>_xll.qlIndexFixing($J9,$E9,TRUE,$G9)</f>
        <v>#NUM!</v>
      </c>
      <c r="L9" s="456" t="e">
        <f>IF($H9,_xll.qlIndexFixing($J9,$E9,FALSE,$G9),"-")</f>
        <v>#NUM!</v>
      </c>
      <c r="M9" s="456" t="e">
        <f t="shared" si="2"/>
        <v>#NUM!</v>
      </c>
      <c r="N9" s="455" t="e">
        <f>_xll.qlIndexFixing($J9,$E9,TRUE,$L9)</f>
        <v>#NUM!</v>
      </c>
      <c r="O9" s="487">
        <f t="shared" si="3"/>
        <v>0</v>
      </c>
      <c r="P9" s="443"/>
      <c r="Q9" s="424"/>
      <c r="R9" s="424"/>
      <c r="S9" s="424"/>
      <c r="T9" s="424"/>
      <c r="U9" s="424"/>
      <c r="V9" s="424"/>
      <c r="W9" s="424"/>
      <c r="X9" s="424"/>
      <c r="Y9" s="424"/>
      <c r="Z9" s="424"/>
      <c r="AA9" s="424"/>
      <c r="AB9" s="424"/>
      <c r="AC9" s="424"/>
      <c r="AD9" s="424"/>
    </row>
    <row r="10" spans="1:30" x14ac:dyDescent="0.2">
      <c r="A10" s="424"/>
      <c r="B10" s="453"/>
      <c r="C10" s="461" t="s">
        <v>97</v>
      </c>
      <c r="D10" s="456" t="str">
        <f t="shared" si="0"/>
        <v>EURSFIXLA7Y=</v>
      </c>
      <c r="E10" s="460">
        <v>41479</v>
      </c>
      <c r="F10" s="459">
        <v>1.454</v>
      </c>
      <c r="G10" s="459" t="b">
        <f>IF(AND(ISNUMBER($F10),$F10&lt;&gt;0%,_xll.ohTrigger(Trigger)+1),TRUE,FALSE)</f>
        <v>1</v>
      </c>
      <c r="H10" s="458" t="e">
        <f>IF($G10,_xll.qlIndexAddFixings($J10,$E10,$F10/100,TRUE,ISERROR($K10)),NA())</f>
        <v>#NUM!</v>
      </c>
      <c r="I10" s="448"/>
      <c r="J10" s="457" t="str">
        <f t="shared" si="1"/>
        <v>EurLiborSwapIsdaFixA7Y</v>
      </c>
      <c r="K10" s="456" t="e">
        <f>_xll.qlIndexFixing($J10,$E10,TRUE,$G10)</f>
        <v>#NUM!</v>
      </c>
      <c r="L10" s="456" t="e">
        <f>IF($H10,_xll.qlIndexFixing($J10,$E10,FALSE,$G10),"-")</f>
        <v>#NUM!</v>
      </c>
      <c r="M10" s="456" t="e">
        <f t="shared" si="2"/>
        <v>#NUM!</v>
      </c>
      <c r="N10" s="455" t="e">
        <f>_xll.qlIndexFixing($J10,$E10,TRUE,$L10)</f>
        <v>#NUM!</v>
      </c>
      <c r="O10" s="487">
        <f t="shared" si="3"/>
        <v>0</v>
      </c>
      <c r="P10" s="443"/>
      <c r="Q10" s="424"/>
      <c r="R10" s="424"/>
      <c r="S10" s="424"/>
      <c r="T10" s="424"/>
      <c r="U10" s="424"/>
      <c r="V10" s="424"/>
      <c r="W10" s="424"/>
      <c r="X10" s="424"/>
      <c r="Y10" s="424"/>
      <c r="Z10" s="424"/>
      <c r="AA10" s="424"/>
      <c r="AB10" s="424"/>
      <c r="AC10" s="424"/>
      <c r="AD10" s="424"/>
    </row>
    <row r="11" spans="1:30" x14ac:dyDescent="0.2">
      <c r="A11" s="424"/>
      <c r="B11" s="453"/>
      <c r="C11" s="461" t="s">
        <v>96</v>
      </c>
      <c r="D11" s="456" t="str">
        <f t="shared" si="0"/>
        <v>EURSFIXLA8Y=</v>
      </c>
      <c r="E11" s="460">
        <v>41479</v>
      </c>
      <c r="F11" s="459">
        <v>1.609</v>
      </c>
      <c r="G11" s="459" t="b">
        <f>IF(AND(ISNUMBER($F11),$F11&lt;&gt;0%,_xll.ohTrigger(Trigger)+1),TRUE,FALSE)</f>
        <v>1</v>
      </c>
      <c r="H11" s="458" t="e">
        <f>IF($G11,_xll.qlIndexAddFixings($J11,$E11,$F11/100,TRUE,ISERROR($K11)),NA())</f>
        <v>#NUM!</v>
      </c>
      <c r="I11" s="448"/>
      <c r="J11" s="457" t="str">
        <f t="shared" si="1"/>
        <v>EurLiborSwapIsdaFixA8Y</v>
      </c>
      <c r="K11" s="456" t="e">
        <f>_xll.qlIndexFixing($J11,$E11,TRUE,$G11)</f>
        <v>#NUM!</v>
      </c>
      <c r="L11" s="456" t="e">
        <f>IF($H11,_xll.qlIndexFixing($J11,$E11,FALSE,$G11),"-")</f>
        <v>#NUM!</v>
      </c>
      <c r="M11" s="456" t="e">
        <f t="shared" si="2"/>
        <v>#NUM!</v>
      </c>
      <c r="N11" s="455" t="e">
        <f>_xll.qlIndexFixing($J11,$E11,TRUE,$L11)</f>
        <v>#NUM!</v>
      </c>
      <c r="O11" s="487">
        <f t="shared" si="3"/>
        <v>0</v>
      </c>
      <c r="P11" s="443"/>
      <c r="Q11" s="424"/>
      <c r="R11" s="424"/>
      <c r="S11" s="424"/>
      <c r="T11" s="424"/>
      <c r="U11" s="424"/>
      <c r="V11" s="424"/>
      <c r="W11" s="424"/>
      <c r="X11" s="424"/>
      <c r="Y11" s="424"/>
      <c r="Z11" s="424"/>
      <c r="AA11" s="424"/>
      <c r="AB11" s="424"/>
      <c r="AC11" s="424"/>
      <c r="AD11" s="424"/>
    </row>
    <row r="12" spans="1:30" x14ac:dyDescent="0.2">
      <c r="A12" s="424"/>
      <c r="B12" s="453"/>
      <c r="C12" s="461" t="s">
        <v>95</v>
      </c>
      <c r="D12" s="456" t="str">
        <f t="shared" si="0"/>
        <v>EURSFIXLA9Y=</v>
      </c>
      <c r="E12" s="460">
        <v>41479</v>
      </c>
      <c r="F12" s="459">
        <v>1.752</v>
      </c>
      <c r="G12" s="459" t="b">
        <f>IF(AND(ISNUMBER($F12),$F12&lt;&gt;0%,_xll.ohTrigger(Trigger)+1),TRUE,FALSE)</f>
        <v>1</v>
      </c>
      <c r="H12" s="458" t="e">
        <f>IF($G12,_xll.qlIndexAddFixings($J12,$E12,$F12/100,TRUE,ISERROR($K12)),NA())</f>
        <v>#NUM!</v>
      </c>
      <c r="I12" s="448"/>
      <c r="J12" s="457" t="str">
        <f t="shared" si="1"/>
        <v>EurLiborSwapIsdaFixA9Y</v>
      </c>
      <c r="K12" s="456" t="e">
        <f>_xll.qlIndexFixing($J12,$E12,TRUE,$G12)</f>
        <v>#NUM!</v>
      </c>
      <c r="L12" s="456" t="e">
        <f>IF($H12,_xll.qlIndexFixing($J12,$E12,FALSE,$G12),"-")</f>
        <v>#NUM!</v>
      </c>
      <c r="M12" s="456" t="e">
        <f t="shared" si="2"/>
        <v>#NUM!</v>
      </c>
      <c r="N12" s="455" t="e">
        <f>_xll.qlIndexFixing($J12,$E12,TRUE,$L12)</f>
        <v>#NUM!</v>
      </c>
      <c r="O12" s="487">
        <f t="shared" si="3"/>
        <v>0</v>
      </c>
      <c r="P12" s="443"/>
      <c r="Q12" s="424"/>
      <c r="R12" s="424"/>
      <c r="S12" s="424"/>
      <c r="T12" s="424"/>
      <c r="U12" s="424"/>
      <c r="V12" s="424"/>
      <c r="W12" s="424"/>
      <c r="X12" s="424"/>
      <c r="Y12" s="424"/>
      <c r="Z12" s="424"/>
      <c r="AA12" s="424"/>
      <c r="AB12" s="424"/>
      <c r="AC12" s="424"/>
      <c r="AD12" s="424"/>
    </row>
    <row r="13" spans="1:30" x14ac:dyDescent="0.2">
      <c r="A13" s="424"/>
      <c r="B13" s="453"/>
      <c r="C13" s="461" t="s">
        <v>94</v>
      </c>
      <c r="D13" s="456" t="str">
        <f t="shared" si="0"/>
        <v>EURSFIXLA10Y=</v>
      </c>
      <c r="E13" s="460">
        <v>41479</v>
      </c>
      <c r="F13" s="459">
        <v>1.88</v>
      </c>
      <c r="G13" s="459" t="b">
        <f>IF(AND(ISNUMBER($F13),$F13&lt;&gt;0%,_xll.ohTrigger(Trigger)+1),TRUE,FALSE)</f>
        <v>1</v>
      </c>
      <c r="H13" s="458" t="e">
        <f>IF($G13,_xll.qlIndexAddFixings($J13,$E13,$F13/100,TRUE,ISERROR($K13)),NA())</f>
        <v>#NUM!</v>
      </c>
      <c r="I13" s="448"/>
      <c r="J13" s="457" t="str">
        <f t="shared" si="1"/>
        <v>EurLiborSwapIsdaFixA10Y</v>
      </c>
      <c r="K13" s="456" t="e">
        <f>_xll.qlIndexFixing($J13,$E13,TRUE,$G13)</f>
        <v>#NUM!</v>
      </c>
      <c r="L13" s="456" t="e">
        <f>IF($H13,_xll.qlIndexFixing($J13,$E13,FALSE,$G13),"-")</f>
        <v>#NUM!</v>
      </c>
      <c r="M13" s="456" t="e">
        <f t="shared" si="2"/>
        <v>#NUM!</v>
      </c>
      <c r="N13" s="455" t="e">
        <f>_xll.qlIndexFixing($J13,$E13,TRUE,$L13)</f>
        <v>#NUM!</v>
      </c>
      <c r="O13" s="487">
        <f t="shared" si="3"/>
        <v>0</v>
      </c>
      <c r="P13" s="443"/>
      <c r="Q13" s="424"/>
      <c r="R13" s="424"/>
      <c r="S13" s="424"/>
      <c r="T13" s="424"/>
      <c r="U13" s="424"/>
      <c r="V13" s="424"/>
      <c r="W13" s="424"/>
      <c r="X13" s="424"/>
      <c r="Y13" s="424"/>
      <c r="Z13" s="424"/>
      <c r="AA13" s="424"/>
      <c r="AB13" s="424"/>
      <c r="AC13" s="424"/>
      <c r="AD13" s="424"/>
    </row>
    <row r="14" spans="1:30" x14ac:dyDescent="0.2">
      <c r="A14" s="424"/>
      <c r="B14" s="453"/>
      <c r="C14" s="461" t="s">
        <v>92</v>
      </c>
      <c r="D14" s="456" t="str">
        <f t="shared" si="0"/>
        <v>EURSFIXLA12Y=</v>
      </c>
      <c r="E14" s="460">
        <v>41479</v>
      </c>
      <c r="F14" s="459">
        <v>2.089</v>
      </c>
      <c r="G14" s="459" t="b">
        <f>IF(AND(ISNUMBER($F14),$F14&lt;&gt;0%,_xll.ohTrigger(Trigger)+1),TRUE,FALSE)</f>
        <v>1</v>
      </c>
      <c r="H14" s="458" t="e">
        <f>IF($G14,_xll.qlIndexAddFixings($J14,$E14,$F14/100,TRUE,ISERROR($K14)),NA())</f>
        <v>#NUM!</v>
      </c>
      <c r="I14" s="448"/>
      <c r="J14" s="457" t="str">
        <f t="shared" si="1"/>
        <v>EurLiborSwapIsdaFixA12Y</v>
      </c>
      <c r="K14" s="456" t="e">
        <f>_xll.qlIndexFixing($J14,$E14,TRUE,$G14)</f>
        <v>#NUM!</v>
      </c>
      <c r="L14" s="456" t="e">
        <f>IF($H14,_xll.qlIndexFixing($J14,$E14,FALSE,$G14),"-")</f>
        <v>#NUM!</v>
      </c>
      <c r="M14" s="456" t="e">
        <f t="shared" si="2"/>
        <v>#NUM!</v>
      </c>
      <c r="N14" s="455" t="e">
        <f>_xll.qlIndexFixing($J14,$E14,TRUE,$L14)</f>
        <v>#NUM!</v>
      </c>
      <c r="O14" s="487">
        <f t="shared" si="3"/>
        <v>0</v>
      </c>
      <c r="P14" s="443"/>
      <c r="Q14" s="424"/>
      <c r="R14" s="424"/>
      <c r="S14" s="424"/>
      <c r="T14" s="424"/>
      <c r="U14" s="424"/>
      <c r="V14" s="424"/>
      <c r="W14" s="424"/>
      <c r="X14" s="424"/>
      <c r="Y14" s="424"/>
      <c r="Z14" s="424"/>
      <c r="AA14" s="424"/>
      <c r="AB14" s="424"/>
      <c r="AC14" s="424"/>
      <c r="AD14" s="424"/>
    </row>
    <row r="15" spans="1:30" x14ac:dyDescent="0.2">
      <c r="A15" s="424"/>
      <c r="B15" s="453"/>
      <c r="C15" s="461" t="s">
        <v>89</v>
      </c>
      <c r="D15" s="456" t="str">
        <f t="shared" si="0"/>
        <v>EURSFIXLA15Y=</v>
      </c>
      <c r="E15" s="460">
        <v>41479</v>
      </c>
      <c r="F15" s="459">
        <v>2.294</v>
      </c>
      <c r="G15" s="459" t="b">
        <f>IF(AND(ISNUMBER($F15),$F15&lt;&gt;0%,_xll.ohTrigger(Trigger)+1),TRUE,FALSE)</f>
        <v>1</v>
      </c>
      <c r="H15" s="458" t="e">
        <f>IF($G15,_xll.qlIndexAddFixings($J15,$E15,$F15/100,TRUE,ISERROR($K15)),NA())</f>
        <v>#NUM!</v>
      </c>
      <c r="I15" s="448"/>
      <c r="J15" s="457" t="str">
        <f t="shared" si="1"/>
        <v>EurLiborSwapIsdaFixA15Y</v>
      </c>
      <c r="K15" s="456" t="e">
        <f>_xll.qlIndexFixing($J15,$E15,TRUE,$G15)</f>
        <v>#NUM!</v>
      </c>
      <c r="L15" s="456" t="e">
        <f>IF($H15,_xll.qlIndexFixing($J15,$E15,FALSE,$G15),"-")</f>
        <v>#NUM!</v>
      </c>
      <c r="M15" s="456" t="e">
        <f t="shared" si="2"/>
        <v>#NUM!</v>
      </c>
      <c r="N15" s="455" t="e">
        <f>_xll.qlIndexFixing($J15,$E15,TRUE,$L15)</f>
        <v>#NUM!</v>
      </c>
      <c r="O15" s="487">
        <f t="shared" si="3"/>
        <v>0</v>
      </c>
      <c r="P15" s="443"/>
      <c r="Q15" s="424"/>
      <c r="R15" s="424"/>
      <c r="S15" s="424"/>
      <c r="T15" s="424"/>
      <c r="U15" s="424"/>
      <c r="V15" s="424"/>
      <c r="W15" s="424"/>
      <c r="X15" s="424"/>
      <c r="Y15" s="424"/>
      <c r="Z15" s="424"/>
      <c r="AA15" s="424"/>
      <c r="AB15" s="424"/>
      <c r="AC15" s="424"/>
      <c r="AD15" s="424"/>
    </row>
    <row r="16" spans="1:30" x14ac:dyDescent="0.2">
      <c r="A16" s="424"/>
      <c r="B16" s="453"/>
      <c r="C16" s="461" t="s">
        <v>84</v>
      </c>
      <c r="D16" s="456" t="str">
        <f t="shared" si="0"/>
        <v>EURSFIXLA20Y=</v>
      </c>
      <c r="E16" s="460">
        <v>41479</v>
      </c>
      <c r="F16" s="459">
        <v>2.4129999999999998</v>
      </c>
      <c r="G16" s="459" t="b">
        <f>IF(AND(ISNUMBER($F16),$F16&lt;&gt;0%,_xll.ohTrigger(Trigger)+1),TRUE,FALSE)</f>
        <v>1</v>
      </c>
      <c r="H16" s="458" t="e">
        <f>IF($G16,_xll.qlIndexAddFixings($J16,$E16,$F16/100,TRUE,ISERROR($K16)),NA())</f>
        <v>#NUM!</v>
      </c>
      <c r="I16" s="448"/>
      <c r="J16" s="457" t="str">
        <f t="shared" si="1"/>
        <v>EurLiborSwapIsdaFixA20Y</v>
      </c>
      <c r="K16" s="456" t="e">
        <f>_xll.qlIndexFixing($J16,$E16,TRUE,$G16)</f>
        <v>#NUM!</v>
      </c>
      <c r="L16" s="456" t="e">
        <f>IF($H16,_xll.qlIndexFixing($J16,$E16,FALSE,$G16),"-")</f>
        <v>#NUM!</v>
      </c>
      <c r="M16" s="456" t="e">
        <f t="shared" si="2"/>
        <v>#NUM!</v>
      </c>
      <c r="N16" s="455" t="e">
        <f>_xll.qlIndexFixing($J16,$E16,TRUE,$L16)</f>
        <v>#NUM!</v>
      </c>
      <c r="O16" s="487">
        <f t="shared" si="3"/>
        <v>0</v>
      </c>
      <c r="P16" s="443"/>
      <c r="Q16" s="424"/>
      <c r="R16" s="424"/>
      <c r="S16" s="424"/>
      <c r="T16" s="424"/>
      <c r="U16" s="424"/>
      <c r="V16" s="424"/>
      <c r="W16" s="424"/>
      <c r="X16" s="424"/>
      <c r="Y16" s="424"/>
      <c r="Z16" s="424"/>
      <c r="AA16" s="424"/>
      <c r="AB16" s="424"/>
      <c r="AC16" s="424"/>
      <c r="AD16" s="424"/>
    </row>
    <row r="17" spans="1:30" x14ac:dyDescent="0.2">
      <c r="A17" s="424"/>
      <c r="B17" s="453"/>
      <c r="C17" s="461" t="s">
        <v>79</v>
      </c>
      <c r="D17" s="456" t="str">
        <f t="shared" si="0"/>
        <v>EURSFIXLA25Y=</v>
      </c>
      <c r="E17" s="460">
        <v>41479</v>
      </c>
      <c r="F17" s="459">
        <v>2.431</v>
      </c>
      <c r="G17" s="459" t="b">
        <f>IF(AND(ISNUMBER($F17),$F17&lt;&gt;0%,_xll.ohTrigger(Trigger)+1),TRUE,FALSE)</f>
        <v>1</v>
      </c>
      <c r="H17" s="458" t="e">
        <f>IF($G17,_xll.qlIndexAddFixings($J17,$E17,$F17/100,TRUE,ISERROR($K17)),NA())</f>
        <v>#NUM!</v>
      </c>
      <c r="I17" s="448"/>
      <c r="J17" s="457" t="str">
        <f t="shared" si="1"/>
        <v>EurLiborSwapIsdaFixA25Y</v>
      </c>
      <c r="K17" s="456" t="e">
        <f>_xll.qlIndexFixing($J17,$E17,TRUE,$G17)</f>
        <v>#NUM!</v>
      </c>
      <c r="L17" s="456" t="e">
        <f>IF($H17,_xll.qlIndexFixing($J17,$E17,FALSE,$G17),"-")</f>
        <v>#NUM!</v>
      </c>
      <c r="M17" s="456" t="e">
        <f t="shared" si="2"/>
        <v>#NUM!</v>
      </c>
      <c r="N17" s="455" t="e">
        <f>_xll.qlIndexFixing($J17,$E17,TRUE,$L17)</f>
        <v>#NUM!</v>
      </c>
      <c r="O17" s="487">
        <f t="shared" si="3"/>
        <v>0</v>
      </c>
      <c r="P17" s="443"/>
      <c r="Q17" s="424"/>
      <c r="R17" s="424"/>
      <c r="S17" s="424"/>
      <c r="T17" s="424"/>
      <c r="U17" s="424"/>
      <c r="V17" s="424"/>
      <c r="W17" s="424"/>
      <c r="X17" s="424"/>
      <c r="Y17" s="424"/>
      <c r="Z17" s="424"/>
      <c r="AA17" s="424"/>
      <c r="AB17" s="424"/>
      <c r="AC17" s="424"/>
      <c r="AD17" s="424"/>
    </row>
    <row r="18" spans="1:30" x14ac:dyDescent="0.2">
      <c r="A18" s="424"/>
      <c r="B18" s="453"/>
      <c r="C18" s="452" t="s">
        <v>74</v>
      </c>
      <c r="D18" s="446" t="str">
        <f t="shared" si="0"/>
        <v>EURSFIXLA30Y=</v>
      </c>
      <c r="E18" s="451">
        <v>41479</v>
      </c>
      <c r="F18" s="450">
        <v>2.4260000000000002</v>
      </c>
      <c r="G18" s="450" t="b">
        <f>IF(AND(ISNUMBER($F18),$F18&lt;&gt;0%,_xll.ohTrigger(Trigger)+1),TRUE,FALSE)</f>
        <v>1</v>
      </c>
      <c r="H18" s="449" t="e">
        <f>IF($G18,_xll.qlIndexAddFixings($J18,$E18,$F18/100,TRUE,ISERROR($K18)),NA())</f>
        <v>#NUM!</v>
      </c>
      <c r="I18" s="448"/>
      <c r="J18" s="447" t="str">
        <f t="shared" si="1"/>
        <v>EurLiborSwapIsdaFixA30Y</v>
      </c>
      <c r="K18" s="446" t="e">
        <f>_xll.qlIndexFixing($J18,$E18,TRUE,$G18)</f>
        <v>#NUM!</v>
      </c>
      <c r="L18" s="446" t="e">
        <f>IF($H18,_xll.qlIndexFixing($J18,$E18,FALSE,$G18),"-")</f>
        <v>#NUM!</v>
      </c>
      <c r="M18" s="446" t="e">
        <f t="shared" si="2"/>
        <v>#NUM!</v>
      </c>
      <c r="N18" s="445" t="e">
        <f>_xll.qlIndexFixing($J18,$E18,TRUE,$L18)</f>
        <v>#NUM!</v>
      </c>
      <c r="O18" s="486">
        <f t="shared" si="3"/>
        <v>0</v>
      </c>
      <c r="P18" s="443"/>
      <c r="Q18" s="424"/>
      <c r="R18" s="424"/>
      <c r="S18" s="424"/>
      <c r="T18" s="424"/>
      <c r="U18" s="424"/>
      <c r="V18" s="424"/>
      <c r="W18" s="424"/>
      <c r="X18" s="424"/>
      <c r="Y18" s="424"/>
      <c r="Z18" s="424"/>
      <c r="AA18" s="424"/>
      <c r="AB18" s="424"/>
      <c r="AC18" s="424"/>
      <c r="AD18" s="424"/>
    </row>
    <row r="19" spans="1:30" ht="12" thickBot="1" x14ac:dyDescent="0.25">
      <c r="A19" s="424"/>
      <c r="B19" s="442"/>
      <c r="C19" s="440"/>
      <c r="D19" s="440"/>
      <c r="E19" s="440"/>
      <c r="F19" s="440"/>
      <c r="G19" s="440"/>
      <c r="H19" s="440"/>
      <c r="I19" s="439"/>
      <c r="J19" s="439"/>
      <c r="K19" s="439"/>
      <c r="L19" s="439"/>
      <c r="M19" s="439"/>
      <c r="N19" s="439"/>
      <c r="O19" s="439"/>
      <c r="P19" s="438"/>
      <c r="Q19" s="424"/>
      <c r="R19" s="424"/>
      <c r="S19" s="424"/>
      <c r="T19" s="424"/>
      <c r="U19" s="424"/>
      <c r="V19" s="424"/>
      <c r="W19" s="424"/>
      <c r="X19" s="424"/>
      <c r="Y19" s="424"/>
      <c r="Z19" s="424"/>
      <c r="AA19" s="424"/>
      <c r="AB19" s="424"/>
      <c r="AC19" s="424"/>
      <c r="AD19" s="424"/>
    </row>
    <row r="20" spans="1:30" ht="12" thickBot="1" x14ac:dyDescent="0.25">
      <c r="A20" s="424"/>
      <c r="B20" s="424"/>
      <c r="C20" s="424"/>
      <c r="D20" s="424"/>
      <c r="E20" s="437"/>
      <c r="F20" s="436"/>
      <c r="G20" s="436"/>
      <c r="H20" s="424"/>
      <c r="I20" s="424"/>
      <c r="J20" s="424"/>
      <c r="K20" s="424"/>
      <c r="L20" s="424"/>
      <c r="M20" s="424"/>
      <c r="N20" s="424"/>
      <c r="O20" s="424"/>
      <c r="P20" s="424"/>
      <c r="Q20" s="424"/>
      <c r="R20" s="424"/>
      <c r="S20" s="424"/>
      <c r="T20" s="424"/>
      <c r="U20" s="424"/>
      <c r="V20" s="424"/>
      <c r="W20" s="424"/>
      <c r="X20" s="424"/>
      <c r="Y20" s="424"/>
      <c r="Z20" s="424"/>
      <c r="AA20" s="424"/>
      <c r="AB20" s="424"/>
      <c r="AC20" s="424"/>
      <c r="AD20" s="424"/>
    </row>
    <row r="21" spans="1:30" s="424" customFormat="1" x14ac:dyDescent="0.2">
      <c r="C21" s="435" t="s">
        <v>124</v>
      </c>
      <c r="D21" s="491" t="s">
        <v>207</v>
      </c>
      <c r="E21" s="490" t="s">
        <v>207</v>
      </c>
    </row>
    <row r="22" spans="1:30" s="424" customFormat="1" x14ac:dyDescent="0.2">
      <c r="C22" s="430" t="s">
        <v>110</v>
      </c>
      <c r="D22" s="429" t="s">
        <v>312</v>
      </c>
      <c r="E22" s="428" t="s">
        <v>311</v>
      </c>
    </row>
    <row r="23" spans="1:30" s="424" customFormat="1" x14ac:dyDescent="0.2">
      <c r="C23" s="430" t="s">
        <v>266</v>
      </c>
      <c r="D23" s="429" t="s">
        <v>310</v>
      </c>
      <c r="E23" s="428" t="s">
        <v>309</v>
      </c>
    </row>
    <row r="24" spans="1:30" s="424" customFormat="1" x14ac:dyDescent="0.2">
      <c r="C24" s="430" t="s">
        <v>294</v>
      </c>
      <c r="D24" s="489" t="s">
        <v>207</v>
      </c>
      <c r="E24" s="488" t="s">
        <v>207</v>
      </c>
    </row>
    <row r="25" spans="1:30" s="424" customFormat="1" x14ac:dyDescent="0.2">
      <c r="C25" s="430" t="s">
        <v>121</v>
      </c>
      <c r="D25" s="489" t="s">
        <v>207</v>
      </c>
      <c r="E25" s="488" t="s">
        <v>207</v>
      </c>
    </row>
    <row r="26" spans="1:30" s="424" customFormat="1" x14ac:dyDescent="0.2">
      <c r="C26" s="430" t="s">
        <v>120</v>
      </c>
      <c r="D26" s="429" t="s">
        <v>310</v>
      </c>
      <c r="E26" s="428" t="s">
        <v>309</v>
      </c>
    </row>
    <row r="27" spans="1:30" s="424" customFormat="1" ht="12" thickBot="1" x14ac:dyDescent="0.25">
      <c r="C27" s="427" t="s">
        <v>118</v>
      </c>
      <c r="D27" s="485" t="s">
        <v>310</v>
      </c>
      <c r="E27" s="484" t="s">
        <v>309</v>
      </c>
    </row>
    <row r="28" spans="1:30" s="424" customFormat="1" x14ac:dyDescent="0.2"/>
    <row r="29" spans="1:30" s="424" customFormat="1" x14ac:dyDescent="0.2"/>
    <row r="30" spans="1:30" s="424" customFormat="1" x14ac:dyDescent="0.2"/>
    <row r="31" spans="1:30" s="424" customFormat="1" x14ac:dyDescent="0.2"/>
    <row r="32" spans="1:30" s="424" customFormat="1" x14ac:dyDescent="0.2"/>
    <row r="33" s="424" customFormat="1" x14ac:dyDescent="0.2"/>
    <row r="34" s="424" customFormat="1" x14ac:dyDescent="0.2"/>
    <row r="35" s="424" customFormat="1" x14ac:dyDescent="0.2"/>
    <row r="36" s="424" customFormat="1" x14ac:dyDescent="0.2"/>
    <row r="37" s="424" customFormat="1" x14ac:dyDescent="0.2"/>
    <row r="38" s="424"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23" customWidth="1"/>
    <col min="3" max="3" width="5.7109375" style="423" bestFit="1" customWidth="1"/>
    <col min="4" max="4" width="12.7109375" style="423" bestFit="1" customWidth="1"/>
    <col min="5" max="5" width="26.42578125" style="423" bestFit="1" customWidth="1"/>
    <col min="6" max="6" width="9.85546875" style="423" customWidth="1"/>
    <col min="7" max="7" width="6" style="423" bestFit="1" customWidth="1"/>
    <col min="8" max="8" width="5.5703125" style="423" bestFit="1" customWidth="1"/>
    <col min="9" max="9" width="3.5703125" style="423" customWidth="1"/>
    <col min="10" max="10" width="19.5703125" style="423" customWidth="1"/>
    <col min="11" max="11" width="11.42578125" style="423" bestFit="1" customWidth="1"/>
    <col min="12" max="12" width="8.7109375" style="423" bestFit="1" customWidth="1"/>
    <col min="13" max="13" width="7.7109375" style="423" bestFit="1" customWidth="1"/>
    <col min="14" max="14" width="10" style="423" bestFit="1" customWidth="1"/>
    <col min="15" max="15" width="7.140625" style="423" bestFit="1" customWidth="1"/>
    <col min="16" max="17" width="3.5703125" style="423" customWidth="1"/>
    <col min="18" max="18" width="4" style="423" bestFit="1" customWidth="1"/>
    <col min="19" max="19" width="5.28515625" style="423" bestFit="1" customWidth="1"/>
    <col min="20" max="20" width="16" style="423" bestFit="1" customWidth="1"/>
    <col min="21" max="16384" width="9.140625" style="423"/>
  </cols>
  <sheetData>
    <row r="1" spans="1:30" ht="12" thickBot="1" x14ac:dyDescent="0.25">
      <c r="A1" s="424" t="s">
        <v>317</v>
      </c>
      <c r="B1" s="424"/>
      <c r="C1" s="424"/>
      <c r="D1" s="429"/>
      <c r="E1" s="437"/>
      <c r="F1" s="475"/>
      <c r="G1" s="475"/>
      <c r="H1" s="424"/>
      <c r="I1" s="429"/>
      <c r="J1" s="424"/>
      <c r="K1" s="424"/>
      <c r="L1" s="424"/>
      <c r="M1" s="424"/>
      <c r="N1" s="424"/>
      <c r="O1" s="424"/>
      <c r="P1" s="424"/>
      <c r="Q1" s="424"/>
      <c r="R1" s="424"/>
      <c r="S1" s="424"/>
      <c r="T1" s="424"/>
      <c r="U1" s="424"/>
      <c r="V1" s="424"/>
      <c r="W1" s="424"/>
      <c r="X1" s="424"/>
      <c r="Y1" s="424"/>
      <c r="Z1" s="424"/>
      <c r="AA1" s="424"/>
      <c r="AB1" s="424"/>
      <c r="AC1" s="424"/>
      <c r="AD1" s="424"/>
    </row>
    <row r="2" spans="1:30" ht="19.5" x14ac:dyDescent="0.4">
      <c r="A2" s="424"/>
      <c r="B2" s="474"/>
      <c r="C2" s="468"/>
      <c r="D2" s="473" t="str">
        <f>VLOOKUP(Currency,Traits,2,FALSE)</f>
        <v>SFIXLB</v>
      </c>
      <c r="E2" s="472"/>
      <c r="F2" s="471"/>
      <c r="G2" s="471"/>
      <c r="H2" s="468"/>
      <c r="I2" s="468"/>
      <c r="J2" s="470" t="str">
        <f>VLOOKUP(Currency,Traits,3,FALSE)</f>
        <v>LiborSwapIsdaFixB</v>
      </c>
      <c r="K2" s="468"/>
      <c r="L2" s="468"/>
      <c r="M2" s="469">
        <f>MAX(O4:O19)</f>
        <v>0</v>
      </c>
      <c r="N2" s="468"/>
      <c r="O2" s="468"/>
      <c r="P2" s="467"/>
      <c r="Q2" s="424"/>
      <c r="R2" s="424"/>
      <c r="S2" s="424"/>
      <c r="T2" s="424"/>
      <c r="U2" s="424"/>
      <c r="V2" s="424"/>
      <c r="W2" s="424"/>
      <c r="X2" s="424"/>
      <c r="Y2" s="424"/>
      <c r="Z2" s="424"/>
      <c r="AA2" s="424"/>
      <c r="AB2" s="424"/>
      <c r="AC2" s="424"/>
      <c r="AD2" s="424"/>
    </row>
    <row r="3" spans="1:30" ht="22.5" x14ac:dyDescent="0.2">
      <c r="A3" s="424"/>
      <c r="B3" s="453"/>
      <c r="C3" s="465" t="s">
        <v>39</v>
      </c>
      <c r="D3" s="464" t="e">
        <f ca="1">_xll.RData(D4:D18,E3:F3,,,,E4)</f>
        <v>#NAME?</v>
      </c>
      <c r="E3" s="464" t="s">
        <v>301</v>
      </c>
      <c r="F3" s="464" t="s">
        <v>308</v>
      </c>
      <c r="G3" s="464" t="s">
        <v>300</v>
      </c>
      <c r="H3" s="463" t="s">
        <v>299</v>
      </c>
      <c r="I3" s="466"/>
      <c r="J3" s="465" t="s">
        <v>238</v>
      </c>
      <c r="K3" s="464" t="s">
        <v>298</v>
      </c>
      <c r="L3" s="464" t="s">
        <v>297</v>
      </c>
      <c r="M3" s="464" t="s">
        <v>296</v>
      </c>
      <c r="N3" s="463" t="s">
        <v>295</v>
      </c>
      <c r="O3" s="462" t="s">
        <v>315</v>
      </c>
      <c r="P3" s="443"/>
      <c r="Q3" s="424"/>
      <c r="R3" s="424"/>
      <c r="S3" s="424"/>
      <c r="T3" s="424"/>
      <c r="U3" s="424"/>
      <c r="V3" s="424"/>
      <c r="W3" s="424"/>
      <c r="X3" s="424"/>
      <c r="Y3" s="424"/>
      <c r="Z3" s="424"/>
      <c r="AA3" s="424"/>
      <c r="AB3" s="424"/>
      <c r="AC3" s="424"/>
      <c r="AD3" s="424"/>
    </row>
    <row r="4" spans="1:30" x14ac:dyDescent="0.2">
      <c r="A4" s="424"/>
      <c r="B4" s="453"/>
      <c r="C4" s="483" t="s">
        <v>21</v>
      </c>
      <c r="D4" s="478" t="str">
        <f t="shared" ref="D4:D18" si="0">Currency&amp;$D$2&amp;$C4&amp;"="</f>
        <v>EURSFIXLB1Y=</v>
      </c>
      <c r="E4" s="482">
        <v>41479</v>
      </c>
      <c r="F4" s="481">
        <v>0.26400000000000001</v>
      </c>
      <c r="G4" s="459" t="b">
        <f>IF(AND(ISNUMBER($F4),$F4&lt;&gt;0%,_xll.ohTrigger(Trigger)+1),TRUE,FALSE)</f>
        <v>1</v>
      </c>
      <c r="H4" s="480" t="e">
        <f>IF($G4,_xll.qlIndexAddFixings($J4,$E4,$F4/100,TRUE,ISERROR($K4)),NA())</f>
        <v>#NUM!</v>
      </c>
      <c r="I4" s="448"/>
      <c r="J4" s="479" t="str">
        <f t="shared" ref="J4:J18" si="1">PROPER(Currency)&amp;$J$2&amp;$C4</f>
        <v>EurLiborSwapIsdaFixB1Y</v>
      </c>
      <c r="K4" s="478" t="e">
        <f>_xll.qlIndexFixing($J4,$E4,TRUE,$G4)</f>
        <v>#NUM!</v>
      </c>
      <c r="L4" s="478" t="e">
        <f>IF($H4,_xll.qlIndexFixing($J4,$E4,FALSE,$G4),"-")</f>
        <v>#NUM!</v>
      </c>
      <c r="M4" s="478" t="e">
        <f t="shared" ref="M4:M18" si="2">K4-L4</f>
        <v>#NUM!</v>
      </c>
      <c r="N4" s="477" t="e">
        <f>_xll.qlIndexFixing($J4,$E4,TRUE,$L4)</f>
        <v>#NUM!</v>
      </c>
      <c r="O4" s="487">
        <f t="shared" ref="O4:O18" si="3">IF(ISERROR(M4),0,ABS(M4))</f>
        <v>0</v>
      </c>
      <c r="P4" s="443"/>
      <c r="Q4" s="424"/>
      <c r="R4" s="424"/>
      <c r="S4" s="424"/>
      <c r="T4" s="424"/>
      <c r="U4" s="424"/>
      <c r="V4" s="424"/>
      <c r="W4" s="424"/>
      <c r="X4" s="424"/>
      <c r="Y4" s="424"/>
      <c r="Z4" s="424"/>
      <c r="AA4" s="424"/>
      <c r="AB4" s="424"/>
      <c r="AC4" s="424"/>
      <c r="AD4" s="424"/>
    </row>
    <row r="5" spans="1:30" x14ac:dyDescent="0.2">
      <c r="A5" s="424"/>
      <c r="B5" s="453"/>
      <c r="C5" s="461" t="s">
        <v>102</v>
      </c>
      <c r="D5" s="456" t="str">
        <f t="shared" si="0"/>
        <v>EURSFIXLB2Y=</v>
      </c>
      <c r="E5" s="460">
        <v>41479</v>
      </c>
      <c r="F5" s="459">
        <v>0.51100000000000001</v>
      </c>
      <c r="G5" s="459" t="b">
        <f>IF(AND(ISNUMBER($F5),$F5&lt;&gt;0%,_xll.ohTrigger(Trigger)+1),TRUE,FALSE)</f>
        <v>1</v>
      </c>
      <c r="H5" s="458" t="e">
        <f>IF($G5,_xll.qlIndexAddFixings($J5,$E5,$F5/100,TRUE,ISERROR($K5)),NA())</f>
        <v>#NUM!</v>
      </c>
      <c r="I5" s="448"/>
      <c r="J5" s="457" t="str">
        <f t="shared" si="1"/>
        <v>EurLiborSwapIsdaFixB2Y</v>
      </c>
      <c r="K5" s="456" t="e">
        <f>_xll.qlIndexFixing($J5,$E5,TRUE,$G5)</f>
        <v>#NUM!</v>
      </c>
      <c r="L5" s="456" t="e">
        <f>IF($H5,_xll.qlIndexFixing($J5,$E5,FALSE,$G5),"-")</f>
        <v>#NUM!</v>
      </c>
      <c r="M5" s="456" t="e">
        <f t="shared" si="2"/>
        <v>#NUM!</v>
      </c>
      <c r="N5" s="455" t="e">
        <f>_xll.qlIndexFixing($J5,$E5,TRUE,$L5)</f>
        <v>#NUM!</v>
      </c>
      <c r="O5" s="487">
        <f t="shared" si="3"/>
        <v>0</v>
      </c>
      <c r="P5" s="443"/>
      <c r="Q5" s="424"/>
      <c r="R5" s="424"/>
      <c r="S5" s="424"/>
      <c r="T5" s="424"/>
      <c r="U5" s="424"/>
      <c r="V5" s="424"/>
      <c r="W5" s="424"/>
      <c r="X5" s="424"/>
      <c r="Y5" s="424"/>
      <c r="Z5" s="424"/>
      <c r="AA5" s="424"/>
      <c r="AB5" s="424"/>
      <c r="AC5" s="424"/>
      <c r="AD5" s="424"/>
    </row>
    <row r="6" spans="1:30" x14ac:dyDescent="0.2">
      <c r="A6" s="424"/>
      <c r="B6" s="453"/>
      <c r="C6" s="461" t="s">
        <v>101</v>
      </c>
      <c r="D6" s="456" t="str">
        <f t="shared" si="0"/>
        <v>EURSFIXLB3Y=</v>
      </c>
      <c r="E6" s="460">
        <v>41479</v>
      </c>
      <c r="F6" s="459">
        <v>0.67600000000000005</v>
      </c>
      <c r="G6" s="459" t="b">
        <f>IF(AND(ISNUMBER($F6),$F6&lt;&gt;0%,_xll.ohTrigger(Trigger)+1),TRUE,FALSE)</f>
        <v>1</v>
      </c>
      <c r="H6" s="458" t="e">
        <f>IF($G6,_xll.qlIndexAddFixings($J6,$E6,$F6/100,TRUE,ISERROR($K6)),NA())</f>
        <v>#NUM!</v>
      </c>
      <c r="I6" s="448"/>
      <c r="J6" s="457" t="str">
        <f t="shared" si="1"/>
        <v>EurLiborSwapIsdaFixB3Y</v>
      </c>
      <c r="K6" s="456" t="e">
        <f>_xll.qlIndexFixing($J6,$E6,TRUE,$G6)</f>
        <v>#NUM!</v>
      </c>
      <c r="L6" s="456" t="e">
        <f>IF($H6,_xll.qlIndexFixing($J6,$E6,FALSE,$G6),"-")</f>
        <v>#NUM!</v>
      </c>
      <c r="M6" s="456" t="e">
        <f t="shared" si="2"/>
        <v>#NUM!</v>
      </c>
      <c r="N6" s="455" t="e">
        <f>_xll.qlIndexFixing($J6,$E6,TRUE,$L6)</f>
        <v>#NUM!</v>
      </c>
      <c r="O6" s="487">
        <f t="shared" si="3"/>
        <v>0</v>
      </c>
      <c r="P6" s="443"/>
      <c r="Q6" s="424"/>
      <c r="R6" s="424"/>
      <c r="S6" s="424"/>
      <c r="T6" s="424"/>
      <c r="U6" s="424"/>
      <c r="V6" s="424"/>
      <c r="W6" s="424"/>
      <c r="X6" s="424"/>
      <c r="Y6" s="424"/>
      <c r="Z6" s="424"/>
      <c r="AA6" s="424"/>
      <c r="AB6" s="424"/>
      <c r="AC6" s="424"/>
      <c r="AD6" s="424"/>
    </row>
    <row r="7" spans="1:30" x14ac:dyDescent="0.2">
      <c r="A7" s="424"/>
      <c r="B7" s="453"/>
      <c r="C7" s="461" t="s">
        <v>100</v>
      </c>
      <c r="D7" s="456" t="str">
        <f t="shared" si="0"/>
        <v>EURSFIXLB4Y=</v>
      </c>
      <c r="E7" s="460">
        <v>41479</v>
      </c>
      <c r="F7" s="459">
        <v>0.88500000000000001</v>
      </c>
      <c r="G7" s="459" t="b">
        <f>IF(AND(ISNUMBER($F7),$F7&lt;&gt;0%,_xll.ohTrigger(Trigger)+1),TRUE,FALSE)</f>
        <v>1</v>
      </c>
      <c r="H7" s="458" t="e">
        <f>IF($G7,_xll.qlIndexAddFixings($J7,$E7,$F7/100,TRUE,ISERROR($K7)),NA())</f>
        <v>#NUM!</v>
      </c>
      <c r="I7" s="448"/>
      <c r="J7" s="457" t="str">
        <f t="shared" si="1"/>
        <v>EurLiborSwapIsdaFixB4Y</v>
      </c>
      <c r="K7" s="456" t="e">
        <f>_xll.qlIndexFixing($J7,$E7,TRUE,$G7)</f>
        <v>#NUM!</v>
      </c>
      <c r="L7" s="456" t="e">
        <f>IF($H7,_xll.qlIndexFixing($J7,$E7,FALSE,$G7),"-")</f>
        <v>#NUM!</v>
      </c>
      <c r="M7" s="456" t="e">
        <f t="shared" si="2"/>
        <v>#NUM!</v>
      </c>
      <c r="N7" s="455" t="e">
        <f>_xll.qlIndexFixing($J7,$E7,TRUE,$L7)</f>
        <v>#NUM!</v>
      </c>
      <c r="O7" s="487">
        <f t="shared" si="3"/>
        <v>0</v>
      </c>
      <c r="P7" s="443"/>
      <c r="Q7" s="424"/>
      <c r="R7" s="424"/>
      <c r="S7" s="424"/>
      <c r="T7" s="424"/>
      <c r="U7" s="424"/>
      <c r="V7" s="424"/>
      <c r="W7" s="424"/>
      <c r="X7" s="424"/>
      <c r="Y7" s="424"/>
      <c r="Z7" s="424"/>
      <c r="AA7" s="424"/>
      <c r="AB7" s="424"/>
      <c r="AC7" s="424"/>
      <c r="AD7" s="424"/>
    </row>
    <row r="8" spans="1:30" x14ac:dyDescent="0.2">
      <c r="A8" s="424"/>
      <c r="B8" s="453"/>
      <c r="C8" s="461" t="s">
        <v>99</v>
      </c>
      <c r="D8" s="456" t="str">
        <f t="shared" si="0"/>
        <v>EURSFIXLB5Y=</v>
      </c>
      <c r="E8" s="460">
        <v>41479</v>
      </c>
      <c r="F8" s="459">
        <v>1.1020000000000001</v>
      </c>
      <c r="G8" s="459" t="b">
        <f>IF(AND(ISNUMBER($F8),$F8&lt;&gt;0%,_xll.ohTrigger(Trigger)+1),TRUE,FALSE)</f>
        <v>1</v>
      </c>
      <c r="H8" s="458" t="e">
        <f>IF($G8,_xll.qlIndexAddFixings($J8,$E8,$F8/100,TRUE,ISERROR($K8)),NA())</f>
        <v>#NUM!</v>
      </c>
      <c r="I8" s="448"/>
      <c r="J8" s="457" t="str">
        <f t="shared" si="1"/>
        <v>EurLiborSwapIsdaFixB5Y</v>
      </c>
      <c r="K8" s="456" t="e">
        <f>_xll.qlIndexFixing($J8,$E8,TRUE,$G8)</f>
        <v>#NUM!</v>
      </c>
      <c r="L8" s="456" t="e">
        <f>IF($H8,_xll.qlIndexFixing($J8,$E8,FALSE,$G8),"-")</f>
        <v>#NUM!</v>
      </c>
      <c r="M8" s="456" t="e">
        <f t="shared" si="2"/>
        <v>#NUM!</v>
      </c>
      <c r="N8" s="455" t="e">
        <f>_xll.qlIndexFixing($J8,$E8,TRUE,$L8)</f>
        <v>#NUM!</v>
      </c>
      <c r="O8" s="487">
        <f t="shared" si="3"/>
        <v>0</v>
      </c>
      <c r="P8" s="443"/>
      <c r="Q8" s="424"/>
      <c r="R8" s="424"/>
      <c r="S8" s="424"/>
      <c r="T8" s="424"/>
      <c r="U8" s="424"/>
      <c r="V8" s="424"/>
      <c r="W8" s="424"/>
      <c r="X8" s="424"/>
      <c r="Y8" s="424"/>
      <c r="Z8" s="424"/>
      <c r="AA8" s="424"/>
      <c r="AB8" s="424"/>
      <c r="AC8" s="424"/>
      <c r="AD8" s="424"/>
    </row>
    <row r="9" spans="1:30" x14ac:dyDescent="0.2">
      <c r="A9" s="424"/>
      <c r="B9" s="453"/>
      <c r="C9" s="461" t="s">
        <v>98</v>
      </c>
      <c r="D9" s="456" t="str">
        <f t="shared" si="0"/>
        <v>EURSFIXLB6Y=</v>
      </c>
      <c r="E9" s="460">
        <v>41479</v>
      </c>
      <c r="F9" s="459">
        <v>1.2949999999999999</v>
      </c>
      <c r="G9" s="459" t="b">
        <f>IF(AND(ISNUMBER($F9),$F9&lt;&gt;0%,_xll.ohTrigger(Trigger)+1),TRUE,FALSE)</f>
        <v>1</v>
      </c>
      <c r="H9" s="458" t="e">
        <f>IF($G9,_xll.qlIndexAddFixings($J9,$E9,$F9/100,TRUE,ISERROR($K9)),NA())</f>
        <v>#NUM!</v>
      </c>
      <c r="I9" s="448"/>
      <c r="J9" s="457" t="str">
        <f t="shared" si="1"/>
        <v>EurLiborSwapIsdaFixB6Y</v>
      </c>
      <c r="K9" s="456" t="e">
        <f>_xll.qlIndexFixing($J9,$E9,TRUE,$G9)</f>
        <v>#NUM!</v>
      </c>
      <c r="L9" s="456" t="e">
        <f>IF($H9,_xll.qlIndexFixing($J9,$E9,FALSE,$G9),"-")</f>
        <v>#NUM!</v>
      </c>
      <c r="M9" s="456" t="e">
        <f t="shared" si="2"/>
        <v>#NUM!</v>
      </c>
      <c r="N9" s="455" t="e">
        <f>_xll.qlIndexFixing($J9,$E9,TRUE,$L9)</f>
        <v>#NUM!</v>
      </c>
      <c r="O9" s="487">
        <f t="shared" si="3"/>
        <v>0</v>
      </c>
      <c r="P9" s="443"/>
      <c r="Q9" s="424"/>
      <c r="R9" s="424"/>
      <c r="S9" s="424"/>
      <c r="T9" s="424"/>
      <c r="U9" s="424"/>
      <c r="V9" s="424"/>
      <c r="W9" s="424"/>
      <c r="X9" s="424"/>
      <c r="Y9" s="424"/>
      <c r="Z9" s="424"/>
      <c r="AA9" s="424"/>
      <c r="AB9" s="424"/>
      <c r="AC9" s="424"/>
      <c r="AD9" s="424"/>
    </row>
    <row r="10" spans="1:30" x14ac:dyDescent="0.2">
      <c r="A10" s="424"/>
      <c r="B10" s="453"/>
      <c r="C10" s="461" t="s">
        <v>97</v>
      </c>
      <c r="D10" s="456" t="str">
        <f t="shared" si="0"/>
        <v>EURSFIXLB7Y=</v>
      </c>
      <c r="E10" s="460">
        <v>41479</v>
      </c>
      <c r="F10" s="459">
        <v>1.4670000000000001</v>
      </c>
      <c r="G10" s="459" t="b">
        <f>IF(AND(ISNUMBER($F10),$F10&lt;&gt;0%,_xll.ohTrigger(Trigger)+1),TRUE,FALSE)</f>
        <v>1</v>
      </c>
      <c r="H10" s="458" t="e">
        <f>IF($G10,_xll.qlIndexAddFixings($J10,$E10,$F10/100,TRUE,ISERROR($K10)),NA())</f>
        <v>#NUM!</v>
      </c>
      <c r="I10" s="448"/>
      <c r="J10" s="457" t="str">
        <f t="shared" si="1"/>
        <v>EurLiborSwapIsdaFixB7Y</v>
      </c>
      <c r="K10" s="456" t="e">
        <f>_xll.qlIndexFixing($J10,$E10,TRUE,$G10)</f>
        <v>#NUM!</v>
      </c>
      <c r="L10" s="456" t="e">
        <f>IF($H10,_xll.qlIndexFixing($J10,$E10,FALSE,$G10),"-")</f>
        <v>#NUM!</v>
      </c>
      <c r="M10" s="456" t="e">
        <f t="shared" si="2"/>
        <v>#NUM!</v>
      </c>
      <c r="N10" s="455" t="e">
        <f>_xll.qlIndexFixing($J10,$E10,TRUE,$L10)</f>
        <v>#NUM!</v>
      </c>
      <c r="O10" s="487">
        <f t="shared" si="3"/>
        <v>0</v>
      </c>
      <c r="P10" s="443"/>
      <c r="Q10" s="424"/>
      <c r="R10" s="424"/>
      <c r="S10" s="424"/>
      <c r="T10" s="424"/>
      <c r="U10" s="424"/>
      <c r="V10" s="424"/>
      <c r="W10" s="424"/>
      <c r="X10" s="424"/>
      <c r="Y10" s="424"/>
      <c r="Z10" s="424"/>
      <c r="AA10" s="424"/>
      <c r="AB10" s="424"/>
      <c r="AC10" s="424"/>
      <c r="AD10" s="424"/>
    </row>
    <row r="11" spans="1:30" x14ac:dyDescent="0.2">
      <c r="A11" s="424"/>
      <c r="B11" s="453"/>
      <c r="C11" s="461" t="s">
        <v>96</v>
      </c>
      <c r="D11" s="456" t="str">
        <f t="shared" si="0"/>
        <v>EURSFIXLB8Y=</v>
      </c>
      <c r="E11" s="460">
        <v>41479</v>
      </c>
      <c r="F11" s="459">
        <v>1.623</v>
      </c>
      <c r="G11" s="459" t="b">
        <f>IF(AND(ISNUMBER($F11),$F11&lt;&gt;0%,_xll.ohTrigger(Trigger)+1),TRUE,FALSE)</f>
        <v>1</v>
      </c>
      <c r="H11" s="458" t="e">
        <f>IF($G11,_xll.qlIndexAddFixings($J11,$E11,$F11/100,TRUE,ISERROR($K11)),NA())</f>
        <v>#NUM!</v>
      </c>
      <c r="I11" s="448"/>
      <c r="J11" s="457" t="str">
        <f t="shared" si="1"/>
        <v>EurLiborSwapIsdaFixB8Y</v>
      </c>
      <c r="K11" s="456" t="e">
        <f>_xll.qlIndexFixing($J11,$E11,TRUE,$G11)</f>
        <v>#NUM!</v>
      </c>
      <c r="L11" s="456" t="e">
        <f>IF($H11,_xll.qlIndexFixing($J11,$E11,FALSE,$G11),"-")</f>
        <v>#NUM!</v>
      </c>
      <c r="M11" s="456" t="e">
        <f t="shared" si="2"/>
        <v>#NUM!</v>
      </c>
      <c r="N11" s="455" t="e">
        <f>_xll.qlIndexFixing($J11,$E11,TRUE,$L11)</f>
        <v>#NUM!</v>
      </c>
      <c r="O11" s="487">
        <f t="shared" si="3"/>
        <v>0</v>
      </c>
      <c r="P11" s="443"/>
      <c r="Q11" s="424"/>
      <c r="R11" s="424"/>
      <c r="S11" s="424"/>
      <c r="T11" s="424"/>
      <c r="U11" s="424"/>
      <c r="V11" s="424"/>
      <c r="W11" s="424"/>
      <c r="X11" s="424"/>
      <c r="Y11" s="424"/>
      <c r="Z11" s="424"/>
      <c r="AA11" s="424"/>
      <c r="AB11" s="424"/>
      <c r="AC11" s="424"/>
      <c r="AD11" s="424"/>
    </row>
    <row r="12" spans="1:30" x14ac:dyDescent="0.2">
      <c r="A12" s="424"/>
      <c r="B12" s="453"/>
      <c r="C12" s="461" t="s">
        <v>95</v>
      </c>
      <c r="D12" s="456" t="str">
        <f t="shared" si="0"/>
        <v>EURSFIXLB9Y=</v>
      </c>
      <c r="E12" s="460">
        <v>41479</v>
      </c>
      <c r="F12" s="459">
        <v>1.7649999999999999</v>
      </c>
      <c r="G12" s="459" t="b">
        <f>IF(AND(ISNUMBER($F12),$F12&lt;&gt;0%,_xll.ohTrigger(Trigger)+1),TRUE,FALSE)</f>
        <v>1</v>
      </c>
      <c r="H12" s="458" t="e">
        <f>IF($G12,_xll.qlIndexAddFixings($J12,$E12,$F12/100,TRUE,ISERROR($K12)),NA())</f>
        <v>#NUM!</v>
      </c>
      <c r="I12" s="448"/>
      <c r="J12" s="457" t="str">
        <f t="shared" si="1"/>
        <v>EurLiborSwapIsdaFixB9Y</v>
      </c>
      <c r="K12" s="456" t="e">
        <f>_xll.qlIndexFixing($J12,$E12,TRUE,$G12)</f>
        <v>#NUM!</v>
      </c>
      <c r="L12" s="456" t="e">
        <f>IF($H12,_xll.qlIndexFixing($J12,$E12,FALSE,$G12),"-")</f>
        <v>#NUM!</v>
      </c>
      <c r="M12" s="456" t="e">
        <f t="shared" si="2"/>
        <v>#NUM!</v>
      </c>
      <c r="N12" s="455" t="e">
        <f>_xll.qlIndexFixing($J12,$E12,TRUE,$L12)</f>
        <v>#NUM!</v>
      </c>
      <c r="O12" s="487">
        <f t="shared" si="3"/>
        <v>0</v>
      </c>
      <c r="P12" s="443"/>
      <c r="Q12" s="424"/>
      <c r="R12" s="424"/>
      <c r="S12" s="424"/>
      <c r="T12" s="424"/>
      <c r="U12" s="424"/>
      <c r="V12" s="424"/>
      <c r="W12" s="424"/>
      <c r="X12" s="424"/>
      <c r="Y12" s="424"/>
      <c r="Z12" s="424"/>
      <c r="AA12" s="424"/>
      <c r="AB12" s="424"/>
      <c r="AC12" s="424"/>
      <c r="AD12" s="424"/>
    </row>
    <row r="13" spans="1:30" x14ac:dyDescent="0.2">
      <c r="A13" s="424"/>
      <c r="B13" s="453"/>
      <c r="C13" s="461" t="s">
        <v>94</v>
      </c>
      <c r="D13" s="456" t="str">
        <f t="shared" si="0"/>
        <v>EURSFIXLB10Y=</v>
      </c>
      <c r="E13" s="460">
        <v>41479</v>
      </c>
      <c r="F13" s="459">
        <v>1.893</v>
      </c>
      <c r="G13" s="459" t="b">
        <f>IF(AND(ISNUMBER($F13),$F13&lt;&gt;0%,_xll.ohTrigger(Trigger)+1),TRUE,FALSE)</f>
        <v>1</v>
      </c>
      <c r="H13" s="458" t="e">
        <f>IF($G13,_xll.qlIndexAddFixings($J13,$E13,$F13/100,TRUE,ISERROR($K13)),NA())</f>
        <v>#NUM!</v>
      </c>
      <c r="I13" s="448"/>
      <c r="J13" s="457" t="str">
        <f t="shared" si="1"/>
        <v>EurLiborSwapIsdaFixB10Y</v>
      </c>
      <c r="K13" s="456" t="e">
        <f>_xll.qlIndexFixing($J13,$E13,TRUE,$G13)</f>
        <v>#NUM!</v>
      </c>
      <c r="L13" s="456" t="e">
        <f>IF($H13,_xll.qlIndexFixing($J13,$E13,FALSE,$G13),"-")</f>
        <v>#NUM!</v>
      </c>
      <c r="M13" s="456" t="e">
        <f t="shared" si="2"/>
        <v>#NUM!</v>
      </c>
      <c r="N13" s="455" t="e">
        <f>_xll.qlIndexFixing($J13,$E13,TRUE,$L13)</f>
        <v>#NUM!</v>
      </c>
      <c r="O13" s="487">
        <f t="shared" si="3"/>
        <v>0</v>
      </c>
      <c r="P13" s="443"/>
      <c r="Q13" s="424"/>
      <c r="R13" s="424"/>
      <c r="S13" s="424"/>
      <c r="T13" s="424"/>
      <c r="U13" s="424"/>
      <c r="V13" s="424"/>
      <c r="W13" s="424"/>
      <c r="X13" s="424"/>
      <c r="Y13" s="424"/>
      <c r="Z13" s="424"/>
      <c r="AA13" s="424"/>
      <c r="AB13" s="424"/>
      <c r="AC13" s="424"/>
      <c r="AD13" s="424"/>
    </row>
    <row r="14" spans="1:30" x14ac:dyDescent="0.2">
      <c r="A14" s="424"/>
      <c r="B14" s="453"/>
      <c r="C14" s="461" t="s">
        <v>92</v>
      </c>
      <c r="D14" s="456" t="str">
        <f t="shared" si="0"/>
        <v>EURSFIXLB12Y=</v>
      </c>
      <c r="E14" s="460">
        <v>41479</v>
      </c>
      <c r="F14" s="459">
        <v>2.1</v>
      </c>
      <c r="G14" s="459" t="b">
        <f>IF(AND(ISNUMBER($F14),$F14&lt;&gt;0%,_xll.ohTrigger(Trigger)+1),TRUE,FALSE)</f>
        <v>1</v>
      </c>
      <c r="H14" s="458" t="e">
        <f>IF($G14,_xll.qlIndexAddFixings($J14,$E14,$F14/100,TRUE,ISERROR($K14)),NA())</f>
        <v>#NUM!</v>
      </c>
      <c r="I14" s="448"/>
      <c r="J14" s="457" t="str">
        <f t="shared" si="1"/>
        <v>EurLiborSwapIsdaFixB12Y</v>
      </c>
      <c r="K14" s="456" t="e">
        <f>_xll.qlIndexFixing($J14,$E14,TRUE,$G14)</f>
        <v>#NUM!</v>
      </c>
      <c r="L14" s="456" t="e">
        <f>IF($H14,_xll.qlIndexFixing($J14,$E14,FALSE,$G14),"-")</f>
        <v>#NUM!</v>
      </c>
      <c r="M14" s="456" t="e">
        <f t="shared" si="2"/>
        <v>#NUM!</v>
      </c>
      <c r="N14" s="455" t="e">
        <f>_xll.qlIndexFixing($J14,$E14,TRUE,$L14)</f>
        <v>#NUM!</v>
      </c>
      <c r="O14" s="487">
        <f t="shared" si="3"/>
        <v>0</v>
      </c>
      <c r="P14" s="443"/>
      <c r="Q14" s="424"/>
      <c r="R14" s="424"/>
      <c r="S14" s="424"/>
      <c r="T14" s="424"/>
      <c r="U14" s="424"/>
      <c r="V14" s="424"/>
      <c r="W14" s="424"/>
      <c r="X14" s="424"/>
      <c r="Y14" s="424"/>
      <c r="Z14" s="424"/>
      <c r="AA14" s="424"/>
      <c r="AB14" s="424"/>
      <c r="AC14" s="424"/>
      <c r="AD14" s="424"/>
    </row>
    <row r="15" spans="1:30" x14ac:dyDescent="0.2">
      <c r="A15" s="424"/>
      <c r="B15" s="453"/>
      <c r="C15" s="461" t="s">
        <v>89</v>
      </c>
      <c r="D15" s="456" t="str">
        <f t="shared" si="0"/>
        <v>EURSFIXLB15Y=</v>
      </c>
      <c r="E15" s="460">
        <v>41479</v>
      </c>
      <c r="F15" s="459">
        <v>2.3010000000000002</v>
      </c>
      <c r="G15" s="459" t="b">
        <f>IF(AND(ISNUMBER($F15),$F15&lt;&gt;0%,_xll.ohTrigger(Trigger)+1),TRUE,FALSE)</f>
        <v>1</v>
      </c>
      <c r="H15" s="458" t="e">
        <f>IF($G15,_xll.qlIndexAddFixings($J15,$E15,$F15/100,TRUE,ISERROR($K15)),NA())</f>
        <v>#NUM!</v>
      </c>
      <c r="I15" s="448"/>
      <c r="J15" s="457" t="str">
        <f t="shared" si="1"/>
        <v>EurLiborSwapIsdaFixB15Y</v>
      </c>
      <c r="K15" s="456" t="e">
        <f>_xll.qlIndexFixing($J15,$E15,TRUE,$G15)</f>
        <v>#NUM!</v>
      </c>
      <c r="L15" s="456" t="e">
        <f>IF($H15,_xll.qlIndexFixing($J15,$E15,FALSE,$G15),"-")</f>
        <v>#NUM!</v>
      </c>
      <c r="M15" s="456" t="e">
        <f t="shared" si="2"/>
        <v>#NUM!</v>
      </c>
      <c r="N15" s="455" t="e">
        <f>_xll.qlIndexFixing($J15,$E15,TRUE,$L15)</f>
        <v>#NUM!</v>
      </c>
      <c r="O15" s="487">
        <f t="shared" si="3"/>
        <v>0</v>
      </c>
      <c r="P15" s="443"/>
      <c r="Q15" s="424"/>
      <c r="R15" s="424"/>
      <c r="S15" s="424"/>
      <c r="T15" s="424"/>
      <c r="U15" s="424"/>
      <c r="V15" s="424"/>
      <c r="W15" s="424"/>
      <c r="X15" s="424"/>
      <c r="Y15" s="424"/>
      <c r="Z15" s="424"/>
      <c r="AA15" s="424"/>
      <c r="AB15" s="424"/>
      <c r="AC15" s="424"/>
      <c r="AD15" s="424"/>
    </row>
    <row r="16" spans="1:30" x14ac:dyDescent="0.2">
      <c r="A16" s="424"/>
      <c r="B16" s="453"/>
      <c r="C16" s="461" t="s">
        <v>84</v>
      </c>
      <c r="D16" s="456" t="str">
        <f t="shared" si="0"/>
        <v>EURSFIXLB20Y=</v>
      </c>
      <c r="E16" s="460">
        <v>41479</v>
      </c>
      <c r="F16" s="459">
        <v>2.415</v>
      </c>
      <c r="G16" s="459" t="b">
        <f>IF(AND(ISNUMBER($F16),$F16&lt;&gt;0%,_xll.ohTrigger(Trigger)+1),TRUE,FALSE)</f>
        <v>1</v>
      </c>
      <c r="H16" s="458" t="e">
        <f>IF($G16,_xll.qlIndexAddFixings($J16,$E16,$F16/100,TRUE,ISERROR($K16)),NA())</f>
        <v>#NUM!</v>
      </c>
      <c r="I16" s="448"/>
      <c r="J16" s="457" t="str">
        <f t="shared" si="1"/>
        <v>EurLiborSwapIsdaFixB20Y</v>
      </c>
      <c r="K16" s="456" t="e">
        <f>_xll.qlIndexFixing($J16,$E16,TRUE,$G16)</f>
        <v>#NUM!</v>
      </c>
      <c r="L16" s="456" t="e">
        <f>IF($H16,_xll.qlIndexFixing($J16,$E16,FALSE,$G16),"-")</f>
        <v>#NUM!</v>
      </c>
      <c r="M16" s="456" t="e">
        <f t="shared" si="2"/>
        <v>#NUM!</v>
      </c>
      <c r="N16" s="455" t="e">
        <f>_xll.qlIndexFixing($J16,$E16,TRUE,$L16)</f>
        <v>#NUM!</v>
      </c>
      <c r="O16" s="487">
        <f t="shared" si="3"/>
        <v>0</v>
      </c>
      <c r="P16" s="443"/>
      <c r="Q16" s="424"/>
      <c r="R16" s="424"/>
      <c r="S16" s="424"/>
      <c r="T16" s="424"/>
      <c r="U16" s="424"/>
      <c r="V16" s="424"/>
      <c r="W16" s="424"/>
      <c r="X16" s="424"/>
      <c r="Y16" s="424"/>
      <c r="Z16" s="424"/>
      <c r="AA16" s="424"/>
      <c r="AB16" s="424"/>
      <c r="AC16" s="424"/>
      <c r="AD16" s="424"/>
    </row>
    <row r="17" spans="1:30" x14ac:dyDescent="0.2">
      <c r="A17" s="424"/>
      <c r="B17" s="453"/>
      <c r="C17" s="461" t="s">
        <v>79</v>
      </c>
      <c r="D17" s="456" t="str">
        <f t="shared" si="0"/>
        <v>EURSFIXLB25Y=</v>
      </c>
      <c r="E17" s="460">
        <v>41479</v>
      </c>
      <c r="F17" s="459">
        <v>2.4329999999999998</v>
      </c>
      <c r="G17" s="459" t="b">
        <f>IF(AND(ISNUMBER($F17),$F17&lt;&gt;0%,_xll.ohTrigger(Trigger)+1),TRUE,FALSE)</f>
        <v>1</v>
      </c>
      <c r="H17" s="458" t="e">
        <f>IF($G17,_xll.qlIndexAddFixings($J17,$E17,$F17/100,TRUE,ISERROR($K17)),NA())</f>
        <v>#NUM!</v>
      </c>
      <c r="I17" s="448"/>
      <c r="J17" s="457" t="str">
        <f t="shared" si="1"/>
        <v>EurLiborSwapIsdaFixB25Y</v>
      </c>
      <c r="K17" s="456" t="e">
        <f>_xll.qlIndexFixing($J17,$E17,TRUE,$G17)</f>
        <v>#NUM!</v>
      </c>
      <c r="L17" s="456" t="e">
        <f>IF($H17,_xll.qlIndexFixing($J17,$E17,FALSE,$G17),"-")</f>
        <v>#NUM!</v>
      </c>
      <c r="M17" s="456" t="e">
        <f t="shared" si="2"/>
        <v>#NUM!</v>
      </c>
      <c r="N17" s="455" t="e">
        <f>_xll.qlIndexFixing($J17,$E17,TRUE,$L17)</f>
        <v>#NUM!</v>
      </c>
      <c r="O17" s="487">
        <f t="shared" si="3"/>
        <v>0</v>
      </c>
      <c r="P17" s="443"/>
      <c r="Q17" s="424"/>
      <c r="R17" s="424"/>
      <c r="S17" s="424"/>
      <c r="T17" s="424"/>
      <c r="U17" s="424"/>
      <c r="V17" s="424"/>
      <c r="W17" s="424"/>
      <c r="X17" s="424"/>
      <c r="Y17" s="424"/>
      <c r="Z17" s="424"/>
      <c r="AA17" s="424"/>
      <c r="AB17" s="424"/>
      <c r="AC17" s="424"/>
      <c r="AD17" s="424"/>
    </row>
    <row r="18" spans="1:30" x14ac:dyDescent="0.2">
      <c r="A18" s="424"/>
      <c r="B18" s="453"/>
      <c r="C18" s="452" t="s">
        <v>74</v>
      </c>
      <c r="D18" s="446" t="str">
        <f t="shared" si="0"/>
        <v>EURSFIXLB30Y=</v>
      </c>
      <c r="E18" s="451">
        <v>41479</v>
      </c>
      <c r="F18" s="450">
        <v>2.4279999999999999</v>
      </c>
      <c r="G18" s="450" t="b">
        <f>IF(AND(ISNUMBER($F18),$F18&lt;&gt;0%,_xll.ohTrigger(Trigger)+1),TRUE,FALSE)</f>
        <v>1</v>
      </c>
      <c r="H18" s="449" t="e">
        <f>IF($G18,_xll.qlIndexAddFixings($J18,$E18,$F18/100,TRUE,ISERROR($K18)),NA())</f>
        <v>#NUM!</v>
      </c>
      <c r="I18" s="448"/>
      <c r="J18" s="447" t="str">
        <f t="shared" si="1"/>
        <v>EurLiborSwapIsdaFixB30Y</v>
      </c>
      <c r="K18" s="446" t="e">
        <f>_xll.qlIndexFixing($J18,$E18,TRUE,$G18)</f>
        <v>#NUM!</v>
      </c>
      <c r="L18" s="446" t="e">
        <f>IF($H18,_xll.qlIndexFixing($J18,$E18,FALSE,$G18),"-")</f>
        <v>#NUM!</v>
      </c>
      <c r="M18" s="446" t="e">
        <f t="shared" si="2"/>
        <v>#NUM!</v>
      </c>
      <c r="N18" s="445" t="e">
        <f>_xll.qlIndexFixing($J18,$E18,TRUE,$L18)</f>
        <v>#NUM!</v>
      </c>
      <c r="O18" s="486">
        <f t="shared" si="3"/>
        <v>0</v>
      </c>
      <c r="P18" s="443"/>
      <c r="Q18" s="424"/>
      <c r="R18" s="424"/>
      <c r="S18" s="424"/>
      <c r="T18" s="424"/>
      <c r="U18" s="424"/>
      <c r="V18" s="424"/>
      <c r="W18" s="424"/>
      <c r="X18" s="424"/>
      <c r="Y18" s="424"/>
      <c r="Z18" s="424"/>
      <c r="AA18" s="424"/>
      <c r="AB18" s="424"/>
      <c r="AC18" s="424"/>
      <c r="AD18" s="424"/>
    </row>
    <row r="19" spans="1:30" ht="12" thickBot="1" x14ac:dyDescent="0.25">
      <c r="A19" s="424"/>
      <c r="B19" s="442"/>
      <c r="C19" s="440"/>
      <c r="D19" s="440"/>
      <c r="E19" s="440"/>
      <c r="F19" s="440"/>
      <c r="G19" s="440"/>
      <c r="H19" s="440"/>
      <c r="I19" s="439"/>
      <c r="J19" s="439"/>
      <c r="K19" s="439"/>
      <c r="L19" s="439"/>
      <c r="M19" s="439"/>
      <c r="N19" s="439"/>
      <c r="O19" s="439"/>
      <c r="P19" s="438"/>
      <c r="Q19" s="424"/>
      <c r="R19" s="424"/>
      <c r="S19" s="424"/>
      <c r="T19" s="424"/>
      <c r="U19" s="424"/>
      <c r="V19" s="424"/>
      <c r="W19" s="424"/>
      <c r="X19" s="424"/>
      <c r="Y19" s="424"/>
      <c r="Z19" s="424"/>
      <c r="AA19" s="424"/>
      <c r="AB19" s="424"/>
      <c r="AC19" s="424"/>
      <c r="AD19" s="424"/>
    </row>
    <row r="20" spans="1:30" ht="12" thickBot="1" x14ac:dyDescent="0.25">
      <c r="A20" s="424"/>
      <c r="B20" s="424"/>
      <c r="C20" s="424"/>
      <c r="D20" s="424"/>
      <c r="E20" s="437"/>
      <c r="F20" s="436"/>
      <c r="G20" s="436"/>
      <c r="H20" s="424"/>
      <c r="I20" s="424"/>
      <c r="J20" s="424"/>
      <c r="K20" s="424"/>
      <c r="L20" s="424"/>
      <c r="M20" s="424"/>
      <c r="N20" s="424"/>
      <c r="O20" s="424"/>
      <c r="P20" s="424"/>
      <c r="Q20" s="424"/>
      <c r="R20" s="424"/>
      <c r="S20" s="424"/>
      <c r="T20" s="424"/>
      <c r="U20" s="424"/>
      <c r="V20" s="424"/>
      <c r="W20" s="424"/>
      <c r="X20" s="424"/>
      <c r="Y20" s="424"/>
      <c r="Z20" s="424"/>
      <c r="AA20" s="424"/>
      <c r="AB20" s="424"/>
      <c r="AC20" s="424"/>
      <c r="AD20" s="424"/>
    </row>
    <row r="21" spans="1:30" s="424" customFormat="1" x14ac:dyDescent="0.2">
      <c r="C21" s="435" t="s">
        <v>124</v>
      </c>
      <c r="D21" s="434" t="s">
        <v>207</v>
      </c>
      <c r="E21" s="433" t="s">
        <v>207</v>
      </c>
    </row>
    <row r="22" spans="1:30" s="424" customFormat="1" x14ac:dyDescent="0.2">
      <c r="C22" s="430" t="s">
        <v>110</v>
      </c>
      <c r="D22" s="429" t="s">
        <v>314</v>
      </c>
      <c r="E22" s="428" t="s">
        <v>313</v>
      </c>
    </row>
    <row r="23" spans="1:30" s="424" customFormat="1" x14ac:dyDescent="0.2">
      <c r="C23" s="430" t="s">
        <v>266</v>
      </c>
      <c r="D23" s="429" t="s">
        <v>207</v>
      </c>
      <c r="E23" s="428" t="s">
        <v>207</v>
      </c>
    </row>
    <row r="24" spans="1:30" s="424" customFormat="1" x14ac:dyDescent="0.2">
      <c r="C24" s="430" t="s">
        <v>294</v>
      </c>
      <c r="D24" s="429" t="s">
        <v>207</v>
      </c>
      <c r="E24" s="428" t="s">
        <v>207</v>
      </c>
    </row>
    <row r="25" spans="1:30" s="424" customFormat="1" x14ac:dyDescent="0.2">
      <c r="C25" s="430" t="s">
        <v>121</v>
      </c>
      <c r="D25" s="429" t="s">
        <v>207</v>
      </c>
      <c r="E25" s="428" t="s">
        <v>207</v>
      </c>
    </row>
    <row r="26" spans="1:30" s="424" customFormat="1" x14ac:dyDescent="0.2">
      <c r="C26" s="430" t="s">
        <v>120</v>
      </c>
      <c r="D26" s="429" t="s">
        <v>207</v>
      </c>
      <c r="E26" s="428" t="s">
        <v>207</v>
      </c>
    </row>
    <row r="27" spans="1:30" s="424" customFormat="1" ht="12" thickBot="1" x14ac:dyDescent="0.25">
      <c r="C27" s="427" t="s">
        <v>118</v>
      </c>
      <c r="D27" s="485" t="s">
        <v>207</v>
      </c>
      <c r="E27" s="484" t="s">
        <v>207</v>
      </c>
    </row>
    <row r="28" spans="1:30" s="424" customFormat="1" x14ac:dyDescent="0.2"/>
    <row r="29" spans="1:30" s="424" customFormat="1" x14ac:dyDescent="0.2"/>
    <row r="30" spans="1:30" s="424" customFormat="1" x14ac:dyDescent="0.2"/>
    <row r="31" spans="1:30" s="424" customFormat="1" x14ac:dyDescent="0.2"/>
    <row r="32" spans="1:30" s="424" customFormat="1" x14ac:dyDescent="0.2"/>
    <row r="33" s="424" customFormat="1" x14ac:dyDescent="0.2"/>
    <row r="34" s="424" customFormat="1" x14ac:dyDescent="0.2"/>
    <row r="35" s="424" customFormat="1" x14ac:dyDescent="0.2"/>
    <row r="36" s="424" customFormat="1" x14ac:dyDescent="0.2"/>
    <row r="37" s="424" customFormat="1" x14ac:dyDescent="0.2"/>
    <row r="38" s="424"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162</vt:i4>
      </vt:variant>
    </vt:vector>
  </HeadingPairs>
  <TitlesOfParts>
    <vt:vector size="204"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'1M'!Quote</vt:lpstr>
      <vt:lpstr>'1Y'!Quote</vt:lpstr>
      <vt:lpstr>'3M'!Quote</vt:lpstr>
      <vt:lpstr>'6M'!Quote</vt:lpstr>
      <vt:lpstr>BasisSwap1MxM!Quote</vt:lpstr>
      <vt:lpstr>BasisSwap3M6M!Quote</vt:lpstr>
      <vt:lpstr>BasisSwapxM12M!Quote</vt:lpstr>
      <vt:lpstr>Deposits!Quote</vt:lpstr>
      <vt:lpstr>FRA!Quote</vt:lpstr>
      <vt:lpstr>Futures1M!Quote</vt:lpstr>
      <vt:lpstr>Futures3M!Quote</vt:lpstr>
      <vt:lpstr>FuturesHWConvAdj!Quote</vt:lpstr>
      <vt:lpstr>'ImmFra6M '!Quote</vt:lpstr>
      <vt:lpstr>OIS!Quote</vt:lpstr>
      <vt:lpstr>Swap3M!Quote</vt:lpstr>
      <vt:lpstr>Swap6M!Quote</vt:lpstr>
      <vt:lpstr>Swaps1M!Quote</vt:lpstr>
      <vt:lpstr>SwapsIMMDated!Quote</vt:lpstr>
      <vt:lpstr>'1Y'!Quote2</vt:lpstr>
      <vt:lpstr>OIS!Quote2</vt:lpstr>
      <vt:lpstr>'1M'!QuoteLive</vt:lpstr>
      <vt:lpstr>'1Y'!QuoteLive</vt:lpstr>
      <vt:lpstr>'3M'!QuoteLive</vt:lpstr>
      <vt:lpstr>'6M'!QuoteLive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'1Y'!QuoteLive2</vt:lpstr>
      <vt:lpstr>OIS!QuoteLive2</vt:lpstr>
      <vt:lpstr>'1M'!QuoteStatic</vt:lpstr>
      <vt:lpstr>'1Y'!QuoteStatic</vt:lpstr>
      <vt:lpstr>'3M'!QuoteStatic</vt:lpstr>
      <vt:lpstr>'6M'!QuoteStatic</vt:lpstr>
      <vt:lpstr>BasisSwap1MxM!QuoteStatic</vt:lpstr>
      <vt:lpstr>BasisSwap3M6M!QuoteStatic</vt:lpstr>
      <vt:lpstr>BasisSwapxM12M!QuoteStatic</vt:lpstr>
      <vt:lpstr>Deposits!QuoteStatic</vt:lpstr>
      <vt:lpstr>FRA!QuoteStatic</vt:lpstr>
      <vt:lpstr>Futures1M!QuoteStatic</vt:lpstr>
      <vt:lpstr>Futures3M!QuoteStatic</vt:lpstr>
      <vt:lpstr>FuturesHWConvAdj!QuoteStatic</vt:lpstr>
      <vt:lpstr>'ImmFra6M '!QuoteStatic</vt:lpstr>
      <vt:lpstr>OIS!QuoteStatic</vt:lpstr>
      <vt:lpstr>Swap3M!QuoteStatic</vt:lpstr>
      <vt:lpstr>Swap6M!QuoteStatic</vt:lpstr>
      <vt:lpstr>Swaps1M!QuoteStatic</vt:lpstr>
      <vt:lpstr>SwapsIMMDated!QuoteStatic</vt:lpstr>
      <vt:lpstr>'1Y'!QuoteStatic2</vt:lpstr>
      <vt:lpstr>OIS!QuoteStatic2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2014-03-11T09:00:40Z</dcterms:modified>
</cp:coreProperties>
</file>